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ficina La Brioche\Downloads\"/>
    </mc:Choice>
  </mc:AlternateContent>
  <xr:revisionPtr revIDLastSave="0" documentId="13_ncr:1_{60182CF8-252D-4428-AAF3-6EA786013027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Ingredientes" sheetId="1" r:id="rId1"/>
    <sheet name="UNIVERSO PRODUCTOS" sheetId="2" r:id="rId2"/>
    <sheet name="principal" sheetId="3" r:id="rId3"/>
    <sheet name="cocina" sheetId="4" r:id="rId4"/>
    <sheet name="servicio" sheetId="5" r:id="rId5"/>
    <sheet name="PATRON" sheetId="6" state="hidden" r:id="rId6"/>
    <sheet name="panaderia" sheetId="7" r:id="rId7"/>
    <sheet name="pasteleria" sheetId="8" r:id="rId8"/>
    <sheet name="TOTAL" sheetId="9" r:id="rId9"/>
    <sheet name="CONSOLIDADO-PEDIDO" sheetId="10" r:id="rId10"/>
  </sheets>
  <definedNames>
    <definedName name="_xlnm._FilterDatabase" localSheetId="2" hidden="1">principal!$A$1:$I$300</definedName>
    <definedName name="_xlnm._FilterDatabase" localSheetId="1" hidden="1">'UNIVERSO PRODUCTOS'!$A$1:$Z$580</definedName>
    <definedName name="CATEGORIAS">'UNIVERSO PRODUCTOS'!$A$1:$H$961</definedName>
    <definedName name="central">#REF!</definedName>
    <definedName name="samu">#REF!</definedName>
    <definedName name="samu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R/yufQFzx+Sh50y5/9dMNl45tt2gqq4t5pjPDngRFDM="/>
    </ext>
  </extLst>
</workbook>
</file>

<file path=xl/calcChain.xml><?xml version="1.0" encoding="utf-8"?>
<calcChain xmlns="http://schemas.openxmlformats.org/spreadsheetml/2006/main">
  <c r="G250" i="8" l="1"/>
  <c r="G249" i="8"/>
  <c r="G248" i="8"/>
  <c r="H248" i="8" s="1"/>
  <c r="I248" i="8" s="1"/>
  <c r="G247" i="8"/>
  <c r="H247" i="8" s="1"/>
  <c r="G246" i="8"/>
  <c r="G245" i="8"/>
  <c r="G244" i="8"/>
  <c r="H244" i="8" s="1"/>
  <c r="I244" i="8" s="1"/>
  <c r="F243" i="8"/>
  <c r="E243" i="8"/>
  <c r="D243" i="8"/>
  <c r="G243" i="8" s="1"/>
  <c r="B243" i="8"/>
  <c r="A243" i="8"/>
  <c r="F242" i="8"/>
  <c r="E242" i="8"/>
  <c r="D242" i="8"/>
  <c r="G242" i="8" s="1"/>
  <c r="B242" i="8"/>
  <c r="A242" i="8"/>
  <c r="F241" i="8"/>
  <c r="E241" i="8"/>
  <c r="D241" i="8"/>
  <c r="G241" i="8" s="1"/>
  <c r="B241" i="8"/>
  <c r="A241" i="8"/>
  <c r="F240" i="8"/>
  <c r="E240" i="8"/>
  <c r="D240" i="8"/>
  <c r="G240" i="8" s="1"/>
  <c r="B240" i="8"/>
  <c r="A240" i="8"/>
  <c r="F239" i="8"/>
  <c r="E239" i="8"/>
  <c r="D239" i="8"/>
  <c r="G239" i="8" s="1"/>
  <c r="B239" i="8"/>
  <c r="A239" i="8"/>
  <c r="F238" i="8"/>
  <c r="E238" i="8"/>
  <c r="D238" i="8"/>
  <c r="G238" i="8" s="1"/>
  <c r="B238" i="8"/>
  <c r="A238" i="8"/>
  <c r="F237" i="8"/>
  <c r="E237" i="8"/>
  <c r="D237" i="8"/>
  <c r="G237" i="8" s="1"/>
  <c r="H237" i="8" s="1"/>
  <c r="B237" i="8"/>
  <c r="A237" i="8"/>
  <c r="F236" i="8"/>
  <c r="E236" i="8"/>
  <c r="D236" i="8"/>
  <c r="G236" i="8" s="1"/>
  <c r="B236" i="8"/>
  <c r="A236" i="8"/>
  <c r="F235" i="8"/>
  <c r="E235" i="8"/>
  <c r="D235" i="8"/>
  <c r="G235" i="8" s="1"/>
  <c r="B235" i="8"/>
  <c r="A235" i="8"/>
  <c r="F234" i="8"/>
  <c r="E234" i="8"/>
  <c r="D234" i="8"/>
  <c r="G234" i="8" s="1"/>
  <c r="B234" i="8"/>
  <c r="A234" i="8"/>
  <c r="F233" i="8"/>
  <c r="E233" i="8"/>
  <c r="D233" i="8"/>
  <c r="G233" i="8" s="1"/>
  <c r="H233" i="8" s="1"/>
  <c r="B233" i="8"/>
  <c r="A233" i="8"/>
  <c r="F232" i="8"/>
  <c r="E232" i="8"/>
  <c r="D232" i="8"/>
  <c r="G232" i="8" s="1"/>
  <c r="B232" i="8"/>
  <c r="A232" i="8"/>
  <c r="F231" i="8"/>
  <c r="E231" i="8"/>
  <c r="D231" i="8"/>
  <c r="G231" i="8" s="1"/>
  <c r="B231" i="8"/>
  <c r="A231" i="8"/>
  <c r="F230" i="8"/>
  <c r="E230" i="8"/>
  <c r="D230" i="8"/>
  <c r="G230" i="8" s="1"/>
  <c r="B230" i="8"/>
  <c r="A230" i="8"/>
  <c r="F229" i="8"/>
  <c r="E229" i="8"/>
  <c r="D229" i="8"/>
  <c r="G229" i="8" s="1"/>
  <c r="H229" i="8" s="1"/>
  <c r="B229" i="8"/>
  <c r="A229" i="8"/>
  <c r="F228" i="8"/>
  <c r="E228" i="8"/>
  <c r="D228" i="8"/>
  <c r="G228" i="8" s="1"/>
  <c r="B228" i="8"/>
  <c r="A228" i="8"/>
  <c r="F227" i="8"/>
  <c r="E227" i="8"/>
  <c r="D227" i="8"/>
  <c r="G227" i="8" s="1"/>
  <c r="B227" i="8"/>
  <c r="A227" i="8"/>
  <c r="F226" i="8"/>
  <c r="E226" i="8"/>
  <c r="D226" i="8"/>
  <c r="G226" i="8" s="1"/>
  <c r="B226" i="8"/>
  <c r="A226" i="8"/>
  <c r="F225" i="8"/>
  <c r="E225" i="8"/>
  <c r="D225" i="8"/>
  <c r="G225" i="8" s="1"/>
  <c r="H225" i="8" s="1"/>
  <c r="B225" i="8"/>
  <c r="A225" i="8"/>
  <c r="F224" i="8"/>
  <c r="E224" i="8"/>
  <c r="D224" i="8"/>
  <c r="G224" i="8" s="1"/>
  <c r="B224" i="8"/>
  <c r="A224" i="8"/>
  <c r="F223" i="8"/>
  <c r="E223" i="8"/>
  <c r="D223" i="8"/>
  <c r="G223" i="8" s="1"/>
  <c r="B223" i="8"/>
  <c r="A223" i="8"/>
  <c r="F222" i="8"/>
  <c r="E222" i="8"/>
  <c r="D222" i="8"/>
  <c r="G222" i="8" s="1"/>
  <c r="B222" i="8"/>
  <c r="A222" i="8"/>
  <c r="F221" i="8"/>
  <c r="E221" i="8"/>
  <c r="D221" i="8"/>
  <c r="G221" i="8" s="1"/>
  <c r="H221" i="8" s="1"/>
  <c r="B221" i="8"/>
  <c r="A221" i="8"/>
  <c r="F220" i="8"/>
  <c r="E220" i="8"/>
  <c r="D220" i="8"/>
  <c r="G220" i="8" s="1"/>
  <c r="B220" i="8"/>
  <c r="A220" i="8"/>
  <c r="F219" i="8"/>
  <c r="E219" i="8"/>
  <c r="D219" i="8"/>
  <c r="G219" i="8" s="1"/>
  <c r="B219" i="8"/>
  <c r="F218" i="8"/>
  <c r="E218" i="8"/>
  <c r="D218" i="8"/>
  <c r="G218" i="8" s="1"/>
  <c r="B218" i="8"/>
  <c r="A218" i="8"/>
  <c r="F217" i="8"/>
  <c r="E217" i="8"/>
  <c r="D217" i="8"/>
  <c r="G217" i="8" s="1"/>
  <c r="B217" i="8"/>
  <c r="A217" i="8"/>
  <c r="F216" i="8"/>
  <c r="E216" i="8"/>
  <c r="D216" i="8"/>
  <c r="G216" i="8" s="1"/>
  <c r="H216" i="8" s="1"/>
  <c r="B216" i="8"/>
  <c r="F215" i="8"/>
  <c r="E215" i="8"/>
  <c r="D215" i="8"/>
  <c r="G215" i="8" s="1"/>
  <c r="B215" i="8"/>
  <c r="A215" i="8"/>
  <c r="F214" i="8"/>
  <c r="E214" i="8"/>
  <c r="D214" i="8"/>
  <c r="G214" i="8" s="1"/>
  <c r="H214" i="8" s="1"/>
  <c r="B214" i="8"/>
  <c r="A214" i="8"/>
  <c r="F213" i="8"/>
  <c r="E213" i="8"/>
  <c r="D213" i="8"/>
  <c r="G213" i="8" s="1"/>
  <c r="B213" i="8"/>
  <c r="F212" i="8"/>
  <c r="E212" i="8"/>
  <c r="D212" i="8"/>
  <c r="G212" i="8" s="1"/>
  <c r="B212" i="8"/>
  <c r="F211" i="8"/>
  <c r="E211" i="8"/>
  <c r="D211" i="8"/>
  <c r="G211" i="8" s="1"/>
  <c r="B211" i="8"/>
  <c r="A211" i="8"/>
  <c r="F210" i="8"/>
  <c r="E210" i="8"/>
  <c r="D210" i="8"/>
  <c r="G210" i="8" s="1"/>
  <c r="B210" i="8"/>
  <c r="F209" i="8"/>
  <c r="E209" i="8"/>
  <c r="D209" i="8"/>
  <c r="G209" i="8" s="1"/>
  <c r="H209" i="8" s="1"/>
  <c r="B209" i="8"/>
  <c r="F208" i="8"/>
  <c r="E208" i="8"/>
  <c r="D208" i="8"/>
  <c r="G208" i="8" s="1"/>
  <c r="B208" i="8"/>
  <c r="F207" i="8"/>
  <c r="E207" i="8"/>
  <c r="D207" i="8"/>
  <c r="G207" i="8" s="1"/>
  <c r="H207" i="8" s="1"/>
  <c r="B207" i="8"/>
  <c r="F206" i="8"/>
  <c r="E206" i="8"/>
  <c r="D206" i="8"/>
  <c r="G206" i="8" s="1"/>
  <c r="B206" i="8"/>
  <c r="A206" i="8"/>
  <c r="F205" i="8"/>
  <c r="E205" i="8"/>
  <c r="D205" i="8"/>
  <c r="G205" i="8" s="1"/>
  <c r="B205" i="8"/>
  <c r="A205" i="8"/>
  <c r="F204" i="8"/>
  <c r="E204" i="8"/>
  <c r="D204" i="8"/>
  <c r="G204" i="8" s="1"/>
  <c r="B204" i="8"/>
  <c r="A204" i="8"/>
  <c r="F203" i="8"/>
  <c r="E203" i="8"/>
  <c r="D203" i="8"/>
  <c r="G203" i="8" s="1"/>
  <c r="H203" i="8" s="1"/>
  <c r="B203" i="8"/>
  <c r="A203" i="8"/>
  <c r="F202" i="8"/>
  <c r="E202" i="8"/>
  <c r="D202" i="8"/>
  <c r="G202" i="8" s="1"/>
  <c r="B202" i="8"/>
  <c r="A202" i="8"/>
  <c r="F201" i="8"/>
  <c r="E201" i="8"/>
  <c r="D201" i="8"/>
  <c r="G201" i="8" s="1"/>
  <c r="B201" i="8"/>
  <c r="A201" i="8"/>
  <c r="F200" i="8"/>
  <c r="E200" i="8"/>
  <c r="D200" i="8"/>
  <c r="G200" i="8" s="1"/>
  <c r="B200" i="8"/>
  <c r="A200" i="8"/>
  <c r="F199" i="8"/>
  <c r="E199" i="8"/>
  <c r="D199" i="8"/>
  <c r="G199" i="8" s="1"/>
  <c r="B199" i="8"/>
  <c r="A199" i="8"/>
  <c r="F198" i="8"/>
  <c r="E198" i="8"/>
  <c r="D198" i="8"/>
  <c r="G198" i="8" s="1"/>
  <c r="B198" i="8"/>
  <c r="A198" i="8"/>
  <c r="F197" i="8"/>
  <c r="E197" i="8"/>
  <c r="D197" i="8"/>
  <c r="G197" i="8" s="1"/>
  <c r="B197" i="8"/>
  <c r="A197" i="8"/>
  <c r="F196" i="8"/>
  <c r="E196" i="8"/>
  <c r="D196" i="8"/>
  <c r="G196" i="8" s="1"/>
  <c r="B196" i="8"/>
  <c r="A196" i="8"/>
  <c r="F195" i="8"/>
  <c r="E195" i="8"/>
  <c r="D195" i="8"/>
  <c r="G195" i="8" s="1"/>
  <c r="H195" i="8" s="1"/>
  <c r="B195" i="8"/>
  <c r="A195" i="8"/>
  <c r="F194" i="8"/>
  <c r="E194" i="8"/>
  <c r="D194" i="8"/>
  <c r="G194" i="8" s="1"/>
  <c r="B194" i="8"/>
  <c r="A194" i="8"/>
  <c r="F193" i="8"/>
  <c r="E193" i="8"/>
  <c r="D193" i="8"/>
  <c r="G193" i="8" s="1"/>
  <c r="B193" i="8"/>
  <c r="A193" i="8"/>
  <c r="F192" i="8"/>
  <c r="E192" i="8"/>
  <c r="D192" i="8"/>
  <c r="G192" i="8" s="1"/>
  <c r="B192" i="8"/>
  <c r="F191" i="8"/>
  <c r="E191" i="8"/>
  <c r="D191" i="8"/>
  <c r="G191" i="8" s="1"/>
  <c r="B191" i="8"/>
  <c r="F190" i="8"/>
  <c r="E190" i="8"/>
  <c r="D190" i="8"/>
  <c r="G190" i="8" s="1"/>
  <c r="B190" i="8"/>
  <c r="F189" i="8"/>
  <c r="E189" i="8"/>
  <c r="D189" i="8"/>
  <c r="G189" i="8" s="1"/>
  <c r="B189" i="8"/>
  <c r="F188" i="8"/>
  <c r="E188" i="8"/>
  <c r="D188" i="8"/>
  <c r="G188" i="8" s="1"/>
  <c r="B188" i="8"/>
  <c r="F187" i="8"/>
  <c r="E187" i="8"/>
  <c r="D187" i="8"/>
  <c r="G187" i="8" s="1"/>
  <c r="H187" i="8" s="1"/>
  <c r="B187" i="8"/>
  <c r="F186" i="8"/>
  <c r="E186" i="8"/>
  <c r="D186" i="8"/>
  <c r="G186" i="8" s="1"/>
  <c r="B186" i="8"/>
  <c r="F185" i="8"/>
  <c r="E185" i="8"/>
  <c r="D185" i="8"/>
  <c r="G185" i="8" s="1"/>
  <c r="H185" i="8" s="1"/>
  <c r="B185" i="8"/>
  <c r="F184" i="8"/>
  <c r="E184" i="8"/>
  <c r="D184" i="8"/>
  <c r="G184" i="8" s="1"/>
  <c r="B184" i="8"/>
  <c r="A184" i="8"/>
  <c r="F183" i="8"/>
  <c r="E183" i="8"/>
  <c r="D183" i="8"/>
  <c r="G183" i="8" s="1"/>
  <c r="B183" i="8"/>
  <c r="F182" i="8"/>
  <c r="E182" i="8"/>
  <c r="D182" i="8"/>
  <c r="G182" i="8" s="1"/>
  <c r="B182" i="8"/>
  <c r="A182" i="8"/>
  <c r="F181" i="8"/>
  <c r="E181" i="8"/>
  <c r="D181" i="8"/>
  <c r="G181" i="8" s="1"/>
  <c r="B181" i="8"/>
  <c r="A181" i="8"/>
  <c r="F180" i="8"/>
  <c r="E180" i="8"/>
  <c r="D180" i="8"/>
  <c r="G180" i="8" s="1"/>
  <c r="H180" i="8" s="1"/>
  <c r="B180" i="8"/>
  <c r="A180" i="8"/>
  <c r="F179" i="8"/>
  <c r="E179" i="8"/>
  <c r="D179" i="8"/>
  <c r="G179" i="8" s="1"/>
  <c r="B179" i="8"/>
  <c r="A179" i="8"/>
  <c r="F178" i="8"/>
  <c r="E178" i="8"/>
  <c r="D178" i="8"/>
  <c r="G178" i="8" s="1"/>
  <c r="H178" i="8" s="1"/>
  <c r="B178" i="8"/>
  <c r="A178" i="8"/>
  <c r="F177" i="8"/>
  <c r="E177" i="8"/>
  <c r="D177" i="8"/>
  <c r="G177" i="8" s="1"/>
  <c r="B177" i="8"/>
  <c r="A177" i="8"/>
  <c r="F176" i="8"/>
  <c r="E176" i="8"/>
  <c r="D176" i="8"/>
  <c r="G176" i="8" s="1"/>
  <c r="B176" i="8"/>
  <c r="A176" i="8"/>
  <c r="F175" i="8"/>
  <c r="E175" i="8"/>
  <c r="D175" i="8"/>
  <c r="G175" i="8" s="1"/>
  <c r="H175" i="8" s="1"/>
  <c r="B175" i="8"/>
  <c r="A175" i="8"/>
  <c r="F174" i="8"/>
  <c r="E174" i="8"/>
  <c r="D174" i="8"/>
  <c r="G174" i="8" s="1"/>
  <c r="B174" i="8"/>
  <c r="A174" i="8"/>
  <c r="F173" i="8"/>
  <c r="E173" i="8"/>
  <c r="D173" i="8"/>
  <c r="G173" i="8" s="1"/>
  <c r="H173" i="8" s="1"/>
  <c r="B173" i="8"/>
  <c r="A173" i="8"/>
  <c r="F172" i="8"/>
  <c r="E172" i="8"/>
  <c r="D172" i="8"/>
  <c r="G172" i="8" s="1"/>
  <c r="B172" i="8"/>
  <c r="A172" i="8"/>
  <c r="F171" i="8"/>
  <c r="E171" i="8"/>
  <c r="D171" i="8"/>
  <c r="G171" i="8" s="1"/>
  <c r="H171" i="8" s="1"/>
  <c r="B171" i="8"/>
  <c r="F170" i="8"/>
  <c r="E170" i="8"/>
  <c r="D170" i="8"/>
  <c r="G170" i="8" s="1"/>
  <c r="B170" i="8"/>
  <c r="F169" i="8"/>
  <c r="E169" i="8"/>
  <c r="D169" i="8"/>
  <c r="G169" i="8" s="1"/>
  <c r="B169" i="8"/>
  <c r="F168" i="8"/>
  <c r="E168" i="8"/>
  <c r="D168" i="8"/>
  <c r="G168" i="8" s="1"/>
  <c r="B168" i="8"/>
  <c r="F167" i="8"/>
  <c r="E167" i="8"/>
  <c r="D167" i="8"/>
  <c r="G167" i="8" s="1"/>
  <c r="H167" i="8" s="1"/>
  <c r="B167" i="8"/>
  <c r="A167" i="8"/>
  <c r="F166" i="8"/>
  <c r="E166" i="8"/>
  <c r="D166" i="8"/>
  <c r="G166" i="8" s="1"/>
  <c r="H166" i="8" s="1"/>
  <c r="B166" i="8"/>
  <c r="A166" i="8"/>
  <c r="F165" i="8"/>
  <c r="D165" i="8"/>
  <c r="G165" i="8" s="1"/>
  <c r="B165" i="8"/>
  <c r="A165" i="8"/>
  <c r="F164" i="8"/>
  <c r="E164" i="8"/>
  <c r="D164" i="8"/>
  <c r="G164" i="8" s="1"/>
  <c r="B164" i="8"/>
  <c r="A164" i="8"/>
  <c r="F163" i="8"/>
  <c r="E163" i="8"/>
  <c r="D163" i="8"/>
  <c r="G163" i="8" s="1"/>
  <c r="B163" i="8"/>
  <c r="A163" i="8"/>
  <c r="F162" i="8"/>
  <c r="E162" i="8"/>
  <c r="D162" i="8"/>
  <c r="G162" i="8" s="1"/>
  <c r="B162" i="8"/>
  <c r="A162" i="8"/>
  <c r="F161" i="8"/>
  <c r="E161" i="8"/>
  <c r="D161" i="8"/>
  <c r="G161" i="8" s="1"/>
  <c r="B161" i="8"/>
  <c r="A161" i="8"/>
  <c r="F160" i="8"/>
  <c r="E160" i="8"/>
  <c r="D160" i="8"/>
  <c r="G160" i="8" s="1"/>
  <c r="B160" i="8"/>
  <c r="A160" i="8"/>
  <c r="F159" i="8"/>
  <c r="E159" i="8"/>
  <c r="D159" i="8"/>
  <c r="G159" i="8" s="1"/>
  <c r="B159" i="8"/>
  <c r="F158" i="8"/>
  <c r="E158" i="8"/>
  <c r="D158" i="8"/>
  <c r="G158" i="8" s="1"/>
  <c r="B158" i="8"/>
  <c r="A158" i="8"/>
  <c r="F157" i="8"/>
  <c r="E157" i="8"/>
  <c r="D157" i="8"/>
  <c r="G157" i="8" s="1"/>
  <c r="B157" i="8"/>
  <c r="A157" i="8"/>
  <c r="F156" i="8"/>
  <c r="E156" i="8"/>
  <c r="D156" i="8"/>
  <c r="G156" i="8" s="1"/>
  <c r="B156" i="8"/>
  <c r="A156" i="8"/>
  <c r="F155" i="8"/>
  <c r="E155" i="8"/>
  <c r="D155" i="8"/>
  <c r="G155" i="8" s="1"/>
  <c r="B155" i="8"/>
  <c r="A155" i="8"/>
  <c r="F154" i="8"/>
  <c r="E154" i="8"/>
  <c r="D154" i="8"/>
  <c r="G154" i="8" s="1"/>
  <c r="B154" i="8"/>
  <c r="A154" i="8"/>
  <c r="F153" i="8"/>
  <c r="E153" i="8"/>
  <c r="D153" i="8"/>
  <c r="G153" i="8" s="1"/>
  <c r="B153" i="8"/>
  <c r="A153" i="8"/>
  <c r="F152" i="8"/>
  <c r="E152" i="8"/>
  <c r="D152" i="8"/>
  <c r="G152" i="8" s="1"/>
  <c r="B152" i="8"/>
  <c r="A152" i="8"/>
  <c r="F151" i="8"/>
  <c r="E151" i="8"/>
  <c r="D151" i="8"/>
  <c r="G151" i="8" s="1"/>
  <c r="B151" i="8"/>
  <c r="A151" i="8"/>
  <c r="F150" i="8"/>
  <c r="E150" i="8"/>
  <c r="D150" i="8"/>
  <c r="G150" i="8" s="1"/>
  <c r="B150" i="8"/>
  <c r="A150" i="8"/>
  <c r="F149" i="8"/>
  <c r="E149" i="8"/>
  <c r="D149" i="8"/>
  <c r="G149" i="8" s="1"/>
  <c r="B149" i="8"/>
  <c r="A149" i="8"/>
  <c r="F148" i="8"/>
  <c r="E148" i="8"/>
  <c r="D148" i="8"/>
  <c r="G148" i="8" s="1"/>
  <c r="B148" i="8"/>
  <c r="A148" i="8"/>
  <c r="F147" i="8"/>
  <c r="E147" i="8"/>
  <c r="D147" i="8"/>
  <c r="G147" i="8" s="1"/>
  <c r="B147" i="8"/>
  <c r="A147" i="8"/>
  <c r="F146" i="8"/>
  <c r="E146" i="8"/>
  <c r="D146" i="8"/>
  <c r="G146" i="8" s="1"/>
  <c r="B146" i="8"/>
  <c r="A146" i="8"/>
  <c r="F145" i="8"/>
  <c r="E145" i="8"/>
  <c r="D145" i="8"/>
  <c r="G145" i="8" s="1"/>
  <c r="B145" i="8"/>
  <c r="A145" i="8"/>
  <c r="F144" i="8"/>
  <c r="E144" i="8"/>
  <c r="D144" i="8"/>
  <c r="G144" i="8" s="1"/>
  <c r="B144" i="8"/>
  <c r="A144" i="8"/>
  <c r="F143" i="8"/>
  <c r="E143" i="8"/>
  <c r="D143" i="8"/>
  <c r="G143" i="8" s="1"/>
  <c r="B143" i="8"/>
  <c r="F142" i="8"/>
  <c r="E142" i="8"/>
  <c r="D142" i="8"/>
  <c r="G142" i="8" s="1"/>
  <c r="H142" i="8" s="1"/>
  <c r="B142" i="8"/>
  <c r="F141" i="8"/>
  <c r="E141" i="8"/>
  <c r="D141" i="8"/>
  <c r="G141" i="8" s="1"/>
  <c r="H141" i="8" s="1"/>
  <c r="B141" i="8"/>
  <c r="A141" i="8"/>
  <c r="F140" i="8"/>
  <c r="E140" i="8"/>
  <c r="D140" i="8"/>
  <c r="G140" i="8" s="1"/>
  <c r="B140" i="8"/>
  <c r="F139" i="8"/>
  <c r="E139" i="8"/>
  <c r="D139" i="8"/>
  <c r="G139" i="8" s="1"/>
  <c r="B139" i="8"/>
  <c r="A139" i="8"/>
  <c r="F138" i="8"/>
  <c r="E138" i="8"/>
  <c r="D138" i="8"/>
  <c r="G138" i="8" s="1"/>
  <c r="B138" i="8"/>
  <c r="A138" i="8"/>
  <c r="F137" i="8"/>
  <c r="E137" i="8"/>
  <c r="D137" i="8"/>
  <c r="G137" i="8" s="1"/>
  <c r="B137" i="8"/>
  <c r="A137" i="8"/>
  <c r="F136" i="8"/>
  <c r="E136" i="8"/>
  <c r="D136" i="8"/>
  <c r="G136" i="8" s="1"/>
  <c r="B136" i="8"/>
  <c r="A136" i="8"/>
  <c r="F135" i="8"/>
  <c r="E135" i="8"/>
  <c r="D135" i="8"/>
  <c r="G135" i="8" s="1"/>
  <c r="B135" i="8"/>
  <c r="A135" i="8"/>
  <c r="F134" i="8"/>
  <c r="E134" i="8"/>
  <c r="D134" i="8"/>
  <c r="G134" i="8" s="1"/>
  <c r="B134" i="8"/>
  <c r="A134" i="8"/>
  <c r="F133" i="8"/>
  <c r="E133" i="8"/>
  <c r="D133" i="8"/>
  <c r="G133" i="8" s="1"/>
  <c r="B133" i="8"/>
  <c r="A133" i="8"/>
  <c r="F132" i="8"/>
  <c r="E132" i="8"/>
  <c r="D132" i="8"/>
  <c r="G132" i="8" s="1"/>
  <c r="B132" i="8"/>
  <c r="A132" i="8"/>
  <c r="F131" i="8"/>
  <c r="E131" i="8"/>
  <c r="D131" i="8"/>
  <c r="G131" i="8" s="1"/>
  <c r="B131" i="8"/>
  <c r="A131" i="8"/>
  <c r="F130" i="8"/>
  <c r="E130" i="8"/>
  <c r="D130" i="8"/>
  <c r="G130" i="8" s="1"/>
  <c r="B130" i="8"/>
  <c r="A130" i="8"/>
  <c r="F129" i="8"/>
  <c r="E129" i="8"/>
  <c r="D129" i="8"/>
  <c r="G129" i="8" s="1"/>
  <c r="B129" i="8"/>
  <c r="A129" i="8"/>
  <c r="F128" i="8"/>
  <c r="E128" i="8"/>
  <c r="D128" i="8"/>
  <c r="G128" i="8" s="1"/>
  <c r="B128" i="8"/>
  <c r="A128" i="8"/>
  <c r="F127" i="8"/>
  <c r="E127" i="8"/>
  <c r="D127" i="8"/>
  <c r="G127" i="8" s="1"/>
  <c r="B127" i="8"/>
  <c r="F126" i="8"/>
  <c r="E126" i="8"/>
  <c r="D126" i="8"/>
  <c r="G126" i="8" s="1"/>
  <c r="B126" i="8"/>
  <c r="F125" i="8"/>
  <c r="E125" i="8"/>
  <c r="D125" i="8"/>
  <c r="G125" i="8" s="1"/>
  <c r="H125" i="8" s="1"/>
  <c r="B125" i="8"/>
  <c r="A125" i="8"/>
  <c r="F124" i="8"/>
  <c r="E124" i="8"/>
  <c r="D124" i="8"/>
  <c r="G124" i="8" s="1"/>
  <c r="B124" i="8"/>
  <c r="F123" i="8"/>
  <c r="E123" i="8"/>
  <c r="D123" i="8"/>
  <c r="G123" i="8" s="1"/>
  <c r="H123" i="8" s="1"/>
  <c r="B123" i="8"/>
  <c r="F122" i="8"/>
  <c r="E122" i="8"/>
  <c r="D122" i="8"/>
  <c r="G122" i="8" s="1"/>
  <c r="B122" i="8"/>
  <c r="A122" i="8"/>
  <c r="F121" i="8"/>
  <c r="E121" i="8"/>
  <c r="D121" i="8"/>
  <c r="G121" i="8" s="1"/>
  <c r="B121" i="8"/>
  <c r="F120" i="8"/>
  <c r="E120" i="8"/>
  <c r="D120" i="8"/>
  <c r="G120" i="8" s="1"/>
  <c r="B120" i="8"/>
  <c r="F119" i="8"/>
  <c r="E119" i="8"/>
  <c r="D119" i="8"/>
  <c r="G119" i="8" s="1"/>
  <c r="B119" i="8"/>
  <c r="A119" i="8"/>
  <c r="F118" i="8"/>
  <c r="E118" i="8"/>
  <c r="D118" i="8"/>
  <c r="G118" i="8" s="1"/>
  <c r="B118" i="8"/>
  <c r="A118" i="8"/>
  <c r="F117" i="8"/>
  <c r="E117" i="8"/>
  <c r="D117" i="8"/>
  <c r="G117" i="8" s="1"/>
  <c r="B117" i="8"/>
  <c r="A117" i="8"/>
  <c r="F116" i="8"/>
  <c r="E116" i="8"/>
  <c r="D116" i="8"/>
  <c r="G116" i="8" s="1"/>
  <c r="B116" i="8"/>
  <c r="A116" i="8"/>
  <c r="F115" i="8"/>
  <c r="E115" i="8"/>
  <c r="D115" i="8"/>
  <c r="G115" i="8" s="1"/>
  <c r="B115" i="8"/>
  <c r="A115" i="8"/>
  <c r="F114" i="8"/>
  <c r="E114" i="8"/>
  <c r="D114" i="8"/>
  <c r="G114" i="8" s="1"/>
  <c r="B114" i="8"/>
  <c r="A114" i="8"/>
  <c r="F113" i="8"/>
  <c r="E113" i="8"/>
  <c r="D113" i="8"/>
  <c r="G113" i="8" s="1"/>
  <c r="B113" i="8"/>
  <c r="A113" i="8"/>
  <c r="F112" i="8"/>
  <c r="E112" i="8"/>
  <c r="D112" i="8"/>
  <c r="G112" i="8" s="1"/>
  <c r="B112" i="8"/>
  <c r="F111" i="8"/>
  <c r="E111" i="8"/>
  <c r="D111" i="8"/>
  <c r="G111" i="8" s="1"/>
  <c r="H111" i="8" s="1"/>
  <c r="B111" i="8"/>
  <c r="F110" i="8"/>
  <c r="E110" i="8"/>
  <c r="D110" i="8"/>
  <c r="G110" i="8" s="1"/>
  <c r="H110" i="8" s="1"/>
  <c r="B110" i="8"/>
  <c r="F109" i="8"/>
  <c r="E109" i="8"/>
  <c r="D109" i="8"/>
  <c r="G109" i="8" s="1"/>
  <c r="H109" i="8" s="1"/>
  <c r="B109" i="8"/>
  <c r="F108" i="8"/>
  <c r="E108" i="8"/>
  <c r="D108" i="8"/>
  <c r="G108" i="8" s="1"/>
  <c r="B108" i="8"/>
  <c r="F107" i="8"/>
  <c r="E107" i="8"/>
  <c r="D107" i="8"/>
  <c r="G107" i="8" s="1"/>
  <c r="B107" i="8"/>
  <c r="A107" i="8"/>
  <c r="F106" i="8"/>
  <c r="E106" i="8"/>
  <c r="D106" i="8"/>
  <c r="G106" i="8" s="1"/>
  <c r="H106" i="8" s="1"/>
  <c r="B106" i="8"/>
  <c r="A106" i="8"/>
  <c r="F105" i="8"/>
  <c r="E105" i="8"/>
  <c r="D105" i="8"/>
  <c r="G105" i="8" s="1"/>
  <c r="B105" i="8"/>
  <c r="A105" i="8"/>
  <c r="F104" i="8"/>
  <c r="E104" i="8"/>
  <c r="D104" i="8"/>
  <c r="G104" i="8" s="1"/>
  <c r="B104" i="8"/>
  <c r="A104" i="8"/>
  <c r="F103" i="8"/>
  <c r="E103" i="8"/>
  <c r="D103" i="8"/>
  <c r="G103" i="8" s="1"/>
  <c r="B103" i="8"/>
  <c r="A103" i="8"/>
  <c r="F102" i="8"/>
  <c r="E102" i="8"/>
  <c r="D102" i="8"/>
  <c r="G102" i="8" s="1"/>
  <c r="H102" i="8" s="1"/>
  <c r="B102" i="8"/>
  <c r="A102" i="8"/>
  <c r="F101" i="8"/>
  <c r="E101" i="8"/>
  <c r="D101" i="8"/>
  <c r="G101" i="8" s="1"/>
  <c r="B101" i="8"/>
  <c r="A101" i="8"/>
  <c r="F100" i="8"/>
  <c r="E100" i="8"/>
  <c r="D100" i="8"/>
  <c r="G100" i="8" s="1"/>
  <c r="B100" i="8"/>
  <c r="F99" i="8"/>
  <c r="E99" i="8"/>
  <c r="D99" i="8"/>
  <c r="G99" i="8" s="1"/>
  <c r="B99" i="8"/>
  <c r="A99" i="8"/>
  <c r="F98" i="8"/>
  <c r="E98" i="8"/>
  <c r="D98" i="8"/>
  <c r="G98" i="8" s="1"/>
  <c r="H98" i="8" s="1"/>
  <c r="B98" i="8"/>
  <c r="A98" i="8"/>
  <c r="F97" i="8"/>
  <c r="E97" i="8"/>
  <c r="D97" i="8"/>
  <c r="G97" i="8" s="1"/>
  <c r="B97" i="8"/>
  <c r="F96" i="8"/>
  <c r="E96" i="8"/>
  <c r="D96" i="8"/>
  <c r="G96" i="8" s="1"/>
  <c r="B96" i="8"/>
  <c r="A96" i="8"/>
  <c r="F95" i="8"/>
  <c r="E95" i="8"/>
  <c r="D95" i="8"/>
  <c r="G95" i="8" s="1"/>
  <c r="B95" i="8"/>
  <c r="A95" i="8"/>
  <c r="F94" i="8"/>
  <c r="E94" i="8"/>
  <c r="D94" i="8"/>
  <c r="G94" i="8" s="1"/>
  <c r="B94" i="8"/>
  <c r="A94" i="8"/>
  <c r="F93" i="8"/>
  <c r="E93" i="8"/>
  <c r="D93" i="8"/>
  <c r="G93" i="8" s="1"/>
  <c r="B93" i="8"/>
  <c r="F92" i="8"/>
  <c r="E92" i="8"/>
  <c r="D92" i="8"/>
  <c r="G92" i="8" s="1"/>
  <c r="B92" i="8"/>
  <c r="F91" i="8"/>
  <c r="E91" i="8"/>
  <c r="D91" i="8"/>
  <c r="G91" i="8" s="1"/>
  <c r="B91" i="8"/>
  <c r="F90" i="8"/>
  <c r="E90" i="8"/>
  <c r="D90" i="8"/>
  <c r="G90" i="8" s="1"/>
  <c r="H90" i="8" s="1"/>
  <c r="B90" i="8"/>
  <c r="A90" i="8"/>
  <c r="F89" i="8"/>
  <c r="E89" i="8"/>
  <c r="D89" i="8"/>
  <c r="G89" i="8" s="1"/>
  <c r="H89" i="8" s="1"/>
  <c r="B89" i="8"/>
  <c r="A89" i="8"/>
  <c r="F88" i="8"/>
  <c r="E88" i="8"/>
  <c r="D88" i="8"/>
  <c r="G88" i="8" s="1"/>
  <c r="H88" i="8" s="1"/>
  <c r="B88" i="8"/>
  <c r="A88" i="8"/>
  <c r="F87" i="8"/>
  <c r="E87" i="8"/>
  <c r="D87" i="8"/>
  <c r="G87" i="8" s="1"/>
  <c r="H87" i="8" s="1"/>
  <c r="B87" i="8"/>
  <c r="A87" i="8"/>
  <c r="F86" i="8"/>
  <c r="E86" i="8"/>
  <c r="D86" i="8"/>
  <c r="G86" i="8" s="1"/>
  <c r="H86" i="8" s="1"/>
  <c r="B86" i="8"/>
  <c r="A86" i="8"/>
  <c r="F85" i="8"/>
  <c r="E85" i="8"/>
  <c r="D85" i="8"/>
  <c r="G85" i="8" s="1"/>
  <c r="H85" i="8" s="1"/>
  <c r="B85" i="8"/>
  <c r="A85" i="8"/>
  <c r="F84" i="8"/>
  <c r="E84" i="8"/>
  <c r="D84" i="8"/>
  <c r="G84" i="8" s="1"/>
  <c r="H84" i="8" s="1"/>
  <c r="B84" i="8"/>
  <c r="A84" i="8"/>
  <c r="F83" i="8"/>
  <c r="E83" i="8"/>
  <c r="D83" i="8"/>
  <c r="G83" i="8" s="1"/>
  <c r="H83" i="8" s="1"/>
  <c r="B83" i="8"/>
  <c r="A83" i="8"/>
  <c r="F82" i="8"/>
  <c r="E82" i="8"/>
  <c r="D82" i="8"/>
  <c r="G82" i="8" s="1"/>
  <c r="H82" i="8" s="1"/>
  <c r="B82" i="8"/>
  <c r="A82" i="8"/>
  <c r="F81" i="8"/>
  <c r="E81" i="8"/>
  <c r="D81" i="8"/>
  <c r="G81" i="8" s="1"/>
  <c r="H81" i="8" s="1"/>
  <c r="B81" i="8"/>
  <c r="A81" i="8"/>
  <c r="F80" i="8"/>
  <c r="E80" i="8"/>
  <c r="D80" i="8"/>
  <c r="G80" i="8" s="1"/>
  <c r="H80" i="8" s="1"/>
  <c r="B80" i="8"/>
  <c r="A80" i="8"/>
  <c r="F79" i="8"/>
  <c r="E79" i="8"/>
  <c r="D79" i="8"/>
  <c r="G79" i="8" s="1"/>
  <c r="H79" i="8" s="1"/>
  <c r="B79" i="8"/>
  <c r="A79" i="8"/>
  <c r="F78" i="8"/>
  <c r="E78" i="8"/>
  <c r="D78" i="8"/>
  <c r="G78" i="8" s="1"/>
  <c r="H78" i="8" s="1"/>
  <c r="B78" i="8"/>
  <c r="A78" i="8"/>
  <c r="F77" i="8"/>
  <c r="E77" i="8"/>
  <c r="D77" i="8"/>
  <c r="G77" i="8" s="1"/>
  <c r="H77" i="8" s="1"/>
  <c r="B77" i="8"/>
  <c r="A77" i="8"/>
  <c r="F76" i="8"/>
  <c r="E76" i="8"/>
  <c r="D76" i="8"/>
  <c r="G76" i="8" s="1"/>
  <c r="H76" i="8" s="1"/>
  <c r="B76" i="8"/>
  <c r="A76" i="8"/>
  <c r="F75" i="8"/>
  <c r="E75" i="8"/>
  <c r="D75" i="8"/>
  <c r="G75" i="8" s="1"/>
  <c r="H75" i="8" s="1"/>
  <c r="B75" i="8"/>
  <c r="A75" i="8"/>
  <c r="F74" i="8"/>
  <c r="E74" i="8"/>
  <c r="D74" i="8"/>
  <c r="G74" i="8" s="1"/>
  <c r="H74" i="8" s="1"/>
  <c r="B74" i="8"/>
  <c r="A74" i="8"/>
  <c r="F73" i="8"/>
  <c r="E73" i="8"/>
  <c r="D73" i="8"/>
  <c r="G73" i="8" s="1"/>
  <c r="H73" i="8" s="1"/>
  <c r="B73" i="8"/>
  <c r="A73" i="8"/>
  <c r="F72" i="8"/>
  <c r="E72" i="8"/>
  <c r="D72" i="8"/>
  <c r="G72" i="8" s="1"/>
  <c r="H72" i="8" s="1"/>
  <c r="B72" i="8"/>
  <c r="A72" i="8"/>
  <c r="F71" i="8"/>
  <c r="E71" i="8"/>
  <c r="D71" i="8"/>
  <c r="G71" i="8" s="1"/>
  <c r="H71" i="8" s="1"/>
  <c r="B71" i="8"/>
  <c r="A71" i="8"/>
  <c r="F70" i="8"/>
  <c r="E70" i="8"/>
  <c r="D70" i="8"/>
  <c r="G70" i="8" s="1"/>
  <c r="H70" i="8" s="1"/>
  <c r="B70" i="8"/>
  <c r="A70" i="8"/>
  <c r="F69" i="8"/>
  <c r="E69" i="8"/>
  <c r="D69" i="8"/>
  <c r="G69" i="8" s="1"/>
  <c r="H69" i="8" s="1"/>
  <c r="B69" i="8"/>
  <c r="A69" i="8"/>
  <c r="F68" i="8"/>
  <c r="E68" i="8"/>
  <c r="D68" i="8"/>
  <c r="G68" i="8" s="1"/>
  <c r="H68" i="8" s="1"/>
  <c r="B68" i="8"/>
  <c r="A68" i="8"/>
  <c r="F67" i="8"/>
  <c r="E67" i="8"/>
  <c r="D67" i="8"/>
  <c r="G67" i="8" s="1"/>
  <c r="H67" i="8" s="1"/>
  <c r="B67" i="8"/>
  <c r="A67" i="8"/>
  <c r="F66" i="8"/>
  <c r="E66" i="8"/>
  <c r="D66" i="8"/>
  <c r="G66" i="8" s="1"/>
  <c r="H66" i="8" s="1"/>
  <c r="B66" i="8"/>
  <c r="A66" i="8"/>
  <c r="F65" i="8"/>
  <c r="E65" i="8"/>
  <c r="D65" i="8"/>
  <c r="G65" i="8" s="1"/>
  <c r="H65" i="8" s="1"/>
  <c r="B65" i="8"/>
  <c r="A65" i="8"/>
  <c r="F64" i="8"/>
  <c r="E64" i="8"/>
  <c r="D64" i="8"/>
  <c r="G64" i="8" s="1"/>
  <c r="H64" i="8" s="1"/>
  <c r="B64" i="8"/>
  <c r="A64" i="8"/>
  <c r="F63" i="8"/>
  <c r="E63" i="8"/>
  <c r="D63" i="8"/>
  <c r="G63" i="8" s="1"/>
  <c r="H63" i="8" s="1"/>
  <c r="B63" i="8"/>
  <c r="A63" i="8"/>
  <c r="F62" i="8"/>
  <c r="E62" i="8"/>
  <c r="D62" i="8"/>
  <c r="G62" i="8" s="1"/>
  <c r="H62" i="8" s="1"/>
  <c r="B62" i="8"/>
  <c r="A62" i="8"/>
  <c r="F61" i="8"/>
  <c r="E61" i="8"/>
  <c r="D61" i="8"/>
  <c r="G61" i="8" s="1"/>
  <c r="H61" i="8" s="1"/>
  <c r="B61" i="8"/>
  <c r="A61" i="8"/>
  <c r="F60" i="8"/>
  <c r="E60" i="8"/>
  <c r="D60" i="8"/>
  <c r="G60" i="8" s="1"/>
  <c r="H60" i="8" s="1"/>
  <c r="B60" i="8"/>
  <c r="A60" i="8"/>
  <c r="F59" i="8"/>
  <c r="E59" i="8"/>
  <c r="D59" i="8"/>
  <c r="G59" i="8" s="1"/>
  <c r="H59" i="8" s="1"/>
  <c r="B59" i="8"/>
  <c r="A59" i="8"/>
  <c r="F58" i="8"/>
  <c r="E58" i="8"/>
  <c r="D58" i="8"/>
  <c r="G58" i="8" s="1"/>
  <c r="H58" i="8" s="1"/>
  <c r="B58" i="8"/>
  <c r="A58" i="8"/>
  <c r="F57" i="8"/>
  <c r="E57" i="8"/>
  <c r="D57" i="8"/>
  <c r="G57" i="8" s="1"/>
  <c r="B57" i="8"/>
  <c r="A57" i="8"/>
  <c r="F56" i="8"/>
  <c r="E56" i="8"/>
  <c r="D56" i="8"/>
  <c r="G56" i="8" s="1"/>
  <c r="H56" i="8" s="1"/>
  <c r="B56" i="8"/>
  <c r="A56" i="8"/>
  <c r="F55" i="8"/>
  <c r="E55" i="8"/>
  <c r="D55" i="8"/>
  <c r="G55" i="8" s="1"/>
  <c r="H55" i="8" s="1"/>
  <c r="B55" i="8"/>
  <c r="A55" i="8"/>
  <c r="F54" i="8"/>
  <c r="E54" i="8"/>
  <c r="D54" i="8"/>
  <c r="G54" i="8" s="1"/>
  <c r="H54" i="8" s="1"/>
  <c r="B54" i="8"/>
  <c r="A54" i="8"/>
  <c r="F53" i="8"/>
  <c r="E53" i="8"/>
  <c r="D53" i="8"/>
  <c r="G53" i="8" s="1"/>
  <c r="H53" i="8" s="1"/>
  <c r="B53" i="8"/>
  <c r="A53" i="8"/>
  <c r="F52" i="8"/>
  <c r="E52" i="8"/>
  <c r="D52" i="8"/>
  <c r="G52" i="8" s="1"/>
  <c r="H52" i="8" s="1"/>
  <c r="B52" i="8"/>
  <c r="A52" i="8"/>
  <c r="F51" i="8"/>
  <c r="E51" i="8"/>
  <c r="D51" i="8"/>
  <c r="G51" i="8" s="1"/>
  <c r="H51" i="8" s="1"/>
  <c r="B51" i="8"/>
  <c r="A51" i="8"/>
  <c r="F50" i="8"/>
  <c r="E50" i="8"/>
  <c r="D50" i="8"/>
  <c r="G50" i="8" s="1"/>
  <c r="H50" i="8" s="1"/>
  <c r="B50" i="8"/>
  <c r="A50" i="8"/>
  <c r="F49" i="8"/>
  <c r="E49" i="8"/>
  <c r="D49" i="8"/>
  <c r="G49" i="8" s="1"/>
  <c r="H49" i="8" s="1"/>
  <c r="B49" i="8"/>
  <c r="A49" i="8"/>
  <c r="F48" i="8"/>
  <c r="E48" i="8"/>
  <c r="D48" i="8"/>
  <c r="G48" i="8" s="1"/>
  <c r="H48" i="8" s="1"/>
  <c r="B48" i="8"/>
  <c r="A48" i="8"/>
  <c r="F47" i="8"/>
  <c r="E47" i="8"/>
  <c r="D47" i="8"/>
  <c r="G47" i="8" s="1"/>
  <c r="H47" i="8" s="1"/>
  <c r="B47" i="8"/>
  <c r="A47" i="8"/>
  <c r="F46" i="8"/>
  <c r="E46" i="8"/>
  <c r="D46" i="8"/>
  <c r="G46" i="8" s="1"/>
  <c r="H46" i="8" s="1"/>
  <c r="B46" i="8"/>
  <c r="A46" i="8"/>
  <c r="F45" i="8"/>
  <c r="E45" i="8"/>
  <c r="D45" i="8"/>
  <c r="G45" i="8" s="1"/>
  <c r="H45" i="8" s="1"/>
  <c r="B45" i="8"/>
  <c r="F44" i="8"/>
  <c r="E44" i="8"/>
  <c r="D44" i="8"/>
  <c r="G44" i="8" s="1"/>
  <c r="B44" i="8"/>
  <c r="A44" i="8"/>
  <c r="F43" i="8"/>
  <c r="E43" i="8"/>
  <c r="D43" i="8"/>
  <c r="G43" i="8" s="1"/>
  <c r="B43" i="8"/>
  <c r="A43" i="8"/>
  <c r="F42" i="8"/>
  <c r="E42" i="8"/>
  <c r="D42" i="8"/>
  <c r="G42" i="8" s="1"/>
  <c r="B42" i="8"/>
  <c r="A42" i="8"/>
  <c r="F41" i="8"/>
  <c r="E41" i="8"/>
  <c r="D41" i="8"/>
  <c r="G41" i="8" s="1"/>
  <c r="B41" i="8"/>
  <c r="A41" i="8"/>
  <c r="F40" i="8"/>
  <c r="E40" i="8"/>
  <c r="D40" i="8"/>
  <c r="G40" i="8" s="1"/>
  <c r="B40" i="8"/>
  <c r="A40" i="8"/>
  <c r="F39" i="8"/>
  <c r="E39" i="8"/>
  <c r="D39" i="8"/>
  <c r="G39" i="8" s="1"/>
  <c r="B39" i="8"/>
  <c r="A39" i="8"/>
  <c r="F38" i="8"/>
  <c r="E38" i="8"/>
  <c r="D38" i="8"/>
  <c r="G38" i="8" s="1"/>
  <c r="B38" i="8"/>
  <c r="A38" i="8"/>
  <c r="F37" i="8"/>
  <c r="E37" i="8"/>
  <c r="D37" i="8"/>
  <c r="G37" i="8" s="1"/>
  <c r="B37" i="8"/>
  <c r="A37" i="8"/>
  <c r="F36" i="8"/>
  <c r="E36" i="8"/>
  <c r="D36" i="8"/>
  <c r="G36" i="8" s="1"/>
  <c r="B36" i="8"/>
  <c r="A36" i="8"/>
  <c r="F35" i="8"/>
  <c r="E35" i="8"/>
  <c r="D35" i="8"/>
  <c r="G35" i="8" s="1"/>
  <c r="B35" i="8"/>
  <c r="A35" i="8"/>
  <c r="F34" i="8"/>
  <c r="E34" i="8"/>
  <c r="D34" i="8"/>
  <c r="G34" i="8" s="1"/>
  <c r="B34" i="8"/>
  <c r="A34" i="8"/>
  <c r="F33" i="8"/>
  <c r="E33" i="8"/>
  <c r="D33" i="8"/>
  <c r="G33" i="8" s="1"/>
  <c r="B33" i="8"/>
  <c r="A33" i="8"/>
  <c r="F32" i="8"/>
  <c r="E32" i="8"/>
  <c r="D32" i="8"/>
  <c r="G32" i="8" s="1"/>
  <c r="B32" i="8"/>
  <c r="A32" i="8"/>
  <c r="F31" i="8"/>
  <c r="E31" i="8"/>
  <c r="D31" i="8"/>
  <c r="G31" i="8" s="1"/>
  <c r="B31" i="8"/>
  <c r="A31" i="8"/>
  <c r="F30" i="8"/>
  <c r="E30" i="8"/>
  <c r="D30" i="8"/>
  <c r="G30" i="8" s="1"/>
  <c r="B30" i="8"/>
  <c r="A30" i="8"/>
  <c r="F29" i="8"/>
  <c r="E29" i="8"/>
  <c r="D29" i="8"/>
  <c r="G29" i="8" s="1"/>
  <c r="B29" i="8"/>
  <c r="A29" i="8"/>
  <c r="F28" i="8"/>
  <c r="E28" i="8"/>
  <c r="D28" i="8"/>
  <c r="G28" i="8" s="1"/>
  <c r="B28" i="8"/>
  <c r="A28" i="8"/>
  <c r="F27" i="8"/>
  <c r="E27" i="8"/>
  <c r="D27" i="8"/>
  <c r="G27" i="8" s="1"/>
  <c r="B27" i="8"/>
  <c r="A27" i="8"/>
  <c r="F26" i="8"/>
  <c r="E26" i="8"/>
  <c r="D26" i="8"/>
  <c r="G26" i="8" s="1"/>
  <c r="B26" i="8"/>
  <c r="A26" i="8"/>
  <c r="F25" i="8"/>
  <c r="E25" i="8"/>
  <c r="D25" i="8"/>
  <c r="G25" i="8" s="1"/>
  <c r="B25" i="8"/>
  <c r="A25" i="8"/>
  <c r="F24" i="8"/>
  <c r="E24" i="8"/>
  <c r="D24" i="8"/>
  <c r="G24" i="8" s="1"/>
  <c r="B24" i="8"/>
  <c r="A24" i="8"/>
  <c r="F23" i="8"/>
  <c r="E23" i="8"/>
  <c r="D23" i="8"/>
  <c r="G23" i="8" s="1"/>
  <c r="B23" i="8"/>
  <c r="A23" i="8"/>
  <c r="F22" i="8"/>
  <c r="E22" i="8"/>
  <c r="D22" i="8"/>
  <c r="G22" i="8" s="1"/>
  <c r="B22" i="8"/>
  <c r="A22" i="8"/>
  <c r="F21" i="8"/>
  <c r="E21" i="8"/>
  <c r="D21" i="8"/>
  <c r="G21" i="8" s="1"/>
  <c r="B21" i="8"/>
  <c r="A21" i="8"/>
  <c r="F20" i="8"/>
  <c r="E20" i="8"/>
  <c r="D20" i="8"/>
  <c r="G20" i="8" s="1"/>
  <c r="B20" i="8"/>
  <c r="A20" i="8"/>
  <c r="F19" i="8"/>
  <c r="E19" i="8"/>
  <c r="D19" i="8"/>
  <c r="G19" i="8" s="1"/>
  <c r="B19" i="8"/>
  <c r="A19" i="8"/>
  <c r="F18" i="8"/>
  <c r="E18" i="8"/>
  <c r="D18" i="8"/>
  <c r="G18" i="8" s="1"/>
  <c r="B18" i="8"/>
  <c r="A18" i="8"/>
  <c r="F17" i="8"/>
  <c r="E17" i="8"/>
  <c r="D17" i="8"/>
  <c r="G17" i="8" s="1"/>
  <c r="B17" i="8"/>
  <c r="A17" i="8"/>
  <c r="F16" i="8"/>
  <c r="E16" i="8"/>
  <c r="D16" i="8"/>
  <c r="G16" i="8" s="1"/>
  <c r="B16" i="8"/>
  <c r="A16" i="8"/>
  <c r="F15" i="8"/>
  <c r="E15" i="8"/>
  <c r="D15" i="8"/>
  <c r="G15" i="8" s="1"/>
  <c r="B15" i="8"/>
  <c r="A15" i="8"/>
  <c r="F14" i="8"/>
  <c r="E14" i="8"/>
  <c r="D14" i="8"/>
  <c r="G14" i="8" s="1"/>
  <c r="B14" i="8"/>
  <c r="A14" i="8"/>
  <c r="F13" i="8"/>
  <c r="E13" i="8"/>
  <c r="D13" i="8"/>
  <c r="G13" i="8" s="1"/>
  <c r="B13" i="8"/>
  <c r="A13" i="8"/>
  <c r="F12" i="8"/>
  <c r="E12" i="8"/>
  <c r="D12" i="8"/>
  <c r="G12" i="8" s="1"/>
  <c r="B12" i="8"/>
  <c r="A12" i="8"/>
  <c r="F11" i="8"/>
  <c r="E11" i="8"/>
  <c r="D11" i="8"/>
  <c r="G11" i="8" s="1"/>
  <c r="B11" i="8"/>
  <c r="A11" i="8"/>
  <c r="F10" i="8"/>
  <c r="E10" i="8"/>
  <c r="D10" i="8"/>
  <c r="G10" i="8" s="1"/>
  <c r="B10" i="8"/>
  <c r="A10" i="8"/>
  <c r="F9" i="8"/>
  <c r="E9" i="8"/>
  <c r="D9" i="8"/>
  <c r="G9" i="8" s="1"/>
  <c r="H9" i="8" s="1"/>
  <c r="B9" i="8"/>
  <c r="A9" i="8"/>
  <c r="F8" i="8"/>
  <c r="E8" i="8"/>
  <c r="D8" i="8"/>
  <c r="G8" i="8" s="1"/>
  <c r="H8" i="8" s="1"/>
  <c r="B8" i="8"/>
  <c r="A8" i="8"/>
  <c r="F7" i="8"/>
  <c r="E7" i="8"/>
  <c r="D7" i="8"/>
  <c r="G7" i="8" s="1"/>
  <c r="H7" i="8" s="1"/>
  <c r="B7" i="8"/>
  <c r="A7" i="8"/>
  <c r="F6" i="8"/>
  <c r="E6" i="8"/>
  <c r="D6" i="8"/>
  <c r="G6" i="8" s="1"/>
  <c r="B6" i="8"/>
  <c r="A6" i="8"/>
  <c r="F5" i="8"/>
  <c r="E5" i="8"/>
  <c r="D5" i="8"/>
  <c r="G5" i="8" s="1"/>
  <c r="B5" i="8"/>
  <c r="A5" i="8"/>
  <c r="F4" i="8"/>
  <c r="E4" i="8"/>
  <c r="D4" i="8"/>
  <c r="G4" i="8" s="1"/>
  <c r="B4" i="8"/>
  <c r="A4" i="8"/>
  <c r="F3" i="8"/>
  <c r="E3" i="8"/>
  <c r="D3" i="8"/>
  <c r="G3" i="8" s="1"/>
  <c r="B3" i="8"/>
  <c r="A3" i="8"/>
  <c r="H156" i="7"/>
  <c r="I156" i="7" s="1"/>
  <c r="G156" i="7"/>
  <c r="G155" i="7"/>
  <c r="G154" i="7"/>
  <c r="F153" i="7"/>
  <c r="E153" i="7"/>
  <c r="D153" i="7"/>
  <c r="G153" i="7" s="1"/>
  <c r="B153" i="7"/>
  <c r="A153" i="7"/>
  <c r="F152" i="7"/>
  <c r="E152" i="7"/>
  <c r="D152" i="7"/>
  <c r="G152" i="7" s="1"/>
  <c r="B152" i="7"/>
  <c r="A152" i="7"/>
  <c r="F151" i="7"/>
  <c r="E151" i="7"/>
  <c r="D151" i="7"/>
  <c r="G151" i="7" s="1"/>
  <c r="B151" i="7"/>
  <c r="A151" i="7"/>
  <c r="F150" i="7"/>
  <c r="E150" i="7"/>
  <c r="D150" i="7"/>
  <c r="G150" i="7" s="1"/>
  <c r="H150" i="7" s="1"/>
  <c r="B150" i="7"/>
  <c r="A150" i="7"/>
  <c r="F149" i="7"/>
  <c r="E149" i="7"/>
  <c r="D149" i="7"/>
  <c r="G149" i="7" s="1"/>
  <c r="B149" i="7"/>
  <c r="A149" i="7"/>
  <c r="F148" i="7"/>
  <c r="E148" i="7"/>
  <c r="D148" i="7"/>
  <c r="G148" i="7" s="1"/>
  <c r="H148" i="7" s="1"/>
  <c r="B148" i="7"/>
  <c r="A148" i="7"/>
  <c r="F147" i="7"/>
  <c r="E147" i="7"/>
  <c r="D147" i="7"/>
  <c r="G147" i="7" s="1"/>
  <c r="B147" i="7"/>
  <c r="A147" i="7"/>
  <c r="F146" i="7"/>
  <c r="E146" i="7"/>
  <c r="D146" i="7"/>
  <c r="G146" i="7" s="1"/>
  <c r="H146" i="7" s="1"/>
  <c r="B146" i="7"/>
  <c r="A146" i="7"/>
  <c r="F145" i="7"/>
  <c r="E145" i="7"/>
  <c r="D145" i="7"/>
  <c r="G145" i="7" s="1"/>
  <c r="B145" i="7"/>
  <c r="A145" i="7"/>
  <c r="F144" i="7"/>
  <c r="E144" i="7"/>
  <c r="D144" i="7"/>
  <c r="G144" i="7" s="1"/>
  <c r="B144" i="7"/>
  <c r="A144" i="7"/>
  <c r="F143" i="7"/>
  <c r="E143" i="7"/>
  <c r="D143" i="7"/>
  <c r="G143" i="7" s="1"/>
  <c r="B143" i="7"/>
  <c r="A143" i="7"/>
  <c r="F142" i="7"/>
  <c r="E142" i="7"/>
  <c r="D142" i="7"/>
  <c r="G142" i="7" s="1"/>
  <c r="H142" i="7" s="1"/>
  <c r="B142" i="7"/>
  <c r="A142" i="7"/>
  <c r="F141" i="7"/>
  <c r="E141" i="7"/>
  <c r="D141" i="7"/>
  <c r="G141" i="7" s="1"/>
  <c r="B141" i="7"/>
  <c r="A141" i="7"/>
  <c r="F140" i="7"/>
  <c r="E140" i="7"/>
  <c r="D140" i="7"/>
  <c r="G140" i="7" s="1"/>
  <c r="H140" i="7" s="1"/>
  <c r="B140" i="7"/>
  <c r="A140" i="7"/>
  <c r="F139" i="7"/>
  <c r="E139" i="7"/>
  <c r="D139" i="7"/>
  <c r="G139" i="7" s="1"/>
  <c r="B139" i="7"/>
  <c r="A139" i="7"/>
  <c r="F138" i="7"/>
  <c r="E138" i="7"/>
  <c r="D138" i="7"/>
  <c r="G138" i="7" s="1"/>
  <c r="H138" i="7" s="1"/>
  <c r="B138" i="7"/>
  <c r="A138" i="7"/>
  <c r="F137" i="7"/>
  <c r="E137" i="7"/>
  <c r="D137" i="7"/>
  <c r="G137" i="7" s="1"/>
  <c r="B137" i="7"/>
  <c r="A137" i="7"/>
  <c r="F136" i="7"/>
  <c r="E136" i="7"/>
  <c r="D136" i="7"/>
  <c r="G136" i="7" s="1"/>
  <c r="B136" i="7"/>
  <c r="A136" i="7"/>
  <c r="F135" i="7"/>
  <c r="E135" i="7"/>
  <c r="D135" i="7"/>
  <c r="G135" i="7" s="1"/>
  <c r="B135" i="7"/>
  <c r="A135" i="7"/>
  <c r="F134" i="7"/>
  <c r="E134" i="7"/>
  <c r="D134" i="7"/>
  <c r="G134" i="7" s="1"/>
  <c r="H134" i="7" s="1"/>
  <c r="B134" i="7"/>
  <c r="A134" i="7"/>
  <c r="F133" i="7"/>
  <c r="E133" i="7"/>
  <c r="D133" i="7"/>
  <c r="G133" i="7" s="1"/>
  <c r="B133" i="7"/>
  <c r="A133" i="7"/>
  <c r="F132" i="7"/>
  <c r="E132" i="7"/>
  <c r="D132" i="7"/>
  <c r="G132" i="7" s="1"/>
  <c r="B132" i="7"/>
  <c r="A132" i="7"/>
  <c r="F131" i="7"/>
  <c r="E131" i="7"/>
  <c r="D131" i="7"/>
  <c r="G131" i="7" s="1"/>
  <c r="H131" i="7" s="1"/>
  <c r="B131" i="7"/>
  <c r="A131" i="7"/>
  <c r="F130" i="7"/>
  <c r="E130" i="7"/>
  <c r="D130" i="7"/>
  <c r="G130" i="7" s="1"/>
  <c r="H130" i="7" s="1"/>
  <c r="B130" i="7"/>
  <c r="A130" i="7"/>
  <c r="F129" i="7"/>
  <c r="E129" i="7"/>
  <c r="D129" i="7"/>
  <c r="G129" i="7" s="1"/>
  <c r="B129" i="7"/>
  <c r="A129" i="7"/>
  <c r="F128" i="7"/>
  <c r="E128" i="7"/>
  <c r="D128" i="7"/>
  <c r="G128" i="7" s="1"/>
  <c r="B128" i="7"/>
  <c r="A128" i="7"/>
  <c r="F127" i="7"/>
  <c r="E127" i="7"/>
  <c r="D127" i="7"/>
  <c r="G127" i="7" s="1"/>
  <c r="H127" i="7" s="1"/>
  <c r="B127" i="7"/>
  <c r="A127" i="7"/>
  <c r="F126" i="7"/>
  <c r="E126" i="7"/>
  <c r="D126" i="7"/>
  <c r="G126" i="7" s="1"/>
  <c r="B126" i="7"/>
  <c r="A126" i="7"/>
  <c r="F125" i="7"/>
  <c r="E125" i="7"/>
  <c r="D125" i="7"/>
  <c r="G125" i="7" s="1"/>
  <c r="B125" i="7"/>
  <c r="A125" i="7"/>
  <c r="F124" i="7"/>
  <c r="E124" i="7"/>
  <c r="D124" i="7"/>
  <c r="G124" i="7" s="1"/>
  <c r="H124" i="7" s="1"/>
  <c r="B124" i="7"/>
  <c r="A124" i="7"/>
  <c r="F123" i="7"/>
  <c r="E123" i="7"/>
  <c r="D123" i="7"/>
  <c r="G123" i="7" s="1"/>
  <c r="H123" i="7" s="1"/>
  <c r="B123" i="7"/>
  <c r="A123" i="7"/>
  <c r="F122" i="7"/>
  <c r="E122" i="7"/>
  <c r="D122" i="7"/>
  <c r="G122" i="7" s="1"/>
  <c r="H122" i="7" s="1"/>
  <c r="B122" i="7"/>
  <c r="A122" i="7"/>
  <c r="F121" i="7"/>
  <c r="E121" i="7"/>
  <c r="D121" i="7"/>
  <c r="G121" i="7" s="1"/>
  <c r="B121" i="7"/>
  <c r="A121" i="7"/>
  <c r="F120" i="7"/>
  <c r="E120" i="7"/>
  <c r="D120" i="7"/>
  <c r="G120" i="7" s="1"/>
  <c r="H120" i="7" s="1"/>
  <c r="B120" i="7"/>
  <c r="A120" i="7"/>
  <c r="F119" i="7"/>
  <c r="E119" i="7"/>
  <c r="D119" i="7"/>
  <c r="G119" i="7" s="1"/>
  <c r="H119" i="7" s="1"/>
  <c r="B119" i="7"/>
  <c r="A119" i="7"/>
  <c r="F118" i="7"/>
  <c r="E118" i="7"/>
  <c r="D118" i="7"/>
  <c r="G118" i="7" s="1"/>
  <c r="H118" i="7" s="1"/>
  <c r="B118" i="7"/>
  <c r="A118" i="7"/>
  <c r="F117" i="7"/>
  <c r="E117" i="7"/>
  <c r="D117" i="7"/>
  <c r="G117" i="7" s="1"/>
  <c r="B117" i="7"/>
  <c r="A117" i="7"/>
  <c r="F116" i="7"/>
  <c r="E116" i="7"/>
  <c r="D116" i="7"/>
  <c r="G116" i="7" s="1"/>
  <c r="B116" i="7"/>
  <c r="A116" i="7"/>
  <c r="F115" i="7"/>
  <c r="E115" i="7"/>
  <c r="D115" i="7"/>
  <c r="G115" i="7" s="1"/>
  <c r="H115" i="7" s="1"/>
  <c r="B115" i="7"/>
  <c r="A115" i="7"/>
  <c r="F114" i="7"/>
  <c r="E114" i="7"/>
  <c r="D114" i="7"/>
  <c r="G114" i="7" s="1"/>
  <c r="H114" i="7" s="1"/>
  <c r="B114" i="7"/>
  <c r="A114" i="7"/>
  <c r="F113" i="7"/>
  <c r="E113" i="7"/>
  <c r="D113" i="7"/>
  <c r="G113" i="7" s="1"/>
  <c r="B113" i="7"/>
  <c r="A113" i="7"/>
  <c r="F112" i="7"/>
  <c r="E112" i="7"/>
  <c r="D112" i="7"/>
  <c r="G112" i="7" s="1"/>
  <c r="H112" i="7" s="1"/>
  <c r="B112" i="7"/>
  <c r="A112" i="7"/>
  <c r="F111" i="7"/>
  <c r="E111" i="7"/>
  <c r="D111" i="7"/>
  <c r="G111" i="7" s="1"/>
  <c r="B111" i="7"/>
  <c r="A111" i="7"/>
  <c r="F110" i="7"/>
  <c r="E110" i="7"/>
  <c r="D110" i="7"/>
  <c r="G110" i="7" s="1"/>
  <c r="B110" i="7"/>
  <c r="A110" i="7"/>
  <c r="F109" i="7"/>
  <c r="E109" i="7"/>
  <c r="D109" i="7"/>
  <c r="G109" i="7" s="1"/>
  <c r="B109" i="7"/>
  <c r="A109" i="7"/>
  <c r="F108" i="7"/>
  <c r="E108" i="7"/>
  <c r="D108" i="7"/>
  <c r="G108" i="7" s="1"/>
  <c r="B108" i="7"/>
  <c r="A108" i="7"/>
  <c r="F107" i="7"/>
  <c r="E107" i="7"/>
  <c r="D107" i="7"/>
  <c r="G107" i="7" s="1"/>
  <c r="B107" i="7"/>
  <c r="A107" i="7"/>
  <c r="F106" i="7"/>
  <c r="E106" i="7"/>
  <c r="D106" i="7"/>
  <c r="G106" i="7" s="1"/>
  <c r="B106" i="7"/>
  <c r="A106" i="7"/>
  <c r="F105" i="7"/>
  <c r="E105" i="7"/>
  <c r="D105" i="7"/>
  <c r="G105" i="7" s="1"/>
  <c r="B105" i="7"/>
  <c r="A105" i="7"/>
  <c r="F104" i="7"/>
  <c r="E104" i="7"/>
  <c r="D104" i="7"/>
  <c r="G104" i="7" s="1"/>
  <c r="B104" i="7"/>
  <c r="A104" i="7"/>
  <c r="F103" i="7"/>
  <c r="E103" i="7"/>
  <c r="D103" i="7"/>
  <c r="G103" i="7" s="1"/>
  <c r="B103" i="7"/>
  <c r="A103" i="7"/>
  <c r="F102" i="7"/>
  <c r="E102" i="7"/>
  <c r="D102" i="7"/>
  <c r="G102" i="7" s="1"/>
  <c r="B102" i="7"/>
  <c r="A102" i="7"/>
  <c r="F101" i="7"/>
  <c r="E101" i="7"/>
  <c r="D101" i="7"/>
  <c r="G101" i="7" s="1"/>
  <c r="B101" i="7"/>
  <c r="A101" i="7"/>
  <c r="F100" i="7"/>
  <c r="E100" i="7"/>
  <c r="D100" i="7"/>
  <c r="G100" i="7" s="1"/>
  <c r="B100" i="7"/>
  <c r="A100" i="7"/>
  <c r="F99" i="7"/>
  <c r="E99" i="7"/>
  <c r="D99" i="7"/>
  <c r="G99" i="7" s="1"/>
  <c r="B99" i="7"/>
  <c r="A99" i="7"/>
  <c r="F98" i="7"/>
  <c r="E98" i="7"/>
  <c r="D98" i="7"/>
  <c r="G98" i="7" s="1"/>
  <c r="B98" i="7"/>
  <c r="A98" i="7"/>
  <c r="F97" i="7"/>
  <c r="E97" i="7"/>
  <c r="D97" i="7"/>
  <c r="G97" i="7" s="1"/>
  <c r="B97" i="7"/>
  <c r="A97" i="7"/>
  <c r="F96" i="7"/>
  <c r="E96" i="7"/>
  <c r="D96" i="7"/>
  <c r="G96" i="7" s="1"/>
  <c r="B96" i="7"/>
  <c r="A96" i="7"/>
  <c r="F95" i="7"/>
  <c r="E95" i="7"/>
  <c r="D95" i="7"/>
  <c r="G95" i="7" s="1"/>
  <c r="B95" i="7"/>
  <c r="A95" i="7"/>
  <c r="F94" i="7"/>
  <c r="E94" i="7"/>
  <c r="D94" i="7"/>
  <c r="G94" i="7" s="1"/>
  <c r="B94" i="7"/>
  <c r="A94" i="7"/>
  <c r="F93" i="7"/>
  <c r="E93" i="7"/>
  <c r="D93" i="7"/>
  <c r="G93" i="7" s="1"/>
  <c r="B93" i="7"/>
  <c r="A93" i="7"/>
  <c r="F92" i="7"/>
  <c r="E92" i="7"/>
  <c r="D92" i="7"/>
  <c r="G92" i="7" s="1"/>
  <c r="B92" i="7"/>
  <c r="A92" i="7"/>
  <c r="F91" i="7"/>
  <c r="E91" i="7"/>
  <c r="D91" i="7"/>
  <c r="G91" i="7" s="1"/>
  <c r="B91" i="7"/>
  <c r="A91" i="7"/>
  <c r="F90" i="7"/>
  <c r="E90" i="7"/>
  <c r="D90" i="7"/>
  <c r="G90" i="7" s="1"/>
  <c r="B90" i="7"/>
  <c r="A90" i="7"/>
  <c r="F89" i="7"/>
  <c r="E89" i="7"/>
  <c r="D89" i="7"/>
  <c r="G89" i="7" s="1"/>
  <c r="B89" i="7"/>
  <c r="A89" i="7"/>
  <c r="F88" i="7"/>
  <c r="E88" i="7"/>
  <c r="D88" i="7"/>
  <c r="G88" i="7" s="1"/>
  <c r="B88" i="7"/>
  <c r="A88" i="7"/>
  <c r="F87" i="7"/>
  <c r="E87" i="7"/>
  <c r="D87" i="7"/>
  <c r="G87" i="7" s="1"/>
  <c r="B87" i="7"/>
  <c r="A87" i="7"/>
  <c r="F86" i="7"/>
  <c r="E86" i="7"/>
  <c r="D86" i="7"/>
  <c r="G86" i="7" s="1"/>
  <c r="B86" i="7"/>
  <c r="A86" i="7"/>
  <c r="F85" i="7"/>
  <c r="E85" i="7"/>
  <c r="D85" i="7"/>
  <c r="G85" i="7" s="1"/>
  <c r="B85" i="7"/>
  <c r="F84" i="7"/>
  <c r="E84" i="7"/>
  <c r="D84" i="7"/>
  <c r="G84" i="7" s="1"/>
  <c r="B84" i="7"/>
  <c r="A84" i="7"/>
  <c r="F83" i="7"/>
  <c r="E83" i="7"/>
  <c r="D83" i="7"/>
  <c r="G83" i="7" s="1"/>
  <c r="B83" i="7"/>
  <c r="A83" i="7"/>
  <c r="F82" i="7"/>
  <c r="E82" i="7"/>
  <c r="D82" i="7"/>
  <c r="G82" i="7" s="1"/>
  <c r="B82" i="7"/>
  <c r="A82" i="7"/>
  <c r="F81" i="7"/>
  <c r="E81" i="7"/>
  <c r="D81" i="7"/>
  <c r="G81" i="7" s="1"/>
  <c r="B81" i="7"/>
  <c r="A81" i="7"/>
  <c r="F80" i="7"/>
  <c r="E80" i="7"/>
  <c r="D80" i="7"/>
  <c r="G80" i="7" s="1"/>
  <c r="H80" i="7" s="1"/>
  <c r="I80" i="7" s="1"/>
  <c r="B80" i="7"/>
  <c r="A80" i="7"/>
  <c r="F79" i="7"/>
  <c r="E79" i="7"/>
  <c r="D79" i="7"/>
  <c r="G79" i="7" s="1"/>
  <c r="H79" i="7" s="1"/>
  <c r="I79" i="7" s="1"/>
  <c r="B79" i="7"/>
  <c r="A79" i="7"/>
  <c r="F78" i="7"/>
  <c r="E78" i="7"/>
  <c r="D78" i="7"/>
  <c r="G78" i="7" s="1"/>
  <c r="H78" i="7" s="1"/>
  <c r="I78" i="7" s="1"/>
  <c r="B78" i="7"/>
  <c r="A78" i="7"/>
  <c r="F77" i="7"/>
  <c r="E77" i="7"/>
  <c r="D77" i="7"/>
  <c r="G77" i="7" s="1"/>
  <c r="H77" i="7" s="1"/>
  <c r="I77" i="7" s="1"/>
  <c r="B77" i="7"/>
  <c r="A77" i="7"/>
  <c r="F76" i="7"/>
  <c r="E76" i="7"/>
  <c r="D76" i="7"/>
  <c r="G76" i="7" s="1"/>
  <c r="H76" i="7" s="1"/>
  <c r="I76" i="7" s="1"/>
  <c r="B76" i="7"/>
  <c r="A76" i="7"/>
  <c r="F75" i="7"/>
  <c r="E75" i="7"/>
  <c r="D75" i="7"/>
  <c r="G75" i="7" s="1"/>
  <c r="H75" i="7" s="1"/>
  <c r="I75" i="7" s="1"/>
  <c r="B75" i="7"/>
  <c r="A75" i="7"/>
  <c r="F74" i="7"/>
  <c r="E74" i="7"/>
  <c r="D74" i="7"/>
  <c r="G74" i="7" s="1"/>
  <c r="H74" i="7" s="1"/>
  <c r="I74" i="7" s="1"/>
  <c r="B74" i="7"/>
  <c r="A74" i="7"/>
  <c r="F73" i="7"/>
  <c r="E73" i="7"/>
  <c r="D73" i="7"/>
  <c r="G73" i="7" s="1"/>
  <c r="H73" i="7" s="1"/>
  <c r="I73" i="7" s="1"/>
  <c r="B73" i="7"/>
  <c r="A73" i="7"/>
  <c r="F72" i="7"/>
  <c r="E72" i="7"/>
  <c r="D72" i="7"/>
  <c r="G72" i="7" s="1"/>
  <c r="H72" i="7" s="1"/>
  <c r="I72" i="7" s="1"/>
  <c r="B72" i="7"/>
  <c r="A72" i="7"/>
  <c r="F71" i="7"/>
  <c r="E71" i="7"/>
  <c r="D71" i="7"/>
  <c r="G71" i="7" s="1"/>
  <c r="H71" i="7" s="1"/>
  <c r="I71" i="7" s="1"/>
  <c r="B71" i="7"/>
  <c r="A71" i="7"/>
  <c r="F70" i="7"/>
  <c r="E70" i="7"/>
  <c r="D70" i="7"/>
  <c r="G70" i="7" s="1"/>
  <c r="H70" i="7" s="1"/>
  <c r="I70" i="7" s="1"/>
  <c r="B70" i="7"/>
  <c r="F69" i="7"/>
  <c r="E69" i="7"/>
  <c r="D69" i="7"/>
  <c r="G69" i="7" s="1"/>
  <c r="H69" i="7" s="1"/>
  <c r="B69" i="7"/>
  <c r="A69" i="7"/>
  <c r="F68" i="7"/>
  <c r="E68" i="7"/>
  <c r="D68" i="7"/>
  <c r="G68" i="7" s="1"/>
  <c r="B68" i="7"/>
  <c r="A68" i="7"/>
  <c r="F67" i="7"/>
  <c r="E67" i="7"/>
  <c r="D67" i="7"/>
  <c r="G67" i="7" s="1"/>
  <c r="H67" i="7" s="1"/>
  <c r="B67" i="7"/>
  <c r="A67" i="7"/>
  <c r="F66" i="7"/>
  <c r="E66" i="7"/>
  <c r="D66" i="7"/>
  <c r="G66" i="7" s="1"/>
  <c r="B66" i="7"/>
  <c r="A66" i="7"/>
  <c r="F65" i="7"/>
  <c r="E65" i="7"/>
  <c r="D65" i="7"/>
  <c r="G65" i="7" s="1"/>
  <c r="H65" i="7" s="1"/>
  <c r="B65" i="7"/>
  <c r="A65" i="7"/>
  <c r="F64" i="7"/>
  <c r="E64" i="7"/>
  <c r="D64" i="7"/>
  <c r="G64" i="7" s="1"/>
  <c r="B64" i="7"/>
  <c r="A64" i="7"/>
  <c r="F63" i="7"/>
  <c r="E63" i="7"/>
  <c r="D63" i="7"/>
  <c r="G63" i="7" s="1"/>
  <c r="H63" i="7" s="1"/>
  <c r="B63" i="7"/>
  <c r="A63" i="7"/>
  <c r="F62" i="7"/>
  <c r="E62" i="7"/>
  <c r="D62" i="7"/>
  <c r="G62" i="7" s="1"/>
  <c r="B62" i="7"/>
  <c r="A62" i="7"/>
  <c r="F61" i="7"/>
  <c r="E61" i="7"/>
  <c r="D61" i="7"/>
  <c r="G61" i="7" s="1"/>
  <c r="B61" i="7"/>
  <c r="A61" i="7"/>
  <c r="F60" i="7"/>
  <c r="E60" i="7"/>
  <c r="D60" i="7"/>
  <c r="G60" i="7" s="1"/>
  <c r="M6" i="7" s="1"/>
  <c r="B60" i="7"/>
  <c r="F59" i="7"/>
  <c r="E59" i="7"/>
  <c r="D59" i="7"/>
  <c r="G59" i="7" s="1"/>
  <c r="B59" i="7"/>
  <c r="A59" i="7"/>
  <c r="F58" i="7"/>
  <c r="E58" i="7"/>
  <c r="D58" i="7"/>
  <c r="G58" i="7" s="1"/>
  <c r="B58" i="7"/>
  <c r="A58" i="7"/>
  <c r="F57" i="7"/>
  <c r="E57" i="7"/>
  <c r="D57" i="7"/>
  <c r="G57" i="7" s="1"/>
  <c r="B57" i="7"/>
  <c r="A57" i="7"/>
  <c r="F56" i="7"/>
  <c r="E56" i="7"/>
  <c r="D56" i="7"/>
  <c r="G56" i="7" s="1"/>
  <c r="B56" i="7"/>
  <c r="A56" i="7"/>
  <c r="F55" i="7"/>
  <c r="E55" i="7"/>
  <c r="D55" i="7"/>
  <c r="G55" i="7" s="1"/>
  <c r="B55" i="7"/>
  <c r="A55" i="7"/>
  <c r="F54" i="7"/>
  <c r="E54" i="7"/>
  <c r="D54" i="7"/>
  <c r="G54" i="7" s="1"/>
  <c r="H54" i="7" s="1"/>
  <c r="B54" i="7"/>
  <c r="A54" i="7"/>
  <c r="F53" i="7"/>
  <c r="E53" i="7"/>
  <c r="D53" i="7"/>
  <c r="G53" i="7" s="1"/>
  <c r="B53" i="7"/>
  <c r="A53" i="7"/>
  <c r="F52" i="7"/>
  <c r="E52" i="7"/>
  <c r="D52" i="7"/>
  <c r="G52" i="7" s="1"/>
  <c r="B52" i="7"/>
  <c r="A52" i="7"/>
  <c r="F51" i="7"/>
  <c r="E51" i="7"/>
  <c r="D51" i="7"/>
  <c r="G51" i="7" s="1"/>
  <c r="B51" i="7"/>
  <c r="A51" i="7"/>
  <c r="F50" i="7"/>
  <c r="E50" i="7"/>
  <c r="D50" i="7"/>
  <c r="G50" i="7" s="1"/>
  <c r="H50" i="7" s="1"/>
  <c r="B50" i="7"/>
  <c r="A50" i="7"/>
  <c r="F49" i="7"/>
  <c r="E49" i="7"/>
  <c r="D49" i="7"/>
  <c r="G49" i="7" s="1"/>
  <c r="B49" i="7"/>
  <c r="A49" i="7"/>
  <c r="F48" i="7"/>
  <c r="E48" i="7"/>
  <c r="D48" i="7"/>
  <c r="G48" i="7" s="1"/>
  <c r="B48" i="7"/>
  <c r="A48" i="7"/>
  <c r="F47" i="7"/>
  <c r="E47" i="7"/>
  <c r="D47" i="7"/>
  <c r="G47" i="7" s="1"/>
  <c r="B47" i="7"/>
  <c r="A47" i="7"/>
  <c r="F46" i="7"/>
  <c r="E46" i="7"/>
  <c r="D46" i="7"/>
  <c r="G46" i="7" s="1"/>
  <c r="H46" i="7" s="1"/>
  <c r="B46" i="7"/>
  <c r="A46" i="7"/>
  <c r="F45" i="7"/>
  <c r="E45" i="7"/>
  <c r="D45" i="7"/>
  <c r="G45" i="7" s="1"/>
  <c r="B45" i="7"/>
  <c r="A45" i="7"/>
  <c r="F44" i="7"/>
  <c r="E44" i="7"/>
  <c r="D44" i="7"/>
  <c r="G44" i="7" s="1"/>
  <c r="B44" i="7"/>
  <c r="A44" i="7"/>
  <c r="F43" i="7"/>
  <c r="E43" i="7"/>
  <c r="D43" i="7"/>
  <c r="G43" i="7" s="1"/>
  <c r="B43" i="7"/>
  <c r="A43" i="7"/>
  <c r="F42" i="7"/>
  <c r="E42" i="7"/>
  <c r="D42" i="7"/>
  <c r="G42" i="7" s="1"/>
  <c r="B42" i="7"/>
  <c r="A42" i="7"/>
  <c r="F41" i="7"/>
  <c r="E41" i="7"/>
  <c r="D41" i="7"/>
  <c r="G41" i="7" s="1"/>
  <c r="B41" i="7"/>
  <c r="A41" i="7"/>
  <c r="F40" i="7"/>
  <c r="E40" i="7"/>
  <c r="D40" i="7"/>
  <c r="G40" i="7" s="1"/>
  <c r="B40" i="7"/>
  <c r="A40" i="7"/>
  <c r="F39" i="7"/>
  <c r="E39" i="7"/>
  <c r="D39" i="7"/>
  <c r="G39" i="7" s="1"/>
  <c r="B39" i="7"/>
  <c r="A39" i="7"/>
  <c r="F38" i="7"/>
  <c r="E38" i="7"/>
  <c r="D38" i="7"/>
  <c r="G38" i="7" s="1"/>
  <c r="H38" i="7" s="1"/>
  <c r="B38" i="7"/>
  <c r="A38" i="7"/>
  <c r="F37" i="7"/>
  <c r="E37" i="7"/>
  <c r="D37" i="7"/>
  <c r="G37" i="7" s="1"/>
  <c r="B37" i="7"/>
  <c r="A37" i="7"/>
  <c r="F36" i="7"/>
  <c r="E36" i="7"/>
  <c r="D36" i="7"/>
  <c r="G36" i="7" s="1"/>
  <c r="B36" i="7"/>
  <c r="A36" i="7"/>
  <c r="F35" i="7"/>
  <c r="E35" i="7"/>
  <c r="D35" i="7"/>
  <c r="G35" i="7" s="1"/>
  <c r="B35" i="7"/>
  <c r="A35" i="7"/>
  <c r="F34" i="7"/>
  <c r="E34" i="7"/>
  <c r="D34" i="7"/>
  <c r="G34" i="7" s="1"/>
  <c r="H34" i="7" s="1"/>
  <c r="B34" i="7"/>
  <c r="A34" i="7"/>
  <c r="F33" i="7"/>
  <c r="E33" i="7"/>
  <c r="D33" i="7"/>
  <c r="G33" i="7" s="1"/>
  <c r="B33" i="7"/>
  <c r="A33" i="7"/>
  <c r="F32" i="7"/>
  <c r="E32" i="7"/>
  <c r="D32" i="7"/>
  <c r="G32" i="7" s="1"/>
  <c r="B32" i="7"/>
  <c r="A32" i="7"/>
  <c r="F31" i="7"/>
  <c r="E31" i="7"/>
  <c r="D31" i="7"/>
  <c r="G31" i="7" s="1"/>
  <c r="B31" i="7"/>
  <c r="A31" i="7"/>
  <c r="F30" i="7"/>
  <c r="E30" i="7"/>
  <c r="D30" i="7"/>
  <c r="G30" i="7" s="1"/>
  <c r="H30" i="7" s="1"/>
  <c r="B30" i="7"/>
  <c r="A30" i="7"/>
  <c r="F29" i="7"/>
  <c r="E29" i="7"/>
  <c r="D29" i="7"/>
  <c r="G29" i="7" s="1"/>
  <c r="B29" i="7"/>
  <c r="A29" i="7"/>
  <c r="F28" i="7"/>
  <c r="E28" i="7"/>
  <c r="D28" i="7"/>
  <c r="G28" i="7" s="1"/>
  <c r="B28" i="7"/>
  <c r="A28" i="7"/>
  <c r="F27" i="7"/>
  <c r="E27" i="7"/>
  <c r="D27" i="7"/>
  <c r="G27" i="7" s="1"/>
  <c r="B27" i="7"/>
  <c r="A27" i="7"/>
  <c r="F26" i="7"/>
  <c r="E26" i="7"/>
  <c r="D26" i="7"/>
  <c r="G26" i="7" s="1"/>
  <c r="B26" i="7"/>
  <c r="A26" i="7"/>
  <c r="F25" i="7"/>
  <c r="E25" i="7"/>
  <c r="D25" i="7"/>
  <c r="G25" i="7" s="1"/>
  <c r="B25" i="7"/>
  <c r="A25" i="7"/>
  <c r="F24" i="7"/>
  <c r="E24" i="7"/>
  <c r="D24" i="7"/>
  <c r="G24" i="7" s="1"/>
  <c r="B24" i="7"/>
  <c r="A24" i="7"/>
  <c r="F23" i="7"/>
  <c r="E23" i="7"/>
  <c r="D23" i="7"/>
  <c r="G23" i="7" s="1"/>
  <c r="B23" i="7"/>
  <c r="A23" i="7"/>
  <c r="F22" i="7"/>
  <c r="E22" i="7"/>
  <c r="D22" i="7"/>
  <c r="G22" i="7" s="1"/>
  <c r="H22" i="7" s="1"/>
  <c r="B22" i="7"/>
  <c r="A22" i="7"/>
  <c r="F21" i="7"/>
  <c r="E21" i="7"/>
  <c r="D21" i="7"/>
  <c r="G21" i="7" s="1"/>
  <c r="B21" i="7"/>
  <c r="A21" i="7"/>
  <c r="F20" i="7"/>
  <c r="E20" i="7"/>
  <c r="D20" i="7"/>
  <c r="G20" i="7" s="1"/>
  <c r="B20" i="7"/>
  <c r="A20" i="7"/>
  <c r="F19" i="7"/>
  <c r="E19" i="7"/>
  <c r="D19" i="7"/>
  <c r="G19" i="7" s="1"/>
  <c r="B19" i="7"/>
  <c r="A19" i="7"/>
  <c r="F18" i="7"/>
  <c r="E18" i="7"/>
  <c r="D18" i="7"/>
  <c r="G18" i="7" s="1"/>
  <c r="H18" i="7" s="1"/>
  <c r="B18" i="7"/>
  <c r="A18" i="7"/>
  <c r="F17" i="7"/>
  <c r="E17" i="7"/>
  <c r="D17" i="7"/>
  <c r="G17" i="7" s="1"/>
  <c r="B17" i="7"/>
  <c r="A17" i="7"/>
  <c r="F16" i="7"/>
  <c r="E16" i="7"/>
  <c r="D16" i="7"/>
  <c r="G16" i="7" s="1"/>
  <c r="B16" i="7"/>
  <c r="A16" i="7"/>
  <c r="F15" i="7"/>
  <c r="E15" i="7"/>
  <c r="D15" i="7"/>
  <c r="G15" i="7" s="1"/>
  <c r="B15" i="7"/>
  <c r="A15" i="7"/>
  <c r="F14" i="7"/>
  <c r="E14" i="7"/>
  <c r="D14" i="7"/>
  <c r="G14" i="7" s="1"/>
  <c r="H14" i="7" s="1"/>
  <c r="B14" i="7"/>
  <c r="A14" i="7"/>
  <c r="F13" i="7"/>
  <c r="E13" i="7"/>
  <c r="D13" i="7"/>
  <c r="G13" i="7" s="1"/>
  <c r="B13" i="7"/>
  <c r="A13" i="7"/>
  <c r="F12" i="7"/>
  <c r="E12" i="7"/>
  <c r="D12" i="7"/>
  <c r="G12" i="7" s="1"/>
  <c r="B12" i="7"/>
  <c r="A12" i="7"/>
  <c r="F11" i="7"/>
  <c r="E11" i="7"/>
  <c r="D11" i="7"/>
  <c r="G11" i="7" s="1"/>
  <c r="B11" i="7"/>
  <c r="A11" i="7"/>
  <c r="F10" i="7"/>
  <c r="E10" i="7"/>
  <c r="D10" i="7"/>
  <c r="G10" i="7" s="1"/>
  <c r="B10" i="7"/>
  <c r="A10" i="7"/>
  <c r="F9" i="7"/>
  <c r="E9" i="7"/>
  <c r="D9" i="7"/>
  <c r="G9" i="7" s="1"/>
  <c r="H9" i="7" s="1"/>
  <c r="B9" i="7"/>
  <c r="A9" i="7"/>
  <c r="F8" i="7"/>
  <c r="E8" i="7"/>
  <c r="D8" i="7"/>
  <c r="G8" i="7" s="1"/>
  <c r="B8" i="7"/>
  <c r="A8" i="7"/>
  <c r="F7" i="7"/>
  <c r="E7" i="7"/>
  <c r="D7" i="7"/>
  <c r="G7" i="7" s="1"/>
  <c r="H7" i="7" s="1"/>
  <c r="B7" i="7"/>
  <c r="A7" i="7"/>
  <c r="F6" i="7"/>
  <c r="E6" i="7"/>
  <c r="D6" i="7"/>
  <c r="G6" i="7" s="1"/>
  <c r="B6" i="7"/>
  <c r="A6" i="7"/>
  <c r="F5" i="7"/>
  <c r="E5" i="7"/>
  <c r="D5" i="7"/>
  <c r="G5" i="7" s="1"/>
  <c r="H5" i="7" s="1"/>
  <c r="B5" i="7"/>
  <c r="A5" i="7"/>
  <c r="F4" i="7"/>
  <c r="E4" i="7"/>
  <c r="D4" i="7"/>
  <c r="G4" i="7" s="1"/>
  <c r="B4" i="7"/>
  <c r="A4" i="7"/>
  <c r="F3" i="7"/>
  <c r="E3" i="7"/>
  <c r="D3" i="7"/>
  <c r="G3" i="7" s="1"/>
  <c r="B3" i="7"/>
  <c r="A3" i="7"/>
  <c r="F1" i="7"/>
  <c r="E3" i="6"/>
  <c r="D3" i="6"/>
  <c r="A3" i="6"/>
  <c r="H311" i="5"/>
  <c r="G311" i="5"/>
  <c r="G310" i="5"/>
  <c r="I309" i="5"/>
  <c r="H309" i="5"/>
  <c r="G309" i="5"/>
  <c r="H308" i="5"/>
  <c r="G308" i="5"/>
  <c r="I308" i="5" s="1"/>
  <c r="G307" i="5"/>
  <c r="G306" i="5"/>
  <c r="I305" i="5"/>
  <c r="H305" i="5"/>
  <c r="G305" i="5"/>
  <c r="H304" i="5"/>
  <c r="I304" i="5" s="1"/>
  <c r="G304" i="5"/>
  <c r="G303" i="5"/>
  <c r="H303" i="5" s="1"/>
  <c r="G302" i="5"/>
  <c r="G301" i="5"/>
  <c r="G300" i="5"/>
  <c r="H300" i="5" s="1"/>
  <c r="I300" i="5" s="1"/>
  <c r="G299" i="5"/>
  <c r="H299" i="5" s="1"/>
  <c r="G298" i="5"/>
  <c r="F297" i="5"/>
  <c r="E297" i="5"/>
  <c r="D297" i="5"/>
  <c r="G297" i="5" s="1"/>
  <c r="B297" i="5"/>
  <c r="A297" i="5"/>
  <c r="F296" i="5"/>
  <c r="E296" i="5"/>
  <c r="D296" i="5"/>
  <c r="G296" i="5" s="1"/>
  <c r="B296" i="5"/>
  <c r="A296" i="5"/>
  <c r="F295" i="5"/>
  <c r="E295" i="5"/>
  <c r="D295" i="5"/>
  <c r="G295" i="5" s="1"/>
  <c r="H295" i="5" s="1"/>
  <c r="B295" i="5"/>
  <c r="A295" i="5"/>
  <c r="F294" i="5"/>
  <c r="E294" i="5"/>
  <c r="D294" i="5"/>
  <c r="G294" i="5" s="1"/>
  <c r="B294" i="5"/>
  <c r="A294" i="5"/>
  <c r="F293" i="5"/>
  <c r="E293" i="5"/>
  <c r="D293" i="5"/>
  <c r="G293" i="5" s="1"/>
  <c r="B293" i="5"/>
  <c r="A293" i="5"/>
  <c r="F292" i="5"/>
  <c r="E292" i="5"/>
  <c r="D292" i="5"/>
  <c r="G292" i="5" s="1"/>
  <c r="H292" i="5" s="1"/>
  <c r="B292" i="5"/>
  <c r="A292" i="5"/>
  <c r="F291" i="5"/>
  <c r="E291" i="5"/>
  <c r="D291" i="5"/>
  <c r="G291" i="5" s="1"/>
  <c r="H291" i="5" s="1"/>
  <c r="B291" i="5"/>
  <c r="A291" i="5"/>
  <c r="F290" i="5"/>
  <c r="E290" i="5"/>
  <c r="D290" i="5"/>
  <c r="G290" i="5" s="1"/>
  <c r="B290" i="5"/>
  <c r="A290" i="5"/>
  <c r="F289" i="5"/>
  <c r="E289" i="5"/>
  <c r="D289" i="5"/>
  <c r="G289" i="5" s="1"/>
  <c r="B289" i="5"/>
  <c r="F288" i="5"/>
  <c r="E288" i="5"/>
  <c r="D288" i="5"/>
  <c r="G288" i="5" s="1"/>
  <c r="H288" i="5" s="1"/>
  <c r="B288" i="5"/>
  <c r="A288" i="5"/>
  <c r="F287" i="5"/>
  <c r="E287" i="5"/>
  <c r="D287" i="5"/>
  <c r="G287" i="5" s="1"/>
  <c r="H287" i="5" s="1"/>
  <c r="B287" i="5"/>
  <c r="F286" i="5"/>
  <c r="E286" i="5"/>
  <c r="D286" i="5"/>
  <c r="G286" i="5" s="1"/>
  <c r="B286" i="5"/>
  <c r="A286" i="5"/>
  <c r="F285" i="5"/>
  <c r="E285" i="5"/>
  <c r="D285" i="5"/>
  <c r="G285" i="5" s="1"/>
  <c r="B285" i="5"/>
  <c r="A285" i="5"/>
  <c r="F284" i="5"/>
  <c r="E284" i="5"/>
  <c r="D284" i="5"/>
  <c r="G284" i="5" s="1"/>
  <c r="B284" i="5"/>
  <c r="A284" i="5"/>
  <c r="F283" i="5"/>
  <c r="E283" i="5"/>
  <c r="D283" i="5"/>
  <c r="G283" i="5" s="1"/>
  <c r="B283" i="5"/>
  <c r="A283" i="5"/>
  <c r="F282" i="5"/>
  <c r="E282" i="5"/>
  <c r="D282" i="5"/>
  <c r="G282" i="5" s="1"/>
  <c r="B282" i="5"/>
  <c r="A282" i="5"/>
  <c r="F281" i="5"/>
  <c r="E281" i="5"/>
  <c r="D281" i="5"/>
  <c r="G281" i="5" s="1"/>
  <c r="B281" i="5"/>
  <c r="A281" i="5"/>
  <c r="F280" i="5"/>
  <c r="E280" i="5"/>
  <c r="D280" i="5"/>
  <c r="G280" i="5" s="1"/>
  <c r="B280" i="5"/>
  <c r="A280" i="5"/>
  <c r="F279" i="5"/>
  <c r="E279" i="5"/>
  <c r="D279" i="5"/>
  <c r="G279" i="5" s="1"/>
  <c r="B279" i="5"/>
  <c r="A279" i="5"/>
  <c r="F278" i="5"/>
  <c r="E278" i="5"/>
  <c r="D278" i="5"/>
  <c r="G278" i="5" s="1"/>
  <c r="B278" i="5"/>
  <c r="A278" i="5"/>
  <c r="F277" i="5"/>
  <c r="E277" i="5"/>
  <c r="D277" i="5"/>
  <c r="G277" i="5" s="1"/>
  <c r="B277" i="5"/>
  <c r="A277" i="5"/>
  <c r="F276" i="5"/>
  <c r="E276" i="5"/>
  <c r="D276" i="5"/>
  <c r="G276" i="5" s="1"/>
  <c r="B276" i="5"/>
  <c r="A276" i="5"/>
  <c r="F275" i="5"/>
  <c r="E275" i="5"/>
  <c r="D275" i="5"/>
  <c r="G275" i="5" s="1"/>
  <c r="B275" i="5"/>
  <c r="A275" i="5"/>
  <c r="F274" i="5"/>
  <c r="E274" i="5"/>
  <c r="D274" i="5"/>
  <c r="G274" i="5" s="1"/>
  <c r="B274" i="5"/>
  <c r="A274" i="5"/>
  <c r="F273" i="5"/>
  <c r="E273" i="5"/>
  <c r="D273" i="5"/>
  <c r="G273" i="5" s="1"/>
  <c r="B273" i="5"/>
  <c r="A273" i="5"/>
  <c r="F272" i="5"/>
  <c r="E272" i="5"/>
  <c r="D272" i="5"/>
  <c r="G272" i="5" s="1"/>
  <c r="B272" i="5"/>
  <c r="A272" i="5"/>
  <c r="F271" i="5"/>
  <c r="E271" i="5"/>
  <c r="D271" i="5"/>
  <c r="G271" i="5" s="1"/>
  <c r="B271" i="5"/>
  <c r="A271" i="5"/>
  <c r="F270" i="5"/>
  <c r="E270" i="5"/>
  <c r="D270" i="5"/>
  <c r="G270" i="5" s="1"/>
  <c r="B270" i="5"/>
  <c r="A270" i="5"/>
  <c r="F269" i="5"/>
  <c r="E269" i="5"/>
  <c r="D269" i="5"/>
  <c r="G269" i="5" s="1"/>
  <c r="B269" i="5"/>
  <c r="A269" i="5"/>
  <c r="F268" i="5"/>
  <c r="E268" i="5"/>
  <c r="D268" i="5"/>
  <c r="G268" i="5" s="1"/>
  <c r="B268" i="5"/>
  <c r="A268" i="5"/>
  <c r="F267" i="5"/>
  <c r="E267" i="5"/>
  <c r="D267" i="5"/>
  <c r="G267" i="5" s="1"/>
  <c r="B267" i="5"/>
  <c r="A267" i="5"/>
  <c r="F266" i="5"/>
  <c r="E266" i="5"/>
  <c r="D266" i="5"/>
  <c r="G266" i="5" s="1"/>
  <c r="B266" i="5"/>
  <c r="A266" i="5"/>
  <c r="F265" i="5"/>
  <c r="E265" i="5"/>
  <c r="D265" i="5"/>
  <c r="G265" i="5" s="1"/>
  <c r="B265" i="5"/>
  <c r="A265" i="5"/>
  <c r="F264" i="5"/>
  <c r="E264" i="5"/>
  <c r="D264" i="5"/>
  <c r="G264" i="5" s="1"/>
  <c r="B264" i="5"/>
  <c r="A264" i="5"/>
  <c r="F263" i="5"/>
  <c r="E263" i="5"/>
  <c r="D263" i="5"/>
  <c r="G263" i="5" s="1"/>
  <c r="B263" i="5"/>
  <c r="A263" i="5"/>
  <c r="F262" i="5"/>
  <c r="E262" i="5"/>
  <c r="D262" i="5"/>
  <c r="G262" i="5" s="1"/>
  <c r="B262" i="5"/>
  <c r="A262" i="5"/>
  <c r="F261" i="5"/>
  <c r="E261" i="5"/>
  <c r="D261" i="5"/>
  <c r="G261" i="5" s="1"/>
  <c r="B261" i="5"/>
  <c r="A261" i="5"/>
  <c r="F260" i="5"/>
  <c r="E260" i="5"/>
  <c r="D260" i="5"/>
  <c r="G260" i="5" s="1"/>
  <c r="B260" i="5"/>
  <c r="A260" i="5"/>
  <c r="F259" i="5"/>
  <c r="E259" i="5"/>
  <c r="D259" i="5"/>
  <c r="G259" i="5" s="1"/>
  <c r="B259" i="5"/>
  <c r="A259" i="5"/>
  <c r="F258" i="5"/>
  <c r="E258" i="5"/>
  <c r="D258" i="5"/>
  <c r="G258" i="5" s="1"/>
  <c r="B258" i="5"/>
  <c r="A258" i="5"/>
  <c r="F257" i="5"/>
  <c r="E257" i="5"/>
  <c r="D257" i="5"/>
  <c r="G257" i="5" s="1"/>
  <c r="B257" i="5"/>
  <c r="A257" i="5"/>
  <c r="F256" i="5"/>
  <c r="E256" i="5"/>
  <c r="D256" i="5"/>
  <c r="G256" i="5" s="1"/>
  <c r="B256" i="5"/>
  <c r="A256" i="5"/>
  <c r="F255" i="5"/>
  <c r="E255" i="5"/>
  <c r="D255" i="5"/>
  <c r="G255" i="5" s="1"/>
  <c r="B255" i="5"/>
  <c r="A255" i="5"/>
  <c r="F254" i="5"/>
  <c r="E254" i="5"/>
  <c r="D254" i="5"/>
  <c r="G254" i="5" s="1"/>
  <c r="B254" i="5"/>
  <c r="A254" i="5"/>
  <c r="F253" i="5"/>
  <c r="E253" i="5"/>
  <c r="D253" i="5"/>
  <c r="G253" i="5" s="1"/>
  <c r="B253" i="5"/>
  <c r="A253" i="5"/>
  <c r="F252" i="5"/>
  <c r="E252" i="5"/>
  <c r="D252" i="5"/>
  <c r="G252" i="5" s="1"/>
  <c r="B252" i="5"/>
  <c r="A252" i="5"/>
  <c r="F251" i="5"/>
  <c r="E251" i="5"/>
  <c r="D251" i="5"/>
  <c r="G251" i="5" s="1"/>
  <c r="B251" i="5"/>
  <c r="A251" i="5"/>
  <c r="F250" i="5"/>
  <c r="E250" i="5"/>
  <c r="D250" i="5"/>
  <c r="G250" i="5" s="1"/>
  <c r="B250" i="5"/>
  <c r="A250" i="5"/>
  <c r="F249" i="5"/>
  <c r="E249" i="5"/>
  <c r="D249" i="5"/>
  <c r="G249" i="5" s="1"/>
  <c r="B249" i="5"/>
  <c r="A249" i="5"/>
  <c r="F248" i="5"/>
  <c r="E248" i="5"/>
  <c r="D248" i="5"/>
  <c r="G248" i="5" s="1"/>
  <c r="B248" i="5"/>
  <c r="A248" i="5"/>
  <c r="F247" i="5"/>
  <c r="E247" i="5"/>
  <c r="D247" i="5"/>
  <c r="G247" i="5" s="1"/>
  <c r="B247" i="5"/>
  <c r="A247" i="5"/>
  <c r="F246" i="5"/>
  <c r="E246" i="5"/>
  <c r="D246" i="5"/>
  <c r="G246" i="5" s="1"/>
  <c r="B246" i="5"/>
  <c r="A246" i="5"/>
  <c r="F245" i="5"/>
  <c r="E245" i="5"/>
  <c r="D245" i="5"/>
  <c r="G245" i="5" s="1"/>
  <c r="H245" i="5" s="1"/>
  <c r="I245" i="5" s="1"/>
  <c r="B245" i="5"/>
  <c r="A245" i="5"/>
  <c r="F244" i="5"/>
  <c r="E244" i="5"/>
  <c r="D244" i="5"/>
  <c r="G244" i="5" s="1"/>
  <c r="H244" i="5" s="1"/>
  <c r="I244" i="5" s="1"/>
  <c r="B244" i="5"/>
  <c r="A244" i="5"/>
  <c r="F243" i="5"/>
  <c r="E243" i="5"/>
  <c r="D243" i="5"/>
  <c r="G243" i="5" s="1"/>
  <c r="H243" i="5" s="1"/>
  <c r="I243" i="5" s="1"/>
  <c r="B243" i="5"/>
  <c r="A243" i="5"/>
  <c r="F242" i="5"/>
  <c r="E242" i="5"/>
  <c r="D242" i="5"/>
  <c r="G242" i="5" s="1"/>
  <c r="H242" i="5" s="1"/>
  <c r="I242" i="5" s="1"/>
  <c r="B242" i="5"/>
  <c r="A242" i="5"/>
  <c r="F241" i="5"/>
  <c r="E241" i="5"/>
  <c r="D241" i="5"/>
  <c r="G241" i="5" s="1"/>
  <c r="H241" i="5" s="1"/>
  <c r="I241" i="5" s="1"/>
  <c r="B241" i="5"/>
  <c r="A241" i="5"/>
  <c r="F240" i="5"/>
  <c r="E240" i="5"/>
  <c r="D240" i="5"/>
  <c r="G240" i="5" s="1"/>
  <c r="H240" i="5" s="1"/>
  <c r="I240" i="5" s="1"/>
  <c r="B240" i="5"/>
  <c r="A240" i="5"/>
  <c r="F239" i="5"/>
  <c r="E239" i="5"/>
  <c r="D239" i="5"/>
  <c r="G239" i="5" s="1"/>
  <c r="H239" i="5" s="1"/>
  <c r="I239" i="5" s="1"/>
  <c r="B239" i="5"/>
  <c r="A239" i="5"/>
  <c r="F238" i="5"/>
  <c r="E238" i="5"/>
  <c r="D238" i="5"/>
  <c r="G238" i="5" s="1"/>
  <c r="H238" i="5" s="1"/>
  <c r="I238" i="5" s="1"/>
  <c r="B238" i="5"/>
  <c r="A238" i="5"/>
  <c r="F237" i="5"/>
  <c r="E237" i="5"/>
  <c r="D237" i="5"/>
  <c r="G237" i="5" s="1"/>
  <c r="H237" i="5" s="1"/>
  <c r="I237" i="5" s="1"/>
  <c r="B237" i="5"/>
  <c r="A237" i="5"/>
  <c r="F236" i="5"/>
  <c r="E236" i="5"/>
  <c r="D236" i="5"/>
  <c r="G236" i="5" s="1"/>
  <c r="H236" i="5" s="1"/>
  <c r="I236" i="5" s="1"/>
  <c r="B236" i="5"/>
  <c r="A236" i="5"/>
  <c r="F235" i="5"/>
  <c r="E235" i="5"/>
  <c r="D235" i="5"/>
  <c r="G235" i="5" s="1"/>
  <c r="H235" i="5" s="1"/>
  <c r="I235" i="5" s="1"/>
  <c r="B235" i="5"/>
  <c r="A235" i="5"/>
  <c r="F234" i="5"/>
  <c r="E234" i="5"/>
  <c r="D234" i="5"/>
  <c r="G234" i="5" s="1"/>
  <c r="H234" i="5" s="1"/>
  <c r="I234" i="5" s="1"/>
  <c r="B234" i="5"/>
  <c r="A234" i="5"/>
  <c r="F233" i="5"/>
  <c r="E233" i="5"/>
  <c r="D233" i="5"/>
  <c r="G233" i="5" s="1"/>
  <c r="H233" i="5" s="1"/>
  <c r="I233" i="5" s="1"/>
  <c r="B233" i="5"/>
  <c r="A233" i="5"/>
  <c r="F232" i="5"/>
  <c r="E232" i="5"/>
  <c r="D232" i="5"/>
  <c r="G232" i="5" s="1"/>
  <c r="H232" i="5" s="1"/>
  <c r="I232" i="5" s="1"/>
  <c r="B232" i="5"/>
  <c r="F231" i="5"/>
  <c r="E231" i="5"/>
  <c r="D231" i="5"/>
  <c r="G231" i="5" s="1"/>
  <c r="H231" i="5" s="1"/>
  <c r="B231" i="5"/>
  <c r="A231" i="5"/>
  <c r="F230" i="5"/>
  <c r="E230" i="5"/>
  <c r="D230" i="5"/>
  <c r="G230" i="5" s="1"/>
  <c r="B230" i="5"/>
  <c r="A230" i="5"/>
  <c r="F229" i="5"/>
  <c r="E229" i="5"/>
  <c r="D229" i="5"/>
  <c r="G229" i="5" s="1"/>
  <c r="H229" i="5" s="1"/>
  <c r="B229" i="5"/>
  <c r="A229" i="5"/>
  <c r="F228" i="5"/>
  <c r="E228" i="5"/>
  <c r="D228" i="5"/>
  <c r="G228" i="5" s="1"/>
  <c r="B228" i="5"/>
  <c r="A228" i="5"/>
  <c r="F227" i="5"/>
  <c r="E227" i="5"/>
  <c r="D227" i="5"/>
  <c r="G227" i="5" s="1"/>
  <c r="H227" i="5" s="1"/>
  <c r="B227" i="5"/>
  <c r="A227" i="5"/>
  <c r="F226" i="5"/>
  <c r="E226" i="5"/>
  <c r="D226" i="5"/>
  <c r="G226" i="5" s="1"/>
  <c r="B226" i="5"/>
  <c r="F225" i="5"/>
  <c r="E225" i="5"/>
  <c r="D225" i="5"/>
  <c r="G225" i="5" s="1"/>
  <c r="H225" i="5" s="1"/>
  <c r="B225" i="5"/>
  <c r="F224" i="5"/>
  <c r="E224" i="5"/>
  <c r="D224" i="5"/>
  <c r="G224" i="5" s="1"/>
  <c r="B224" i="5"/>
  <c r="A224" i="5"/>
  <c r="F223" i="5"/>
  <c r="E223" i="5"/>
  <c r="D223" i="5"/>
  <c r="G223" i="5" s="1"/>
  <c r="B223" i="5"/>
  <c r="A223" i="5"/>
  <c r="F222" i="5"/>
  <c r="E222" i="5"/>
  <c r="D222" i="5"/>
  <c r="G222" i="5" s="1"/>
  <c r="B222" i="5"/>
  <c r="A222" i="5"/>
  <c r="F221" i="5"/>
  <c r="E221" i="5"/>
  <c r="D221" i="5"/>
  <c r="G221" i="5" s="1"/>
  <c r="B221" i="5"/>
  <c r="A221" i="5"/>
  <c r="F220" i="5"/>
  <c r="E220" i="5"/>
  <c r="D220" i="5"/>
  <c r="G220" i="5" s="1"/>
  <c r="B220" i="5"/>
  <c r="F219" i="5"/>
  <c r="E219" i="5"/>
  <c r="D219" i="5"/>
  <c r="G219" i="5" s="1"/>
  <c r="H219" i="5" s="1"/>
  <c r="I219" i="5" s="1"/>
  <c r="B219" i="5"/>
  <c r="A219" i="5"/>
  <c r="F218" i="5"/>
  <c r="E218" i="5"/>
  <c r="D218" i="5"/>
  <c r="G218" i="5" s="1"/>
  <c r="B218" i="5"/>
  <c r="A218" i="5"/>
  <c r="F217" i="5"/>
  <c r="E217" i="5"/>
  <c r="D217" i="5"/>
  <c r="G217" i="5" s="1"/>
  <c r="H217" i="5" s="1"/>
  <c r="I217" i="5" s="1"/>
  <c r="B217" i="5"/>
  <c r="A217" i="5"/>
  <c r="F216" i="5"/>
  <c r="E216" i="5"/>
  <c r="D216" i="5"/>
  <c r="G216" i="5" s="1"/>
  <c r="H216" i="5" s="1"/>
  <c r="B216" i="5"/>
  <c r="A216" i="5"/>
  <c r="F215" i="5"/>
  <c r="E215" i="5"/>
  <c r="D215" i="5"/>
  <c r="G215" i="5" s="1"/>
  <c r="H215" i="5" s="1"/>
  <c r="I215" i="5" s="1"/>
  <c r="B215" i="5"/>
  <c r="A215" i="5"/>
  <c r="F214" i="5"/>
  <c r="E214" i="5"/>
  <c r="D214" i="5"/>
  <c r="G214" i="5" s="1"/>
  <c r="H214" i="5" s="1"/>
  <c r="B214" i="5"/>
  <c r="A214" i="5"/>
  <c r="F213" i="5"/>
  <c r="E213" i="5"/>
  <c r="D213" i="5"/>
  <c r="G213" i="5" s="1"/>
  <c r="H213" i="5" s="1"/>
  <c r="I213" i="5" s="1"/>
  <c r="B213" i="5"/>
  <c r="A213" i="5"/>
  <c r="F212" i="5"/>
  <c r="E212" i="5"/>
  <c r="D212" i="5"/>
  <c r="G212" i="5" s="1"/>
  <c r="B212" i="5"/>
  <c r="A212" i="5"/>
  <c r="F211" i="5"/>
  <c r="E211" i="5"/>
  <c r="D211" i="5"/>
  <c r="G211" i="5" s="1"/>
  <c r="H211" i="5" s="1"/>
  <c r="I211" i="5" s="1"/>
  <c r="B211" i="5"/>
  <c r="A211" i="5"/>
  <c r="F210" i="5"/>
  <c r="E210" i="5"/>
  <c r="D210" i="5"/>
  <c r="G210" i="5" s="1"/>
  <c r="H210" i="5" s="1"/>
  <c r="I210" i="5" s="1"/>
  <c r="B210" i="5"/>
  <c r="A210" i="5"/>
  <c r="F209" i="5"/>
  <c r="E209" i="5"/>
  <c r="D209" i="5"/>
  <c r="G209" i="5" s="1"/>
  <c r="H209" i="5" s="1"/>
  <c r="I209" i="5" s="1"/>
  <c r="B209" i="5"/>
  <c r="A209" i="5"/>
  <c r="F208" i="5"/>
  <c r="E208" i="5"/>
  <c r="D208" i="5"/>
  <c r="G208" i="5" s="1"/>
  <c r="H208" i="5" s="1"/>
  <c r="B208" i="5"/>
  <c r="A208" i="5"/>
  <c r="F207" i="5"/>
  <c r="E207" i="5"/>
  <c r="D207" i="5"/>
  <c r="G207" i="5" s="1"/>
  <c r="H207" i="5" s="1"/>
  <c r="I207" i="5" s="1"/>
  <c r="B207" i="5"/>
  <c r="A207" i="5"/>
  <c r="F206" i="5"/>
  <c r="E206" i="5"/>
  <c r="D206" i="5"/>
  <c r="G206" i="5" s="1"/>
  <c r="H206" i="5" s="1"/>
  <c r="I206" i="5" s="1"/>
  <c r="B206" i="5"/>
  <c r="A206" i="5"/>
  <c r="F205" i="5"/>
  <c r="E205" i="5"/>
  <c r="D205" i="5"/>
  <c r="G205" i="5" s="1"/>
  <c r="H205" i="5" s="1"/>
  <c r="I205" i="5" s="1"/>
  <c r="B205" i="5"/>
  <c r="A205" i="5"/>
  <c r="F204" i="5"/>
  <c r="E204" i="5"/>
  <c r="D204" i="5"/>
  <c r="G204" i="5" s="1"/>
  <c r="H204" i="5" s="1"/>
  <c r="B204" i="5"/>
  <c r="A204" i="5"/>
  <c r="F203" i="5"/>
  <c r="E203" i="5"/>
  <c r="D203" i="5"/>
  <c r="G203" i="5" s="1"/>
  <c r="H203" i="5" s="1"/>
  <c r="I203" i="5" s="1"/>
  <c r="B203" i="5"/>
  <c r="A203" i="5"/>
  <c r="F202" i="5"/>
  <c r="E202" i="5"/>
  <c r="D202" i="5"/>
  <c r="G202" i="5" s="1"/>
  <c r="H202" i="5" s="1"/>
  <c r="I202" i="5" s="1"/>
  <c r="B202" i="5"/>
  <c r="A202" i="5"/>
  <c r="F201" i="5"/>
  <c r="E201" i="5"/>
  <c r="D201" i="5"/>
  <c r="G201" i="5" s="1"/>
  <c r="H201" i="5" s="1"/>
  <c r="I201" i="5" s="1"/>
  <c r="B201" i="5"/>
  <c r="A201" i="5"/>
  <c r="F200" i="5"/>
  <c r="E200" i="5"/>
  <c r="D200" i="5"/>
  <c r="G200" i="5" s="1"/>
  <c r="B200" i="5"/>
  <c r="A200" i="5"/>
  <c r="F199" i="5"/>
  <c r="E199" i="5"/>
  <c r="D199" i="5"/>
  <c r="G199" i="5" s="1"/>
  <c r="H199" i="5" s="1"/>
  <c r="I199" i="5" s="1"/>
  <c r="B199" i="5"/>
  <c r="F198" i="5"/>
  <c r="E198" i="5"/>
  <c r="D198" i="5"/>
  <c r="G198" i="5" s="1"/>
  <c r="B198" i="5"/>
  <c r="A198" i="5"/>
  <c r="F197" i="5"/>
  <c r="E197" i="5"/>
  <c r="D197" i="5"/>
  <c r="G197" i="5" s="1"/>
  <c r="H197" i="5" s="1"/>
  <c r="B197" i="5"/>
  <c r="A197" i="5"/>
  <c r="F196" i="5"/>
  <c r="E196" i="5"/>
  <c r="D196" i="5"/>
  <c r="G196" i="5" s="1"/>
  <c r="H196" i="5" s="1"/>
  <c r="B196" i="5"/>
  <c r="A196" i="5"/>
  <c r="F195" i="5"/>
  <c r="E195" i="5"/>
  <c r="D195" i="5"/>
  <c r="G195" i="5" s="1"/>
  <c r="H195" i="5" s="1"/>
  <c r="B195" i="5"/>
  <c r="A195" i="5"/>
  <c r="F194" i="5"/>
  <c r="E194" i="5"/>
  <c r="D194" i="5"/>
  <c r="G194" i="5" s="1"/>
  <c r="H194" i="5" s="1"/>
  <c r="B194" i="5"/>
  <c r="A194" i="5"/>
  <c r="F193" i="5"/>
  <c r="E193" i="5"/>
  <c r="D193" i="5"/>
  <c r="G193" i="5" s="1"/>
  <c r="H193" i="5" s="1"/>
  <c r="B193" i="5"/>
  <c r="A193" i="5"/>
  <c r="F192" i="5"/>
  <c r="E192" i="5"/>
  <c r="D192" i="5"/>
  <c r="G192" i="5" s="1"/>
  <c r="H192" i="5" s="1"/>
  <c r="B192" i="5"/>
  <c r="A192" i="5"/>
  <c r="F191" i="5"/>
  <c r="E191" i="5"/>
  <c r="D191" i="5"/>
  <c r="G191" i="5" s="1"/>
  <c r="B191" i="5"/>
  <c r="A191" i="5"/>
  <c r="F190" i="5"/>
  <c r="E190" i="5"/>
  <c r="D190" i="5"/>
  <c r="G190" i="5" s="1"/>
  <c r="H190" i="5" s="1"/>
  <c r="B190" i="5"/>
  <c r="A190" i="5"/>
  <c r="F189" i="5"/>
  <c r="E189" i="5"/>
  <c r="D189" i="5"/>
  <c r="G189" i="5" s="1"/>
  <c r="H189" i="5" s="1"/>
  <c r="B189" i="5"/>
  <c r="A189" i="5"/>
  <c r="F188" i="5"/>
  <c r="E188" i="5"/>
  <c r="D188" i="5"/>
  <c r="G188" i="5" s="1"/>
  <c r="H188" i="5" s="1"/>
  <c r="B188" i="5"/>
  <c r="A188" i="5"/>
  <c r="F187" i="5"/>
  <c r="E187" i="5"/>
  <c r="D187" i="5"/>
  <c r="G187" i="5" s="1"/>
  <c r="H187" i="5" s="1"/>
  <c r="B187" i="5"/>
  <c r="A187" i="5"/>
  <c r="F186" i="5"/>
  <c r="E186" i="5"/>
  <c r="D186" i="5"/>
  <c r="G186" i="5" s="1"/>
  <c r="H186" i="5" s="1"/>
  <c r="B186" i="5"/>
  <c r="A186" i="5"/>
  <c r="F185" i="5"/>
  <c r="E185" i="5"/>
  <c r="D185" i="5"/>
  <c r="G185" i="5" s="1"/>
  <c r="H185" i="5" s="1"/>
  <c r="B185" i="5"/>
  <c r="A185" i="5"/>
  <c r="F184" i="5"/>
  <c r="E184" i="5"/>
  <c r="D184" i="5"/>
  <c r="G184" i="5" s="1"/>
  <c r="H184" i="5" s="1"/>
  <c r="B184" i="5"/>
  <c r="A184" i="5"/>
  <c r="F183" i="5"/>
  <c r="E183" i="5"/>
  <c r="D183" i="5"/>
  <c r="G183" i="5" s="1"/>
  <c r="H183" i="5" s="1"/>
  <c r="B183" i="5"/>
  <c r="A183" i="5"/>
  <c r="F182" i="5"/>
  <c r="E182" i="5"/>
  <c r="D182" i="5"/>
  <c r="G182" i="5" s="1"/>
  <c r="B182" i="5"/>
  <c r="A182" i="5"/>
  <c r="F181" i="5"/>
  <c r="E181" i="5"/>
  <c r="D181" i="5"/>
  <c r="G181" i="5" s="1"/>
  <c r="H181" i="5" s="1"/>
  <c r="B181" i="5"/>
  <c r="A181" i="5"/>
  <c r="F180" i="5"/>
  <c r="E180" i="5"/>
  <c r="D180" i="5"/>
  <c r="G180" i="5" s="1"/>
  <c r="H180" i="5" s="1"/>
  <c r="B180" i="5"/>
  <c r="A180" i="5"/>
  <c r="F179" i="5"/>
  <c r="E179" i="5"/>
  <c r="D179" i="5"/>
  <c r="G179" i="5" s="1"/>
  <c r="H179" i="5" s="1"/>
  <c r="B179" i="5"/>
  <c r="A179" i="5"/>
  <c r="F178" i="5"/>
  <c r="E178" i="5"/>
  <c r="D178" i="5"/>
  <c r="G178" i="5" s="1"/>
  <c r="H178" i="5" s="1"/>
  <c r="B178" i="5"/>
  <c r="A178" i="5"/>
  <c r="F177" i="5"/>
  <c r="E177" i="5"/>
  <c r="D177" i="5"/>
  <c r="G177" i="5" s="1"/>
  <c r="H177" i="5" s="1"/>
  <c r="B177" i="5"/>
  <c r="A177" i="5"/>
  <c r="F176" i="5"/>
  <c r="E176" i="5"/>
  <c r="D176" i="5"/>
  <c r="G176" i="5" s="1"/>
  <c r="H176" i="5" s="1"/>
  <c r="B176" i="5"/>
  <c r="A176" i="5"/>
  <c r="F175" i="5"/>
  <c r="E175" i="5"/>
  <c r="D175" i="5"/>
  <c r="G175" i="5" s="1"/>
  <c r="H175" i="5" s="1"/>
  <c r="B175" i="5"/>
  <c r="A175" i="5"/>
  <c r="F174" i="5"/>
  <c r="E174" i="5"/>
  <c r="D174" i="5"/>
  <c r="G174" i="5" s="1"/>
  <c r="H174" i="5" s="1"/>
  <c r="B174" i="5"/>
  <c r="A174" i="5"/>
  <c r="F173" i="5"/>
  <c r="E173" i="5"/>
  <c r="D173" i="5"/>
  <c r="G173" i="5" s="1"/>
  <c r="H173" i="5" s="1"/>
  <c r="B173" i="5"/>
  <c r="A173" i="5"/>
  <c r="F172" i="5"/>
  <c r="E172" i="5"/>
  <c r="D172" i="5"/>
  <c r="G172" i="5" s="1"/>
  <c r="H172" i="5" s="1"/>
  <c r="B172" i="5"/>
  <c r="A172" i="5"/>
  <c r="F171" i="5"/>
  <c r="E171" i="5"/>
  <c r="D171" i="5"/>
  <c r="G171" i="5" s="1"/>
  <c r="H171" i="5" s="1"/>
  <c r="B171" i="5"/>
  <c r="A171" i="5"/>
  <c r="F170" i="5"/>
  <c r="E170" i="5"/>
  <c r="D170" i="5"/>
  <c r="G170" i="5" s="1"/>
  <c r="H170" i="5" s="1"/>
  <c r="B170" i="5"/>
  <c r="A170" i="5"/>
  <c r="F169" i="5"/>
  <c r="E169" i="5"/>
  <c r="D169" i="5"/>
  <c r="G169" i="5" s="1"/>
  <c r="H169" i="5" s="1"/>
  <c r="B169" i="5"/>
  <c r="A169" i="5"/>
  <c r="F168" i="5"/>
  <c r="E168" i="5"/>
  <c r="D168" i="5"/>
  <c r="G168" i="5" s="1"/>
  <c r="H168" i="5" s="1"/>
  <c r="B168" i="5"/>
  <c r="A168" i="5"/>
  <c r="F167" i="5"/>
  <c r="E167" i="5"/>
  <c r="D167" i="5"/>
  <c r="G167" i="5" s="1"/>
  <c r="H167" i="5" s="1"/>
  <c r="B167" i="5"/>
  <c r="A167" i="5"/>
  <c r="F166" i="5"/>
  <c r="E166" i="5"/>
  <c r="D166" i="5"/>
  <c r="G166" i="5" s="1"/>
  <c r="H166" i="5" s="1"/>
  <c r="B166" i="5"/>
  <c r="A166" i="5"/>
  <c r="F165" i="5"/>
  <c r="E165" i="5"/>
  <c r="D165" i="5"/>
  <c r="G165" i="5" s="1"/>
  <c r="H165" i="5" s="1"/>
  <c r="B165" i="5"/>
  <c r="A165" i="5"/>
  <c r="F164" i="5"/>
  <c r="E164" i="5"/>
  <c r="D164" i="5"/>
  <c r="G164" i="5" s="1"/>
  <c r="H164" i="5" s="1"/>
  <c r="B164" i="5"/>
  <c r="A164" i="5"/>
  <c r="F163" i="5"/>
  <c r="E163" i="5"/>
  <c r="D163" i="5"/>
  <c r="G163" i="5" s="1"/>
  <c r="H163" i="5" s="1"/>
  <c r="B163" i="5"/>
  <c r="A163" i="5"/>
  <c r="F162" i="5"/>
  <c r="E162" i="5"/>
  <c r="D162" i="5"/>
  <c r="G162" i="5" s="1"/>
  <c r="H162" i="5" s="1"/>
  <c r="B162" i="5"/>
  <c r="A162" i="5"/>
  <c r="F161" i="5"/>
  <c r="E161" i="5"/>
  <c r="D161" i="5"/>
  <c r="G161" i="5" s="1"/>
  <c r="H161" i="5" s="1"/>
  <c r="I161" i="5" s="1"/>
  <c r="B161" i="5"/>
  <c r="A161" i="5"/>
  <c r="F160" i="5"/>
  <c r="E160" i="5"/>
  <c r="D160" i="5"/>
  <c r="G160" i="5" s="1"/>
  <c r="H160" i="5" s="1"/>
  <c r="B160" i="5"/>
  <c r="A160" i="5"/>
  <c r="F159" i="5"/>
  <c r="E159" i="5"/>
  <c r="D159" i="5"/>
  <c r="G159" i="5" s="1"/>
  <c r="B159" i="5"/>
  <c r="A159" i="5"/>
  <c r="F158" i="5"/>
  <c r="E158" i="5"/>
  <c r="D158" i="5"/>
  <c r="G158" i="5" s="1"/>
  <c r="H158" i="5" s="1"/>
  <c r="I158" i="5" s="1"/>
  <c r="B158" i="5"/>
  <c r="A158" i="5"/>
  <c r="F157" i="5"/>
  <c r="E157" i="5"/>
  <c r="D157" i="5"/>
  <c r="G157" i="5" s="1"/>
  <c r="H157" i="5" s="1"/>
  <c r="I157" i="5" s="1"/>
  <c r="B157" i="5"/>
  <c r="A157" i="5"/>
  <c r="F156" i="5"/>
  <c r="E156" i="5"/>
  <c r="D156" i="5"/>
  <c r="G156" i="5" s="1"/>
  <c r="B156" i="5"/>
  <c r="A156" i="5"/>
  <c r="F155" i="5"/>
  <c r="E155" i="5"/>
  <c r="D155" i="5"/>
  <c r="G155" i="5" s="1"/>
  <c r="H155" i="5" s="1"/>
  <c r="B155" i="5"/>
  <c r="F154" i="5"/>
  <c r="E154" i="5"/>
  <c r="D154" i="5"/>
  <c r="G154" i="5" s="1"/>
  <c r="B154" i="5"/>
  <c r="F153" i="5"/>
  <c r="E153" i="5"/>
  <c r="D153" i="5"/>
  <c r="G153" i="5" s="1"/>
  <c r="B153" i="5"/>
  <c r="F152" i="5"/>
  <c r="E152" i="5"/>
  <c r="D152" i="5"/>
  <c r="G152" i="5" s="1"/>
  <c r="B152" i="5"/>
  <c r="A152" i="5"/>
  <c r="F151" i="5"/>
  <c r="E151" i="5"/>
  <c r="D151" i="5"/>
  <c r="G151" i="5" s="1"/>
  <c r="B151" i="5"/>
  <c r="F150" i="5"/>
  <c r="E150" i="5"/>
  <c r="D150" i="5"/>
  <c r="G150" i="5" s="1"/>
  <c r="H150" i="5" s="1"/>
  <c r="I150" i="5" s="1"/>
  <c r="B150" i="5"/>
  <c r="F149" i="5"/>
  <c r="E149" i="5"/>
  <c r="D149" i="5"/>
  <c r="G149" i="5" s="1"/>
  <c r="B149" i="5"/>
  <c r="F148" i="5"/>
  <c r="E148" i="5"/>
  <c r="D148" i="5"/>
  <c r="G148" i="5" s="1"/>
  <c r="B148" i="5"/>
  <c r="A148" i="5"/>
  <c r="F147" i="5"/>
  <c r="E147" i="5"/>
  <c r="D147" i="5"/>
  <c r="G147" i="5" s="1"/>
  <c r="B147" i="5"/>
  <c r="A147" i="5"/>
  <c r="F146" i="5"/>
  <c r="E146" i="5"/>
  <c r="D146" i="5"/>
  <c r="G146" i="5" s="1"/>
  <c r="B146" i="5"/>
  <c r="A146" i="5"/>
  <c r="F145" i="5"/>
  <c r="E145" i="5"/>
  <c r="D145" i="5"/>
  <c r="G145" i="5" s="1"/>
  <c r="B145" i="5"/>
  <c r="A145" i="5"/>
  <c r="F144" i="5"/>
  <c r="E144" i="5"/>
  <c r="D144" i="5"/>
  <c r="G144" i="5" s="1"/>
  <c r="B144" i="5"/>
  <c r="A144" i="5"/>
  <c r="F143" i="5"/>
  <c r="E143" i="5"/>
  <c r="D143" i="5"/>
  <c r="G143" i="5" s="1"/>
  <c r="B143" i="5"/>
  <c r="A143" i="5"/>
  <c r="F142" i="5"/>
  <c r="E142" i="5"/>
  <c r="D142" i="5"/>
  <c r="G142" i="5" s="1"/>
  <c r="B142" i="5"/>
  <c r="A142" i="5"/>
  <c r="F141" i="5"/>
  <c r="E141" i="5"/>
  <c r="D141" i="5"/>
  <c r="G141" i="5" s="1"/>
  <c r="B141" i="5"/>
  <c r="A141" i="5"/>
  <c r="F140" i="5"/>
  <c r="E140" i="5"/>
  <c r="D140" i="5"/>
  <c r="G140" i="5" s="1"/>
  <c r="B140" i="5"/>
  <c r="A140" i="5"/>
  <c r="F139" i="5"/>
  <c r="E139" i="5"/>
  <c r="D139" i="5"/>
  <c r="G139" i="5" s="1"/>
  <c r="B139" i="5"/>
  <c r="A139" i="5"/>
  <c r="F138" i="5"/>
  <c r="E138" i="5"/>
  <c r="D138" i="5"/>
  <c r="G138" i="5" s="1"/>
  <c r="B138" i="5"/>
  <c r="A138" i="5"/>
  <c r="F137" i="5"/>
  <c r="E137" i="5"/>
  <c r="D137" i="5"/>
  <c r="G137" i="5" s="1"/>
  <c r="B137" i="5"/>
  <c r="F136" i="5"/>
  <c r="E136" i="5"/>
  <c r="D136" i="5"/>
  <c r="G136" i="5" s="1"/>
  <c r="B136" i="5"/>
  <c r="F135" i="5"/>
  <c r="E135" i="5"/>
  <c r="D135" i="5"/>
  <c r="G135" i="5" s="1"/>
  <c r="H135" i="5" s="1"/>
  <c r="B135" i="5"/>
  <c r="F134" i="5"/>
  <c r="E134" i="5"/>
  <c r="D134" i="5"/>
  <c r="G134" i="5" s="1"/>
  <c r="H134" i="5" s="1"/>
  <c r="B134" i="5"/>
  <c r="F133" i="5"/>
  <c r="E133" i="5"/>
  <c r="D133" i="5"/>
  <c r="G133" i="5" s="1"/>
  <c r="B133" i="5"/>
  <c r="A133" i="5"/>
  <c r="F132" i="5"/>
  <c r="E132" i="5"/>
  <c r="D132" i="5"/>
  <c r="G132" i="5" s="1"/>
  <c r="B132" i="5"/>
  <c r="A132" i="5"/>
  <c r="F131" i="5"/>
  <c r="E131" i="5"/>
  <c r="D131" i="5"/>
  <c r="G131" i="5" s="1"/>
  <c r="B131" i="5"/>
  <c r="A131" i="5"/>
  <c r="F130" i="5"/>
  <c r="E130" i="5"/>
  <c r="D130" i="5"/>
  <c r="G130" i="5" s="1"/>
  <c r="B130" i="5"/>
  <c r="A130" i="5"/>
  <c r="F129" i="5"/>
  <c r="E129" i="5"/>
  <c r="D129" i="5"/>
  <c r="G129" i="5" s="1"/>
  <c r="B129" i="5"/>
  <c r="A129" i="5"/>
  <c r="F128" i="5"/>
  <c r="E128" i="5"/>
  <c r="D128" i="5"/>
  <c r="G128" i="5" s="1"/>
  <c r="B128" i="5"/>
  <c r="A128" i="5"/>
  <c r="F127" i="5"/>
  <c r="E127" i="5"/>
  <c r="D127" i="5"/>
  <c r="G127" i="5" s="1"/>
  <c r="B127" i="5"/>
  <c r="A127" i="5"/>
  <c r="F126" i="5"/>
  <c r="E126" i="5"/>
  <c r="D126" i="5"/>
  <c r="G126" i="5" s="1"/>
  <c r="B126" i="5"/>
  <c r="A126" i="5"/>
  <c r="F125" i="5"/>
  <c r="E125" i="5"/>
  <c r="D125" i="5"/>
  <c r="G125" i="5" s="1"/>
  <c r="B125" i="5"/>
  <c r="A125" i="5"/>
  <c r="F124" i="5"/>
  <c r="E124" i="5"/>
  <c r="D124" i="5"/>
  <c r="G124" i="5" s="1"/>
  <c r="B124" i="5"/>
  <c r="A124" i="5"/>
  <c r="F123" i="5"/>
  <c r="E123" i="5"/>
  <c r="D123" i="5"/>
  <c r="G123" i="5" s="1"/>
  <c r="B123" i="5"/>
  <c r="A123" i="5"/>
  <c r="F122" i="5"/>
  <c r="E122" i="5"/>
  <c r="D122" i="5"/>
  <c r="G122" i="5" s="1"/>
  <c r="B122" i="5"/>
  <c r="A122" i="5"/>
  <c r="F121" i="5"/>
  <c r="E121" i="5"/>
  <c r="D121" i="5"/>
  <c r="G121" i="5" s="1"/>
  <c r="B121" i="5"/>
  <c r="A121" i="5"/>
  <c r="F120" i="5"/>
  <c r="E120" i="5"/>
  <c r="D120" i="5"/>
  <c r="G120" i="5" s="1"/>
  <c r="B120" i="5"/>
  <c r="A120" i="5"/>
  <c r="F119" i="5"/>
  <c r="E119" i="5"/>
  <c r="D119" i="5"/>
  <c r="G119" i="5" s="1"/>
  <c r="B119" i="5"/>
  <c r="A119" i="5"/>
  <c r="F118" i="5"/>
  <c r="E118" i="5"/>
  <c r="D118" i="5"/>
  <c r="G118" i="5" s="1"/>
  <c r="B118" i="5"/>
  <c r="A118" i="5"/>
  <c r="F117" i="5"/>
  <c r="E117" i="5"/>
  <c r="D117" i="5"/>
  <c r="G117" i="5" s="1"/>
  <c r="B117" i="5"/>
  <c r="A117" i="5"/>
  <c r="F116" i="5"/>
  <c r="E116" i="5"/>
  <c r="D116" i="5"/>
  <c r="G116" i="5" s="1"/>
  <c r="B116" i="5"/>
  <c r="A116" i="5"/>
  <c r="F115" i="5"/>
  <c r="E115" i="5"/>
  <c r="D115" i="5"/>
  <c r="G115" i="5" s="1"/>
  <c r="B115" i="5"/>
  <c r="A115" i="5"/>
  <c r="F114" i="5"/>
  <c r="E114" i="5"/>
  <c r="D114" i="5"/>
  <c r="G114" i="5" s="1"/>
  <c r="B114" i="5"/>
  <c r="A114" i="5"/>
  <c r="F113" i="5"/>
  <c r="E113" i="5"/>
  <c r="D113" i="5"/>
  <c r="G113" i="5" s="1"/>
  <c r="B113" i="5"/>
  <c r="A113" i="5"/>
  <c r="F112" i="5"/>
  <c r="E112" i="5"/>
  <c r="D112" i="5"/>
  <c r="G112" i="5" s="1"/>
  <c r="B112" i="5"/>
  <c r="A112" i="5"/>
  <c r="F111" i="5"/>
  <c r="E111" i="5"/>
  <c r="D111" i="5"/>
  <c r="G111" i="5" s="1"/>
  <c r="B111" i="5"/>
  <c r="A111" i="5"/>
  <c r="F110" i="5"/>
  <c r="E110" i="5"/>
  <c r="D110" i="5"/>
  <c r="G110" i="5" s="1"/>
  <c r="B110" i="5"/>
  <c r="A110" i="5"/>
  <c r="F109" i="5"/>
  <c r="E109" i="5"/>
  <c r="D109" i="5"/>
  <c r="G109" i="5" s="1"/>
  <c r="B109" i="5"/>
  <c r="A109" i="5"/>
  <c r="F108" i="5"/>
  <c r="E108" i="5"/>
  <c r="D108" i="5"/>
  <c r="G108" i="5" s="1"/>
  <c r="B108" i="5"/>
  <c r="A108" i="5"/>
  <c r="F107" i="5"/>
  <c r="E107" i="5"/>
  <c r="D107" i="5"/>
  <c r="G107" i="5" s="1"/>
  <c r="B107" i="5"/>
  <c r="A107" i="5"/>
  <c r="F106" i="5"/>
  <c r="E106" i="5"/>
  <c r="D106" i="5"/>
  <c r="G106" i="5" s="1"/>
  <c r="B106" i="5"/>
  <c r="A106" i="5"/>
  <c r="F105" i="5"/>
  <c r="E105" i="5"/>
  <c r="D105" i="5"/>
  <c r="G105" i="5" s="1"/>
  <c r="B105" i="5"/>
  <c r="A105" i="5"/>
  <c r="F104" i="5"/>
  <c r="E104" i="5"/>
  <c r="D104" i="5"/>
  <c r="G104" i="5" s="1"/>
  <c r="B104" i="5"/>
  <c r="A104" i="5"/>
  <c r="F103" i="5"/>
  <c r="E103" i="5"/>
  <c r="D103" i="5"/>
  <c r="G103" i="5" s="1"/>
  <c r="B103" i="5"/>
  <c r="A103" i="5"/>
  <c r="F102" i="5"/>
  <c r="E102" i="5"/>
  <c r="D102" i="5"/>
  <c r="G102" i="5" s="1"/>
  <c r="B102" i="5"/>
  <c r="A102" i="5"/>
  <c r="F101" i="5"/>
  <c r="E101" i="5"/>
  <c r="D101" i="5"/>
  <c r="G101" i="5" s="1"/>
  <c r="B101" i="5"/>
  <c r="A101" i="5"/>
  <c r="F100" i="5"/>
  <c r="E100" i="5"/>
  <c r="D100" i="5"/>
  <c r="G100" i="5" s="1"/>
  <c r="B100" i="5"/>
  <c r="A100" i="5"/>
  <c r="F99" i="5"/>
  <c r="E99" i="5"/>
  <c r="D99" i="5"/>
  <c r="G99" i="5" s="1"/>
  <c r="B99" i="5"/>
  <c r="A99" i="5"/>
  <c r="F98" i="5"/>
  <c r="E98" i="5"/>
  <c r="D98" i="5"/>
  <c r="G98" i="5" s="1"/>
  <c r="B98" i="5"/>
  <c r="A98" i="5"/>
  <c r="F97" i="5"/>
  <c r="E97" i="5"/>
  <c r="D97" i="5"/>
  <c r="G97" i="5" s="1"/>
  <c r="B97" i="5"/>
  <c r="A97" i="5"/>
  <c r="F96" i="5"/>
  <c r="E96" i="5"/>
  <c r="D96" i="5"/>
  <c r="G96" i="5" s="1"/>
  <c r="B96" i="5"/>
  <c r="A96" i="5"/>
  <c r="F95" i="5"/>
  <c r="E95" i="5"/>
  <c r="D95" i="5"/>
  <c r="G95" i="5" s="1"/>
  <c r="B95" i="5"/>
  <c r="A95" i="5"/>
  <c r="F94" i="5"/>
  <c r="E94" i="5"/>
  <c r="D94" i="5"/>
  <c r="G94" i="5" s="1"/>
  <c r="B94" i="5"/>
  <c r="A94" i="5"/>
  <c r="F93" i="5"/>
  <c r="E93" i="5"/>
  <c r="D93" i="5"/>
  <c r="G93" i="5" s="1"/>
  <c r="B93" i="5"/>
  <c r="A93" i="5"/>
  <c r="F92" i="5"/>
  <c r="E92" i="5"/>
  <c r="D92" i="5"/>
  <c r="G92" i="5" s="1"/>
  <c r="B92" i="5"/>
  <c r="A92" i="5"/>
  <c r="F91" i="5"/>
  <c r="E91" i="5"/>
  <c r="D91" i="5"/>
  <c r="G91" i="5" s="1"/>
  <c r="B91" i="5"/>
  <c r="A91" i="5"/>
  <c r="F90" i="5"/>
  <c r="E90" i="5"/>
  <c r="D90" i="5"/>
  <c r="G90" i="5" s="1"/>
  <c r="B90" i="5"/>
  <c r="A90" i="5"/>
  <c r="F89" i="5"/>
  <c r="E89" i="5"/>
  <c r="D89" i="5"/>
  <c r="G89" i="5" s="1"/>
  <c r="B89" i="5"/>
  <c r="A89" i="5"/>
  <c r="F88" i="5"/>
  <c r="E88" i="5"/>
  <c r="D88" i="5"/>
  <c r="G88" i="5" s="1"/>
  <c r="B88" i="5"/>
  <c r="A88" i="5"/>
  <c r="F87" i="5"/>
  <c r="E87" i="5"/>
  <c r="D87" i="5"/>
  <c r="G87" i="5" s="1"/>
  <c r="B87" i="5"/>
  <c r="A87" i="5"/>
  <c r="F86" i="5"/>
  <c r="E86" i="5"/>
  <c r="D86" i="5"/>
  <c r="G86" i="5" s="1"/>
  <c r="B86" i="5"/>
  <c r="A86" i="5"/>
  <c r="F85" i="5"/>
  <c r="E85" i="5"/>
  <c r="D85" i="5"/>
  <c r="G85" i="5" s="1"/>
  <c r="B85" i="5"/>
  <c r="A85" i="5"/>
  <c r="F84" i="5"/>
  <c r="E84" i="5"/>
  <c r="D84" i="5"/>
  <c r="G84" i="5" s="1"/>
  <c r="B84" i="5"/>
  <c r="A84" i="5"/>
  <c r="F83" i="5"/>
  <c r="E83" i="5"/>
  <c r="D83" i="5"/>
  <c r="G83" i="5" s="1"/>
  <c r="B83" i="5"/>
  <c r="A83" i="5"/>
  <c r="F82" i="5"/>
  <c r="E82" i="5"/>
  <c r="D82" i="5"/>
  <c r="G82" i="5" s="1"/>
  <c r="B82" i="5"/>
  <c r="A82" i="5"/>
  <c r="F81" i="5"/>
  <c r="E81" i="5"/>
  <c r="D81" i="5"/>
  <c r="G81" i="5" s="1"/>
  <c r="B81" i="5"/>
  <c r="A81" i="5"/>
  <c r="F80" i="5"/>
  <c r="E80" i="5"/>
  <c r="D80" i="5"/>
  <c r="G80" i="5" s="1"/>
  <c r="B80" i="5"/>
  <c r="F79" i="5"/>
  <c r="E79" i="5"/>
  <c r="D79" i="5"/>
  <c r="G79" i="5" s="1"/>
  <c r="H79" i="5" s="1"/>
  <c r="I79" i="5" s="1"/>
  <c r="B79" i="5"/>
  <c r="F78" i="5"/>
  <c r="E78" i="5"/>
  <c r="D78" i="5"/>
  <c r="G78" i="5" s="1"/>
  <c r="H78" i="5" s="1"/>
  <c r="B78" i="5"/>
  <c r="A78" i="5"/>
  <c r="F77" i="5"/>
  <c r="E77" i="5"/>
  <c r="D77" i="5"/>
  <c r="G77" i="5" s="1"/>
  <c r="H77" i="5" s="1"/>
  <c r="B77" i="5"/>
  <c r="A77" i="5"/>
  <c r="F76" i="5"/>
  <c r="E76" i="5"/>
  <c r="D76" i="5"/>
  <c r="G76" i="5" s="1"/>
  <c r="H76" i="5" s="1"/>
  <c r="B76" i="5"/>
  <c r="A76" i="5"/>
  <c r="F75" i="5"/>
  <c r="E75" i="5"/>
  <c r="D75" i="5"/>
  <c r="G75" i="5" s="1"/>
  <c r="H75" i="5" s="1"/>
  <c r="B75" i="5"/>
  <c r="A75" i="5"/>
  <c r="F74" i="5"/>
  <c r="E74" i="5"/>
  <c r="D74" i="5"/>
  <c r="G74" i="5" s="1"/>
  <c r="H74" i="5" s="1"/>
  <c r="B74" i="5"/>
  <c r="A74" i="5"/>
  <c r="F73" i="5"/>
  <c r="E73" i="5"/>
  <c r="D73" i="5"/>
  <c r="G73" i="5" s="1"/>
  <c r="H73" i="5" s="1"/>
  <c r="B73" i="5"/>
  <c r="A73" i="5"/>
  <c r="F72" i="5"/>
  <c r="E72" i="5"/>
  <c r="D72" i="5"/>
  <c r="G72" i="5" s="1"/>
  <c r="H72" i="5" s="1"/>
  <c r="B72" i="5"/>
  <c r="A72" i="5"/>
  <c r="F71" i="5"/>
  <c r="E71" i="5"/>
  <c r="D71" i="5"/>
  <c r="G71" i="5" s="1"/>
  <c r="H71" i="5" s="1"/>
  <c r="B71" i="5"/>
  <c r="A71" i="5"/>
  <c r="F70" i="5"/>
  <c r="E70" i="5"/>
  <c r="D70" i="5"/>
  <c r="G70" i="5" s="1"/>
  <c r="H70" i="5" s="1"/>
  <c r="B70" i="5"/>
  <c r="A70" i="5"/>
  <c r="F69" i="5"/>
  <c r="E69" i="5"/>
  <c r="D69" i="5"/>
  <c r="G69" i="5" s="1"/>
  <c r="H69" i="5" s="1"/>
  <c r="B69" i="5"/>
  <c r="A69" i="5"/>
  <c r="F68" i="5"/>
  <c r="E68" i="5"/>
  <c r="D68" i="5"/>
  <c r="G68" i="5" s="1"/>
  <c r="H68" i="5" s="1"/>
  <c r="B68" i="5"/>
  <c r="A68" i="5"/>
  <c r="F67" i="5"/>
  <c r="E67" i="5"/>
  <c r="D67" i="5"/>
  <c r="G67" i="5" s="1"/>
  <c r="H67" i="5" s="1"/>
  <c r="B67" i="5"/>
  <c r="A67" i="5"/>
  <c r="F66" i="5"/>
  <c r="E66" i="5"/>
  <c r="D66" i="5"/>
  <c r="G66" i="5" s="1"/>
  <c r="H66" i="5" s="1"/>
  <c r="B66" i="5"/>
  <c r="A66" i="5"/>
  <c r="F65" i="5"/>
  <c r="E65" i="5"/>
  <c r="D65" i="5"/>
  <c r="G65" i="5" s="1"/>
  <c r="H65" i="5" s="1"/>
  <c r="B65" i="5"/>
  <c r="A65" i="5"/>
  <c r="F64" i="5"/>
  <c r="E64" i="5"/>
  <c r="D64" i="5"/>
  <c r="G64" i="5" s="1"/>
  <c r="H64" i="5" s="1"/>
  <c r="B64" i="5"/>
  <c r="A64" i="5"/>
  <c r="F63" i="5"/>
  <c r="E63" i="5"/>
  <c r="D63" i="5"/>
  <c r="G63" i="5" s="1"/>
  <c r="H63" i="5" s="1"/>
  <c r="B63" i="5"/>
  <c r="A63" i="5"/>
  <c r="F62" i="5"/>
  <c r="E62" i="5"/>
  <c r="D62" i="5"/>
  <c r="G62" i="5" s="1"/>
  <c r="H62" i="5" s="1"/>
  <c r="B62" i="5"/>
  <c r="F61" i="5"/>
  <c r="E61" i="5"/>
  <c r="D61" i="5"/>
  <c r="G61" i="5" s="1"/>
  <c r="B61" i="5"/>
  <c r="A61" i="5"/>
  <c r="F60" i="5"/>
  <c r="E60" i="5"/>
  <c r="D60" i="5"/>
  <c r="G60" i="5" s="1"/>
  <c r="H60" i="5" s="1"/>
  <c r="B60" i="5"/>
  <c r="A60" i="5"/>
  <c r="F59" i="5"/>
  <c r="E59" i="5"/>
  <c r="D59" i="5"/>
  <c r="G59" i="5" s="1"/>
  <c r="B59" i="5"/>
  <c r="A59" i="5"/>
  <c r="F58" i="5"/>
  <c r="E58" i="5"/>
  <c r="D58" i="5"/>
  <c r="G58" i="5" s="1"/>
  <c r="H58" i="5" s="1"/>
  <c r="B58" i="5"/>
  <c r="A58" i="5"/>
  <c r="F57" i="5"/>
  <c r="E57" i="5"/>
  <c r="D57" i="5"/>
  <c r="G57" i="5" s="1"/>
  <c r="B57" i="5"/>
  <c r="A57" i="5"/>
  <c r="F56" i="5"/>
  <c r="E56" i="5"/>
  <c r="D56" i="5"/>
  <c r="G56" i="5" s="1"/>
  <c r="H56" i="5" s="1"/>
  <c r="B56" i="5"/>
  <c r="A56" i="5"/>
  <c r="F55" i="5"/>
  <c r="E55" i="5"/>
  <c r="D55" i="5"/>
  <c r="G55" i="5" s="1"/>
  <c r="B55" i="5"/>
  <c r="A55" i="5"/>
  <c r="F54" i="5"/>
  <c r="E54" i="5"/>
  <c r="D54" i="5"/>
  <c r="G54" i="5" s="1"/>
  <c r="H54" i="5" s="1"/>
  <c r="B54" i="5"/>
  <c r="A54" i="5"/>
  <c r="F53" i="5"/>
  <c r="E53" i="5"/>
  <c r="D53" i="5"/>
  <c r="G53" i="5" s="1"/>
  <c r="B53" i="5"/>
  <c r="A53" i="5"/>
  <c r="F52" i="5"/>
  <c r="E52" i="5"/>
  <c r="D52" i="5"/>
  <c r="G52" i="5" s="1"/>
  <c r="H52" i="5" s="1"/>
  <c r="B52" i="5"/>
  <c r="A52" i="5"/>
  <c r="F51" i="5"/>
  <c r="E51" i="5"/>
  <c r="D51" i="5"/>
  <c r="G51" i="5" s="1"/>
  <c r="B51" i="5"/>
  <c r="A51" i="5"/>
  <c r="F50" i="5"/>
  <c r="E50" i="5"/>
  <c r="D50" i="5"/>
  <c r="G50" i="5" s="1"/>
  <c r="H50" i="5" s="1"/>
  <c r="B50" i="5"/>
  <c r="A50" i="5"/>
  <c r="F49" i="5"/>
  <c r="E49" i="5"/>
  <c r="D49" i="5"/>
  <c r="G49" i="5" s="1"/>
  <c r="B49" i="5"/>
  <c r="A49" i="5"/>
  <c r="F48" i="5"/>
  <c r="E48" i="5"/>
  <c r="D48" i="5"/>
  <c r="G48" i="5" s="1"/>
  <c r="H48" i="5" s="1"/>
  <c r="B48" i="5"/>
  <c r="A48" i="5"/>
  <c r="F47" i="5"/>
  <c r="E47" i="5"/>
  <c r="D47" i="5"/>
  <c r="G47" i="5" s="1"/>
  <c r="B47" i="5"/>
  <c r="A47" i="5"/>
  <c r="F46" i="5"/>
  <c r="E46" i="5"/>
  <c r="D46" i="5"/>
  <c r="G46" i="5" s="1"/>
  <c r="H46" i="5" s="1"/>
  <c r="B46" i="5"/>
  <c r="A46" i="5"/>
  <c r="F45" i="5"/>
  <c r="E45" i="5"/>
  <c r="D45" i="5"/>
  <c r="G45" i="5" s="1"/>
  <c r="B45" i="5"/>
  <c r="A45" i="5"/>
  <c r="F44" i="5"/>
  <c r="E44" i="5"/>
  <c r="D44" i="5"/>
  <c r="G44" i="5" s="1"/>
  <c r="H44" i="5" s="1"/>
  <c r="B44" i="5"/>
  <c r="A44" i="5"/>
  <c r="F43" i="5"/>
  <c r="E43" i="5"/>
  <c r="D43" i="5"/>
  <c r="G43" i="5" s="1"/>
  <c r="B43" i="5"/>
  <c r="A43" i="5"/>
  <c r="F42" i="5"/>
  <c r="E42" i="5"/>
  <c r="D42" i="5"/>
  <c r="G42" i="5" s="1"/>
  <c r="H42" i="5" s="1"/>
  <c r="B42" i="5"/>
  <c r="A42" i="5"/>
  <c r="F41" i="5"/>
  <c r="E41" i="5"/>
  <c r="D41" i="5"/>
  <c r="G41" i="5" s="1"/>
  <c r="B41" i="5"/>
  <c r="A41" i="5"/>
  <c r="F40" i="5"/>
  <c r="E40" i="5"/>
  <c r="D40" i="5"/>
  <c r="G40" i="5" s="1"/>
  <c r="H40" i="5" s="1"/>
  <c r="B40" i="5"/>
  <c r="A40" i="5"/>
  <c r="F39" i="5"/>
  <c r="E39" i="5"/>
  <c r="D39" i="5"/>
  <c r="G39" i="5" s="1"/>
  <c r="B39" i="5"/>
  <c r="A39" i="5"/>
  <c r="F38" i="5"/>
  <c r="E38" i="5"/>
  <c r="D38" i="5"/>
  <c r="G38" i="5" s="1"/>
  <c r="H38" i="5" s="1"/>
  <c r="B38" i="5"/>
  <c r="A38" i="5"/>
  <c r="F37" i="5"/>
  <c r="E37" i="5"/>
  <c r="D37" i="5"/>
  <c r="G37" i="5" s="1"/>
  <c r="B37" i="5"/>
  <c r="A37" i="5"/>
  <c r="F36" i="5"/>
  <c r="E36" i="5"/>
  <c r="D36" i="5"/>
  <c r="G36" i="5" s="1"/>
  <c r="H36" i="5" s="1"/>
  <c r="B36" i="5"/>
  <c r="A36" i="5"/>
  <c r="F35" i="5"/>
  <c r="E35" i="5"/>
  <c r="D35" i="5"/>
  <c r="G35" i="5" s="1"/>
  <c r="B35" i="5"/>
  <c r="A35" i="5"/>
  <c r="F34" i="5"/>
  <c r="E34" i="5"/>
  <c r="D34" i="5"/>
  <c r="G34" i="5" s="1"/>
  <c r="H34" i="5" s="1"/>
  <c r="B34" i="5"/>
  <c r="A34" i="5"/>
  <c r="F33" i="5"/>
  <c r="E33" i="5"/>
  <c r="D33" i="5"/>
  <c r="G33" i="5" s="1"/>
  <c r="B33" i="5"/>
  <c r="A33" i="5"/>
  <c r="F32" i="5"/>
  <c r="E32" i="5"/>
  <c r="D32" i="5"/>
  <c r="G32" i="5" s="1"/>
  <c r="H32" i="5" s="1"/>
  <c r="B32" i="5"/>
  <c r="A32" i="5"/>
  <c r="F31" i="5"/>
  <c r="E31" i="5"/>
  <c r="D31" i="5"/>
  <c r="G31" i="5" s="1"/>
  <c r="B31" i="5"/>
  <c r="A31" i="5"/>
  <c r="F30" i="5"/>
  <c r="E30" i="5"/>
  <c r="D30" i="5"/>
  <c r="G30" i="5" s="1"/>
  <c r="H30" i="5" s="1"/>
  <c r="B30" i="5"/>
  <c r="A30" i="5"/>
  <c r="F29" i="5"/>
  <c r="E29" i="5"/>
  <c r="D29" i="5"/>
  <c r="G29" i="5" s="1"/>
  <c r="B29" i="5"/>
  <c r="A29" i="5"/>
  <c r="F28" i="5"/>
  <c r="E28" i="5"/>
  <c r="D28" i="5"/>
  <c r="G28" i="5" s="1"/>
  <c r="H28" i="5" s="1"/>
  <c r="B28" i="5"/>
  <c r="A28" i="5"/>
  <c r="F27" i="5"/>
  <c r="E27" i="5"/>
  <c r="D27" i="5"/>
  <c r="G27" i="5" s="1"/>
  <c r="B27" i="5"/>
  <c r="A27" i="5"/>
  <c r="F26" i="5"/>
  <c r="E26" i="5"/>
  <c r="D26" i="5"/>
  <c r="G26" i="5" s="1"/>
  <c r="H26" i="5" s="1"/>
  <c r="B26" i="5"/>
  <c r="A26" i="5"/>
  <c r="F25" i="5"/>
  <c r="E25" i="5"/>
  <c r="D25" i="5"/>
  <c r="G25" i="5" s="1"/>
  <c r="B25" i="5"/>
  <c r="A25" i="5"/>
  <c r="F24" i="5"/>
  <c r="E24" i="5"/>
  <c r="D24" i="5"/>
  <c r="G24" i="5" s="1"/>
  <c r="H24" i="5" s="1"/>
  <c r="B24" i="5"/>
  <c r="A24" i="5"/>
  <c r="F23" i="5"/>
  <c r="E23" i="5"/>
  <c r="D23" i="5"/>
  <c r="G23" i="5" s="1"/>
  <c r="B23" i="5"/>
  <c r="A23" i="5"/>
  <c r="F22" i="5"/>
  <c r="E22" i="5"/>
  <c r="D22" i="5"/>
  <c r="G22" i="5" s="1"/>
  <c r="H22" i="5" s="1"/>
  <c r="B22" i="5"/>
  <c r="A22" i="5"/>
  <c r="F21" i="5"/>
  <c r="E21" i="5"/>
  <c r="D21" i="5"/>
  <c r="G21" i="5" s="1"/>
  <c r="B21" i="5"/>
  <c r="A21" i="5"/>
  <c r="F20" i="5"/>
  <c r="E20" i="5"/>
  <c r="D20" i="5"/>
  <c r="G20" i="5" s="1"/>
  <c r="H20" i="5" s="1"/>
  <c r="B20" i="5"/>
  <c r="A20" i="5"/>
  <c r="F19" i="5"/>
  <c r="E19" i="5"/>
  <c r="D19" i="5"/>
  <c r="G19" i="5" s="1"/>
  <c r="B19" i="5"/>
  <c r="A19" i="5"/>
  <c r="F18" i="5"/>
  <c r="E18" i="5"/>
  <c r="D18" i="5"/>
  <c r="G18" i="5" s="1"/>
  <c r="H18" i="5" s="1"/>
  <c r="B18" i="5"/>
  <c r="A18" i="5"/>
  <c r="F17" i="5"/>
  <c r="E17" i="5"/>
  <c r="D17" i="5"/>
  <c r="G17" i="5" s="1"/>
  <c r="B17" i="5"/>
  <c r="A17" i="5"/>
  <c r="F16" i="5"/>
  <c r="E16" i="5"/>
  <c r="D16" i="5"/>
  <c r="G16" i="5" s="1"/>
  <c r="H16" i="5" s="1"/>
  <c r="B16" i="5"/>
  <c r="A16" i="5"/>
  <c r="F15" i="5"/>
  <c r="E15" i="5"/>
  <c r="D15" i="5"/>
  <c r="G15" i="5" s="1"/>
  <c r="B15" i="5"/>
  <c r="A15" i="5"/>
  <c r="F14" i="5"/>
  <c r="E14" i="5"/>
  <c r="D14" i="5"/>
  <c r="G14" i="5" s="1"/>
  <c r="H14" i="5" s="1"/>
  <c r="B14" i="5"/>
  <c r="A14" i="5"/>
  <c r="F13" i="5"/>
  <c r="E13" i="5"/>
  <c r="D13" i="5"/>
  <c r="G13" i="5" s="1"/>
  <c r="B13" i="5"/>
  <c r="A13" i="5"/>
  <c r="F12" i="5"/>
  <c r="E12" i="5"/>
  <c r="D12" i="5"/>
  <c r="G12" i="5" s="1"/>
  <c r="H12" i="5" s="1"/>
  <c r="B12" i="5"/>
  <c r="A12" i="5"/>
  <c r="F11" i="5"/>
  <c r="E11" i="5"/>
  <c r="D11" i="5"/>
  <c r="G11" i="5" s="1"/>
  <c r="B11" i="5"/>
  <c r="A11" i="5"/>
  <c r="F10" i="5"/>
  <c r="E10" i="5"/>
  <c r="D10" i="5"/>
  <c r="G10" i="5" s="1"/>
  <c r="B10" i="5"/>
  <c r="A10" i="5"/>
  <c r="F9" i="5"/>
  <c r="E9" i="5"/>
  <c r="D9" i="5"/>
  <c r="G9" i="5" s="1"/>
  <c r="B9" i="5"/>
  <c r="A9" i="5"/>
  <c r="F8" i="5"/>
  <c r="E8" i="5"/>
  <c r="D8" i="5"/>
  <c r="G8" i="5" s="1"/>
  <c r="B8" i="5"/>
  <c r="A8" i="5"/>
  <c r="F7" i="5"/>
  <c r="E7" i="5"/>
  <c r="D7" i="5"/>
  <c r="G7" i="5" s="1"/>
  <c r="B7" i="5"/>
  <c r="F6" i="5"/>
  <c r="E6" i="5"/>
  <c r="D6" i="5"/>
  <c r="G6" i="5" s="1"/>
  <c r="H6" i="5" s="1"/>
  <c r="I6" i="5" s="1"/>
  <c r="B6" i="5"/>
  <c r="A6" i="5"/>
  <c r="F5" i="5"/>
  <c r="E5" i="5"/>
  <c r="D5" i="5"/>
  <c r="G5" i="5" s="1"/>
  <c r="B5" i="5"/>
  <c r="A5" i="5"/>
  <c r="F4" i="5"/>
  <c r="E4" i="5"/>
  <c r="D4" i="5"/>
  <c r="G4" i="5" s="1"/>
  <c r="H4" i="5" s="1"/>
  <c r="B4" i="5"/>
  <c r="A4" i="5"/>
  <c r="F3" i="5"/>
  <c r="E3" i="5"/>
  <c r="D3" i="5"/>
  <c r="G3" i="5" s="1"/>
  <c r="B3" i="5"/>
  <c r="A3" i="5"/>
  <c r="G181" i="4"/>
  <c r="G180" i="4"/>
  <c r="I179" i="4"/>
  <c r="G179" i="4"/>
  <c r="H179" i="4" s="1"/>
  <c r="H178" i="4"/>
  <c r="I178" i="4" s="1"/>
  <c r="G178" i="4"/>
  <c r="G177" i="4"/>
  <c r="G176" i="4"/>
  <c r="I175" i="4"/>
  <c r="G175" i="4"/>
  <c r="H175" i="4" s="1"/>
  <c r="H174" i="4"/>
  <c r="I174" i="4" s="1"/>
  <c r="G174" i="4"/>
  <c r="G173" i="4"/>
  <c r="G172" i="4"/>
  <c r="I171" i="4"/>
  <c r="G171" i="4"/>
  <c r="H171" i="4" s="1"/>
  <c r="H170" i="4"/>
  <c r="I170" i="4" s="1"/>
  <c r="G170" i="4"/>
  <c r="G169" i="4"/>
  <c r="F168" i="4"/>
  <c r="E168" i="4"/>
  <c r="D168" i="4"/>
  <c r="G168" i="4" s="1"/>
  <c r="B168" i="4"/>
  <c r="F167" i="4"/>
  <c r="E167" i="4"/>
  <c r="D167" i="4"/>
  <c r="G167" i="4" s="1"/>
  <c r="B167" i="4"/>
  <c r="A167" i="4"/>
  <c r="F166" i="4"/>
  <c r="E166" i="4"/>
  <c r="D166" i="4"/>
  <c r="G166" i="4" s="1"/>
  <c r="H166" i="4" s="1"/>
  <c r="I166" i="4" s="1"/>
  <c r="B166" i="4"/>
  <c r="F165" i="4"/>
  <c r="E165" i="4"/>
  <c r="D165" i="4"/>
  <c r="G165" i="4" s="1"/>
  <c r="B165" i="4"/>
  <c r="A165" i="4"/>
  <c r="F164" i="4"/>
  <c r="E164" i="4"/>
  <c r="D164" i="4"/>
  <c r="G164" i="4" s="1"/>
  <c r="H164" i="4" s="1"/>
  <c r="B164" i="4"/>
  <c r="A164" i="4"/>
  <c r="F163" i="4"/>
  <c r="E163" i="4"/>
  <c r="D163" i="4"/>
  <c r="G163" i="4" s="1"/>
  <c r="B163" i="4"/>
  <c r="A163" i="4"/>
  <c r="F162" i="4"/>
  <c r="E162" i="4"/>
  <c r="D162" i="4"/>
  <c r="G162" i="4" s="1"/>
  <c r="H162" i="4" s="1"/>
  <c r="B162" i="4"/>
  <c r="A162" i="4"/>
  <c r="F161" i="4"/>
  <c r="E161" i="4"/>
  <c r="D161" i="4"/>
  <c r="G161" i="4" s="1"/>
  <c r="B161" i="4"/>
  <c r="A161" i="4"/>
  <c r="F160" i="4"/>
  <c r="E160" i="4"/>
  <c r="D160" i="4"/>
  <c r="G160" i="4" s="1"/>
  <c r="H160" i="4" s="1"/>
  <c r="B160" i="4"/>
  <c r="A160" i="4"/>
  <c r="F159" i="4"/>
  <c r="E159" i="4"/>
  <c r="D159" i="4"/>
  <c r="G159" i="4" s="1"/>
  <c r="B159" i="4"/>
  <c r="A159" i="4"/>
  <c r="F158" i="4"/>
  <c r="E158" i="4"/>
  <c r="D158" i="4"/>
  <c r="G158" i="4" s="1"/>
  <c r="H158" i="4" s="1"/>
  <c r="B158" i="4"/>
  <c r="A158" i="4"/>
  <c r="F157" i="4"/>
  <c r="E157" i="4"/>
  <c r="D157" i="4"/>
  <c r="G157" i="4" s="1"/>
  <c r="B157" i="4"/>
  <c r="A157" i="4"/>
  <c r="F156" i="4"/>
  <c r="E156" i="4"/>
  <c r="D156" i="4"/>
  <c r="G156" i="4" s="1"/>
  <c r="H156" i="4" s="1"/>
  <c r="B156" i="4"/>
  <c r="A156" i="4"/>
  <c r="F155" i="4"/>
  <c r="E155" i="4"/>
  <c r="D155" i="4"/>
  <c r="G155" i="4" s="1"/>
  <c r="B155" i="4"/>
  <c r="A155" i="4"/>
  <c r="F154" i="4"/>
  <c r="E154" i="4"/>
  <c r="D154" i="4"/>
  <c r="G154" i="4" s="1"/>
  <c r="H154" i="4" s="1"/>
  <c r="B154" i="4"/>
  <c r="A154" i="4"/>
  <c r="F153" i="4"/>
  <c r="E153" i="4"/>
  <c r="D153" i="4"/>
  <c r="G153" i="4" s="1"/>
  <c r="B153" i="4"/>
  <c r="F152" i="4"/>
  <c r="E152" i="4"/>
  <c r="D152" i="4"/>
  <c r="G152" i="4" s="1"/>
  <c r="B152" i="4"/>
  <c r="A152" i="4"/>
  <c r="F151" i="4"/>
  <c r="E151" i="4"/>
  <c r="D151" i="4"/>
  <c r="G151" i="4" s="1"/>
  <c r="B151" i="4"/>
  <c r="A151" i="4"/>
  <c r="F150" i="4"/>
  <c r="E150" i="4"/>
  <c r="D150" i="4"/>
  <c r="G150" i="4" s="1"/>
  <c r="B150" i="4"/>
  <c r="A150" i="4"/>
  <c r="F149" i="4"/>
  <c r="E149" i="4"/>
  <c r="D149" i="4"/>
  <c r="G149" i="4" s="1"/>
  <c r="B149" i="4"/>
  <c r="A149" i="4"/>
  <c r="F148" i="4"/>
  <c r="E148" i="4"/>
  <c r="D148" i="4"/>
  <c r="G148" i="4" s="1"/>
  <c r="B148" i="4"/>
  <c r="A148" i="4"/>
  <c r="F147" i="4"/>
  <c r="E147" i="4"/>
  <c r="D147" i="4"/>
  <c r="G147" i="4" s="1"/>
  <c r="B147" i="4"/>
  <c r="A147" i="4"/>
  <c r="F146" i="4"/>
  <c r="E146" i="4"/>
  <c r="D146" i="4"/>
  <c r="G146" i="4" s="1"/>
  <c r="B146" i="4"/>
  <c r="A146" i="4"/>
  <c r="F145" i="4"/>
  <c r="E145" i="4"/>
  <c r="D145" i="4"/>
  <c r="G145" i="4" s="1"/>
  <c r="B145" i="4"/>
  <c r="A145" i="4"/>
  <c r="F144" i="4"/>
  <c r="E144" i="4"/>
  <c r="D144" i="4"/>
  <c r="G144" i="4" s="1"/>
  <c r="B144" i="4"/>
  <c r="A144" i="4"/>
  <c r="F143" i="4"/>
  <c r="E143" i="4"/>
  <c r="D143" i="4"/>
  <c r="G143" i="4" s="1"/>
  <c r="B143" i="4"/>
  <c r="A143" i="4"/>
  <c r="F142" i="4"/>
  <c r="E142" i="4"/>
  <c r="D142" i="4"/>
  <c r="G142" i="4" s="1"/>
  <c r="B142" i="4"/>
  <c r="A142" i="4"/>
  <c r="F141" i="4"/>
  <c r="E141" i="4"/>
  <c r="D141" i="4"/>
  <c r="G141" i="4" s="1"/>
  <c r="H141" i="4" s="1"/>
  <c r="B141" i="4"/>
  <c r="A141" i="4"/>
  <c r="F140" i="4"/>
  <c r="E140" i="4"/>
  <c r="D140" i="4"/>
  <c r="G140" i="4" s="1"/>
  <c r="B140" i="4"/>
  <c r="A140" i="4"/>
  <c r="F139" i="4"/>
  <c r="E139" i="4"/>
  <c r="D139" i="4"/>
  <c r="G139" i="4" s="1"/>
  <c r="B139" i="4"/>
  <c r="A139" i="4"/>
  <c r="F138" i="4"/>
  <c r="E138" i="4"/>
  <c r="D138" i="4"/>
  <c r="G138" i="4" s="1"/>
  <c r="B138" i="4"/>
  <c r="A138" i="4"/>
  <c r="F137" i="4"/>
  <c r="E137" i="4"/>
  <c r="D137" i="4"/>
  <c r="G137" i="4" s="1"/>
  <c r="B137" i="4"/>
  <c r="A137" i="4"/>
  <c r="F136" i="4"/>
  <c r="E136" i="4"/>
  <c r="D136" i="4"/>
  <c r="G136" i="4" s="1"/>
  <c r="B136" i="4"/>
  <c r="A136" i="4"/>
  <c r="F135" i="4"/>
  <c r="E135" i="4"/>
  <c r="D135" i="4"/>
  <c r="G135" i="4" s="1"/>
  <c r="B135" i="4"/>
  <c r="A135" i="4"/>
  <c r="F134" i="4"/>
  <c r="E134" i="4"/>
  <c r="D134" i="4"/>
  <c r="G134" i="4" s="1"/>
  <c r="B134" i="4"/>
  <c r="A134" i="4"/>
  <c r="F133" i="4"/>
  <c r="E133" i="4"/>
  <c r="D133" i="4"/>
  <c r="G133" i="4" s="1"/>
  <c r="H133" i="4" s="1"/>
  <c r="B133" i="4"/>
  <c r="F132" i="4"/>
  <c r="E132" i="4"/>
  <c r="D132" i="4"/>
  <c r="G132" i="4" s="1"/>
  <c r="V6" i="4" s="1"/>
  <c r="D7" i="9" s="1"/>
  <c r="B132" i="4"/>
  <c r="A132" i="4"/>
  <c r="F131" i="4"/>
  <c r="E131" i="4"/>
  <c r="D131" i="4"/>
  <c r="G131" i="4" s="1"/>
  <c r="B131" i="4"/>
  <c r="A131" i="4"/>
  <c r="F130" i="4"/>
  <c r="E130" i="4"/>
  <c r="D130" i="4"/>
  <c r="G130" i="4" s="1"/>
  <c r="B130" i="4"/>
  <c r="A130" i="4"/>
  <c r="F129" i="4"/>
  <c r="E129" i="4"/>
  <c r="D129" i="4"/>
  <c r="G129" i="4" s="1"/>
  <c r="B129" i="4"/>
  <c r="A129" i="4"/>
  <c r="F128" i="4"/>
  <c r="E128" i="4"/>
  <c r="D128" i="4"/>
  <c r="G128" i="4" s="1"/>
  <c r="B128" i="4"/>
  <c r="A128" i="4"/>
  <c r="F127" i="4"/>
  <c r="E127" i="4"/>
  <c r="D127" i="4"/>
  <c r="G127" i="4" s="1"/>
  <c r="B127" i="4"/>
  <c r="A127" i="4"/>
  <c r="F126" i="4"/>
  <c r="E126" i="4"/>
  <c r="D126" i="4"/>
  <c r="G126" i="4" s="1"/>
  <c r="B126" i="4"/>
  <c r="A126" i="4"/>
  <c r="F125" i="4"/>
  <c r="E125" i="4"/>
  <c r="D125" i="4"/>
  <c r="G125" i="4" s="1"/>
  <c r="H125" i="4" s="1"/>
  <c r="B125" i="4"/>
  <c r="A125" i="4"/>
  <c r="F124" i="4"/>
  <c r="E124" i="4"/>
  <c r="D124" i="4"/>
  <c r="G124" i="4" s="1"/>
  <c r="H124" i="4" s="1"/>
  <c r="B124" i="4"/>
  <c r="A124" i="4"/>
  <c r="F123" i="4"/>
  <c r="E123" i="4"/>
  <c r="D123" i="4"/>
  <c r="G123" i="4" s="1"/>
  <c r="H123" i="4" s="1"/>
  <c r="B123" i="4"/>
  <c r="A123" i="4"/>
  <c r="F122" i="4"/>
  <c r="E122" i="4"/>
  <c r="D122" i="4"/>
  <c r="G122" i="4" s="1"/>
  <c r="H122" i="4" s="1"/>
  <c r="B122" i="4"/>
  <c r="A122" i="4"/>
  <c r="F121" i="4"/>
  <c r="E121" i="4"/>
  <c r="D121" i="4"/>
  <c r="G121" i="4" s="1"/>
  <c r="S6" i="4" s="1"/>
  <c r="B121" i="4"/>
  <c r="A121" i="4"/>
  <c r="F120" i="4"/>
  <c r="E120" i="4"/>
  <c r="D120" i="4"/>
  <c r="G120" i="4" s="1"/>
  <c r="H120" i="4" s="1"/>
  <c r="B120" i="4"/>
  <c r="A120" i="4"/>
  <c r="F119" i="4"/>
  <c r="E119" i="4"/>
  <c r="D119" i="4"/>
  <c r="G119" i="4" s="1"/>
  <c r="H119" i="4" s="1"/>
  <c r="B119" i="4"/>
  <c r="A119" i="4"/>
  <c r="F118" i="4"/>
  <c r="E118" i="4"/>
  <c r="D118" i="4"/>
  <c r="G118" i="4" s="1"/>
  <c r="H118" i="4" s="1"/>
  <c r="B118" i="4"/>
  <c r="A118" i="4"/>
  <c r="F117" i="4"/>
  <c r="E117" i="4"/>
  <c r="D117" i="4"/>
  <c r="G117" i="4" s="1"/>
  <c r="H117" i="4" s="1"/>
  <c r="B117" i="4"/>
  <c r="A117" i="4"/>
  <c r="F116" i="4"/>
  <c r="E116" i="4"/>
  <c r="D116" i="4"/>
  <c r="G116" i="4" s="1"/>
  <c r="H116" i="4" s="1"/>
  <c r="B116" i="4"/>
  <c r="A116" i="4"/>
  <c r="F115" i="4"/>
  <c r="E115" i="4"/>
  <c r="D115" i="4"/>
  <c r="G115" i="4" s="1"/>
  <c r="H115" i="4" s="1"/>
  <c r="B115" i="4"/>
  <c r="A115" i="4"/>
  <c r="F114" i="4"/>
  <c r="E114" i="4"/>
  <c r="D114" i="4"/>
  <c r="G114" i="4" s="1"/>
  <c r="H114" i="4" s="1"/>
  <c r="B114" i="4"/>
  <c r="A114" i="4"/>
  <c r="F113" i="4"/>
  <c r="E113" i="4"/>
  <c r="D113" i="4"/>
  <c r="G113" i="4" s="1"/>
  <c r="H113" i="4" s="1"/>
  <c r="B113" i="4"/>
  <c r="A113" i="4"/>
  <c r="F112" i="4"/>
  <c r="E112" i="4"/>
  <c r="D112" i="4"/>
  <c r="G112" i="4" s="1"/>
  <c r="H112" i="4" s="1"/>
  <c r="B112" i="4"/>
  <c r="A112" i="4"/>
  <c r="F111" i="4"/>
  <c r="E111" i="4"/>
  <c r="D111" i="4"/>
  <c r="G111" i="4" s="1"/>
  <c r="H111" i="4" s="1"/>
  <c r="B111" i="4"/>
  <c r="A111" i="4"/>
  <c r="F110" i="4"/>
  <c r="E110" i="4"/>
  <c r="D110" i="4"/>
  <c r="G110" i="4" s="1"/>
  <c r="H110" i="4" s="1"/>
  <c r="B110" i="4"/>
  <c r="A110" i="4"/>
  <c r="F109" i="4"/>
  <c r="E109" i="4"/>
  <c r="D109" i="4"/>
  <c r="G109" i="4" s="1"/>
  <c r="H109" i="4" s="1"/>
  <c r="B109" i="4"/>
  <c r="A109" i="4"/>
  <c r="F108" i="4"/>
  <c r="E108" i="4"/>
  <c r="D108" i="4"/>
  <c r="G108" i="4" s="1"/>
  <c r="H108" i="4" s="1"/>
  <c r="B108" i="4"/>
  <c r="A108" i="4"/>
  <c r="F107" i="4"/>
  <c r="E107" i="4"/>
  <c r="D107" i="4"/>
  <c r="G107" i="4" s="1"/>
  <c r="H107" i="4" s="1"/>
  <c r="B107" i="4"/>
  <c r="A107" i="4"/>
  <c r="F106" i="4"/>
  <c r="E106" i="4"/>
  <c r="D106" i="4"/>
  <c r="G106" i="4" s="1"/>
  <c r="H106" i="4" s="1"/>
  <c r="B106" i="4"/>
  <c r="A106" i="4"/>
  <c r="F105" i="4"/>
  <c r="E105" i="4"/>
  <c r="D105" i="4"/>
  <c r="G105" i="4" s="1"/>
  <c r="H105" i="4" s="1"/>
  <c r="B105" i="4"/>
  <c r="A105" i="4"/>
  <c r="F104" i="4"/>
  <c r="E104" i="4"/>
  <c r="D104" i="4"/>
  <c r="G104" i="4" s="1"/>
  <c r="H104" i="4" s="1"/>
  <c r="B104" i="4"/>
  <c r="A104" i="4"/>
  <c r="F103" i="4"/>
  <c r="E103" i="4"/>
  <c r="D103" i="4"/>
  <c r="G103" i="4" s="1"/>
  <c r="H103" i="4" s="1"/>
  <c r="B103" i="4"/>
  <c r="A103" i="4"/>
  <c r="F102" i="4"/>
  <c r="E102" i="4"/>
  <c r="D102" i="4"/>
  <c r="G102" i="4" s="1"/>
  <c r="H102" i="4" s="1"/>
  <c r="B102" i="4"/>
  <c r="A102" i="4"/>
  <c r="F101" i="4"/>
  <c r="E101" i="4"/>
  <c r="D101" i="4"/>
  <c r="G101" i="4" s="1"/>
  <c r="H101" i="4" s="1"/>
  <c r="B101" i="4"/>
  <c r="A101" i="4"/>
  <c r="F100" i="4"/>
  <c r="E100" i="4"/>
  <c r="D100" i="4"/>
  <c r="G100" i="4" s="1"/>
  <c r="H100" i="4" s="1"/>
  <c r="B100" i="4"/>
  <c r="A100" i="4"/>
  <c r="F99" i="4"/>
  <c r="E99" i="4"/>
  <c r="D99" i="4"/>
  <c r="G99" i="4" s="1"/>
  <c r="H99" i="4" s="1"/>
  <c r="B99" i="4"/>
  <c r="A99" i="4"/>
  <c r="F98" i="4"/>
  <c r="E98" i="4"/>
  <c r="D98" i="4"/>
  <c r="G98" i="4" s="1"/>
  <c r="H98" i="4" s="1"/>
  <c r="B98" i="4"/>
  <c r="A98" i="4"/>
  <c r="F97" i="4"/>
  <c r="E97" i="4"/>
  <c r="D97" i="4"/>
  <c r="G97" i="4" s="1"/>
  <c r="H97" i="4" s="1"/>
  <c r="B97" i="4"/>
  <c r="A97" i="4"/>
  <c r="F96" i="4"/>
  <c r="E96" i="4"/>
  <c r="D96" i="4"/>
  <c r="G96" i="4" s="1"/>
  <c r="H96" i="4" s="1"/>
  <c r="B96" i="4"/>
  <c r="A96" i="4"/>
  <c r="F95" i="4"/>
  <c r="E95" i="4"/>
  <c r="D95" i="4"/>
  <c r="G95" i="4" s="1"/>
  <c r="H95" i="4" s="1"/>
  <c r="B95" i="4"/>
  <c r="A95" i="4"/>
  <c r="F94" i="4"/>
  <c r="E94" i="4"/>
  <c r="D94" i="4"/>
  <c r="G94" i="4" s="1"/>
  <c r="H94" i="4" s="1"/>
  <c r="B94" i="4"/>
  <c r="A94" i="4"/>
  <c r="F93" i="4"/>
  <c r="E93" i="4"/>
  <c r="D93" i="4"/>
  <c r="G93" i="4" s="1"/>
  <c r="B93" i="4"/>
  <c r="A93" i="4"/>
  <c r="F92" i="4"/>
  <c r="E92" i="4"/>
  <c r="D92" i="4"/>
  <c r="G92" i="4" s="1"/>
  <c r="B92" i="4"/>
  <c r="A92" i="4"/>
  <c r="F91" i="4"/>
  <c r="E91" i="4"/>
  <c r="D91" i="4"/>
  <c r="G91" i="4" s="1"/>
  <c r="B91" i="4"/>
  <c r="A91" i="4"/>
  <c r="F90" i="4"/>
  <c r="E90" i="4"/>
  <c r="D90" i="4"/>
  <c r="G90" i="4" s="1"/>
  <c r="H90" i="4" s="1"/>
  <c r="B90" i="4"/>
  <c r="A90" i="4"/>
  <c r="F89" i="4"/>
  <c r="E89" i="4"/>
  <c r="D89" i="4"/>
  <c r="G89" i="4" s="1"/>
  <c r="B89" i="4"/>
  <c r="A89" i="4"/>
  <c r="F88" i="4"/>
  <c r="E88" i="4"/>
  <c r="D88" i="4"/>
  <c r="G88" i="4" s="1"/>
  <c r="B88" i="4"/>
  <c r="A88" i="4"/>
  <c r="F87" i="4"/>
  <c r="E87" i="4"/>
  <c r="D87" i="4"/>
  <c r="G87" i="4" s="1"/>
  <c r="B87" i="4"/>
  <c r="A87" i="4"/>
  <c r="F86" i="4"/>
  <c r="E86" i="4"/>
  <c r="D86" i="4"/>
  <c r="G86" i="4" s="1"/>
  <c r="B86" i="4"/>
  <c r="A86" i="4"/>
  <c r="F85" i="4"/>
  <c r="E85" i="4"/>
  <c r="D85" i="4"/>
  <c r="G85" i="4" s="1"/>
  <c r="B85" i="4"/>
  <c r="A85" i="4"/>
  <c r="F84" i="4"/>
  <c r="E84" i="4"/>
  <c r="D84" i="4"/>
  <c r="G84" i="4" s="1"/>
  <c r="B84" i="4"/>
  <c r="A84" i="4"/>
  <c r="F83" i="4"/>
  <c r="E83" i="4"/>
  <c r="D83" i="4"/>
  <c r="G83" i="4" s="1"/>
  <c r="B83" i="4"/>
  <c r="A83" i="4"/>
  <c r="F82" i="4"/>
  <c r="E82" i="4"/>
  <c r="D82" i="4"/>
  <c r="G82" i="4" s="1"/>
  <c r="H82" i="4" s="1"/>
  <c r="B82" i="4"/>
  <c r="A82" i="4"/>
  <c r="F81" i="4"/>
  <c r="E81" i="4"/>
  <c r="D81" i="4"/>
  <c r="G81" i="4" s="1"/>
  <c r="B81" i="4"/>
  <c r="A81" i="4"/>
  <c r="F80" i="4"/>
  <c r="E80" i="4"/>
  <c r="D80" i="4"/>
  <c r="G80" i="4" s="1"/>
  <c r="B80" i="4"/>
  <c r="A80" i="4"/>
  <c r="F79" i="4"/>
  <c r="E79" i="4"/>
  <c r="D79" i="4"/>
  <c r="G79" i="4" s="1"/>
  <c r="B79" i="4"/>
  <c r="A79" i="4"/>
  <c r="F78" i="4"/>
  <c r="E78" i="4"/>
  <c r="D78" i="4"/>
  <c r="G78" i="4" s="1"/>
  <c r="H78" i="4" s="1"/>
  <c r="B78" i="4"/>
  <c r="A78" i="4"/>
  <c r="F77" i="4"/>
  <c r="E77" i="4"/>
  <c r="D77" i="4"/>
  <c r="G77" i="4" s="1"/>
  <c r="B77" i="4"/>
  <c r="F76" i="4"/>
  <c r="E76" i="4"/>
  <c r="D76" i="4"/>
  <c r="G76" i="4" s="1"/>
  <c r="B76" i="4"/>
  <c r="A76" i="4"/>
  <c r="F75" i="4"/>
  <c r="E75" i="4"/>
  <c r="D75" i="4"/>
  <c r="G75" i="4" s="1"/>
  <c r="B75" i="4"/>
  <c r="A75" i="4"/>
  <c r="F74" i="4"/>
  <c r="E74" i="4"/>
  <c r="D74" i="4"/>
  <c r="C74" i="4"/>
  <c r="B74" i="4"/>
  <c r="A74" i="4"/>
  <c r="F73" i="4"/>
  <c r="E73" i="4"/>
  <c r="D73" i="4"/>
  <c r="G73" i="4" s="1"/>
  <c r="B73" i="4"/>
  <c r="A73" i="4"/>
  <c r="F72" i="4"/>
  <c r="E72" i="4"/>
  <c r="D72" i="4"/>
  <c r="G72" i="4" s="1"/>
  <c r="B72" i="4"/>
  <c r="A72" i="4"/>
  <c r="F71" i="4"/>
  <c r="E71" i="4"/>
  <c r="D71" i="4"/>
  <c r="G71" i="4" s="1"/>
  <c r="B71" i="4"/>
  <c r="A71" i="4"/>
  <c r="F70" i="4"/>
  <c r="E70" i="4"/>
  <c r="D70" i="4"/>
  <c r="G70" i="4" s="1"/>
  <c r="H70" i="4" s="1"/>
  <c r="B70" i="4"/>
  <c r="A70" i="4"/>
  <c r="F69" i="4"/>
  <c r="E69" i="4"/>
  <c r="D69" i="4"/>
  <c r="G69" i="4" s="1"/>
  <c r="B69" i="4"/>
  <c r="A69" i="4"/>
  <c r="F68" i="4"/>
  <c r="E68" i="4"/>
  <c r="D68" i="4"/>
  <c r="G68" i="4" s="1"/>
  <c r="B68" i="4"/>
  <c r="A68" i="4"/>
  <c r="F67" i="4"/>
  <c r="E67" i="4"/>
  <c r="D67" i="4"/>
  <c r="G67" i="4" s="1"/>
  <c r="B67" i="4"/>
  <c r="A67" i="4"/>
  <c r="F66" i="4"/>
  <c r="E66" i="4"/>
  <c r="D66" i="4"/>
  <c r="G66" i="4" s="1"/>
  <c r="H66" i="4" s="1"/>
  <c r="B66" i="4"/>
  <c r="A66" i="4"/>
  <c r="F65" i="4"/>
  <c r="E65" i="4"/>
  <c r="D65" i="4"/>
  <c r="G65" i="4" s="1"/>
  <c r="B65" i="4"/>
  <c r="A65" i="4"/>
  <c r="F64" i="4"/>
  <c r="E64" i="4"/>
  <c r="D64" i="4"/>
  <c r="G64" i="4" s="1"/>
  <c r="B64" i="4"/>
  <c r="A64" i="4"/>
  <c r="F63" i="4"/>
  <c r="E63" i="4"/>
  <c r="D63" i="4"/>
  <c r="G63" i="4" s="1"/>
  <c r="B63" i="4"/>
  <c r="F62" i="4"/>
  <c r="E62" i="4"/>
  <c r="D62" i="4"/>
  <c r="G62" i="4" s="1"/>
  <c r="B62" i="4"/>
  <c r="A62" i="4"/>
  <c r="F61" i="4"/>
  <c r="E61" i="4"/>
  <c r="D61" i="4"/>
  <c r="G61" i="4" s="1"/>
  <c r="H61" i="4" s="1"/>
  <c r="B61" i="4"/>
  <c r="F60" i="4"/>
  <c r="E60" i="4"/>
  <c r="D60" i="4"/>
  <c r="G60" i="4" s="1"/>
  <c r="H60" i="4" s="1"/>
  <c r="B60" i="4"/>
  <c r="A60" i="4"/>
  <c r="F59" i="4"/>
  <c r="E59" i="4"/>
  <c r="D59" i="4"/>
  <c r="G59" i="4" s="1"/>
  <c r="B59" i="4"/>
  <c r="A59" i="4"/>
  <c r="F58" i="4"/>
  <c r="E58" i="4"/>
  <c r="D58" i="4"/>
  <c r="G58" i="4" s="1"/>
  <c r="B58" i="4"/>
  <c r="A58" i="4"/>
  <c r="F57" i="4"/>
  <c r="E57" i="4"/>
  <c r="D57" i="4"/>
  <c r="G57" i="4" s="1"/>
  <c r="B57" i="4"/>
  <c r="A57" i="4"/>
  <c r="F56" i="4"/>
  <c r="E56" i="4"/>
  <c r="D56" i="4"/>
  <c r="G56" i="4" s="1"/>
  <c r="B56" i="4"/>
  <c r="A56" i="4"/>
  <c r="F55" i="4"/>
  <c r="E55" i="4"/>
  <c r="D55" i="4"/>
  <c r="G55" i="4" s="1"/>
  <c r="H55" i="4" s="1"/>
  <c r="B55" i="4"/>
  <c r="A55" i="4"/>
  <c r="F54" i="4"/>
  <c r="E54" i="4"/>
  <c r="D54" i="4"/>
  <c r="G54" i="4" s="1"/>
  <c r="B54" i="4"/>
  <c r="A54" i="4"/>
  <c r="F53" i="4"/>
  <c r="E53" i="4"/>
  <c r="D53" i="4"/>
  <c r="G53" i="4" s="1"/>
  <c r="B53" i="4"/>
  <c r="A53" i="4"/>
  <c r="F52" i="4"/>
  <c r="E52" i="4"/>
  <c r="D52" i="4"/>
  <c r="G52" i="4" s="1"/>
  <c r="H52" i="4" s="1"/>
  <c r="B52" i="4"/>
  <c r="A52" i="4"/>
  <c r="F51" i="4"/>
  <c r="E51" i="4"/>
  <c r="D51" i="4"/>
  <c r="G51" i="4" s="1"/>
  <c r="H51" i="4" s="1"/>
  <c r="B51" i="4"/>
  <c r="A51" i="4"/>
  <c r="F50" i="4"/>
  <c r="E50" i="4"/>
  <c r="D50" i="4"/>
  <c r="G50" i="4" s="1"/>
  <c r="B50" i="4"/>
  <c r="A50" i="4"/>
  <c r="F49" i="4"/>
  <c r="E49" i="4"/>
  <c r="D49" i="4"/>
  <c r="G49" i="4" s="1"/>
  <c r="H49" i="4" s="1"/>
  <c r="B49" i="4"/>
  <c r="A49" i="4"/>
  <c r="F48" i="4"/>
  <c r="E48" i="4"/>
  <c r="D48" i="4"/>
  <c r="G48" i="4" s="1"/>
  <c r="H48" i="4" s="1"/>
  <c r="B48" i="4"/>
  <c r="A48" i="4"/>
  <c r="F47" i="4"/>
  <c r="E47" i="4"/>
  <c r="D47" i="4"/>
  <c r="G47" i="4" s="1"/>
  <c r="H47" i="4" s="1"/>
  <c r="B47" i="4"/>
  <c r="A47" i="4"/>
  <c r="F46" i="4"/>
  <c r="E46" i="4"/>
  <c r="D46" i="4"/>
  <c r="G46" i="4" s="1"/>
  <c r="B46" i="4"/>
  <c r="A46" i="4"/>
  <c r="F45" i="4"/>
  <c r="E45" i="4"/>
  <c r="D45" i="4"/>
  <c r="G45" i="4" s="1"/>
  <c r="B45" i="4"/>
  <c r="A45" i="4"/>
  <c r="F44" i="4"/>
  <c r="E44" i="4"/>
  <c r="D44" i="4"/>
  <c r="G44" i="4" s="1"/>
  <c r="H44" i="4" s="1"/>
  <c r="B44" i="4"/>
  <c r="A44" i="4"/>
  <c r="F43" i="4"/>
  <c r="E43" i="4"/>
  <c r="D43" i="4"/>
  <c r="G43" i="4" s="1"/>
  <c r="B43" i="4"/>
  <c r="A43" i="4"/>
  <c r="F42" i="4"/>
  <c r="E42" i="4"/>
  <c r="D42" i="4"/>
  <c r="G42" i="4" s="1"/>
  <c r="B42" i="4"/>
  <c r="A42" i="4"/>
  <c r="F41" i="4"/>
  <c r="E41" i="4"/>
  <c r="D41" i="4"/>
  <c r="G41" i="4" s="1"/>
  <c r="H41" i="4" s="1"/>
  <c r="B41" i="4"/>
  <c r="A41" i="4"/>
  <c r="F40" i="4"/>
  <c r="E40" i="4"/>
  <c r="D40" i="4"/>
  <c r="G40" i="4" s="1"/>
  <c r="H40" i="4" s="1"/>
  <c r="B40" i="4"/>
  <c r="A40" i="4"/>
  <c r="F39" i="4"/>
  <c r="E39" i="4"/>
  <c r="D39" i="4"/>
  <c r="G39" i="4" s="1"/>
  <c r="H39" i="4" s="1"/>
  <c r="B39" i="4"/>
  <c r="A39" i="4"/>
  <c r="F38" i="4"/>
  <c r="E38" i="4"/>
  <c r="D38" i="4"/>
  <c r="G38" i="4" s="1"/>
  <c r="B38" i="4"/>
  <c r="A38" i="4"/>
  <c r="F37" i="4"/>
  <c r="E37" i="4"/>
  <c r="D37" i="4"/>
  <c r="G37" i="4" s="1"/>
  <c r="B37" i="4"/>
  <c r="A37" i="4"/>
  <c r="F36" i="4"/>
  <c r="E36" i="4"/>
  <c r="D36" i="4"/>
  <c r="G36" i="4" s="1"/>
  <c r="H36" i="4" s="1"/>
  <c r="B36" i="4"/>
  <c r="A36" i="4"/>
  <c r="F35" i="4"/>
  <c r="E35" i="4"/>
  <c r="D35" i="4"/>
  <c r="G35" i="4" s="1"/>
  <c r="H35" i="4" s="1"/>
  <c r="B35" i="4"/>
  <c r="F34" i="4"/>
  <c r="E34" i="4"/>
  <c r="D34" i="4"/>
  <c r="G34" i="4" s="1"/>
  <c r="B34" i="4"/>
  <c r="A34" i="4"/>
  <c r="F33" i="4"/>
  <c r="E33" i="4"/>
  <c r="D33" i="4"/>
  <c r="G33" i="4" s="1"/>
  <c r="B33" i="4"/>
  <c r="A33" i="4"/>
  <c r="F32" i="4"/>
  <c r="E32" i="4"/>
  <c r="D32" i="4"/>
  <c r="G32" i="4" s="1"/>
  <c r="B32" i="4"/>
  <c r="A32" i="4"/>
  <c r="F31" i="4"/>
  <c r="E31" i="4"/>
  <c r="D31" i="4"/>
  <c r="G31" i="4" s="1"/>
  <c r="B31" i="4"/>
  <c r="F30" i="4"/>
  <c r="E30" i="4"/>
  <c r="D30" i="4"/>
  <c r="G30" i="4" s="1"/>
  <c r="H30" i="4" s="1"/>
  <c r="B30" i="4"/>
  <c r="A30" i="4"/>
  <c r="F29" i="4"/>
  <c r="E29" i="4"/>
  <c r="D29" i="4"/>
  <c r="G29" i="4" s="1"/>
  <c r="B29" i="4"/>
  <c r="A29" i="4"/>
  <c r="F28" i="4"/>
  <c r="E28" i="4"/>
  <c r="D28" i="4"/>
  <c r="G28" i="4" s="1"/>
  <c r="B28" i="4"/>
  <c r="A28" i="4"/>
  <c r="F27" i="4"/>
  <c r="E27" i="4"/>
  <c r="D27" i="4"/>
  <c r="G27" i="4" s="1"/>
  <c r="B27" i="4"/>
  <c r="F26" i="4"/>
  <c r="E26" i="4"/>
  <c r="D26" i="4"/>
  <c r="G26" i="4" s="1"/>
  <c r="B26" i="4"/>
  <c r="A26" i="4"/>
  <c r="F25" i="4"/>
  <c r="E25" i="4"/>
  <c r="D25" i="4"/>
  <c r="G25" i="4" s="1"/>
  <c r="B25" i="4"/>
  <c r="A25" i="4"/>
  <c r="F24" i="4"/>
  <c r="E24" i="4"/>
  <c r="D24" i="4"/>
  <c r="G24" i="4" s="1"/>
  <c r="H24" i="4" s="1"/>
  <c r="B24" i="4"/>
  <c r="A24" i="4"/>
  <c r="F23" i="4"/>
  <c r="E23" i="4"/>
  <c r="D23" i="4"/>
  <c r="G23" i="4" s="1"/>
  <c r="B23" i="4"/>
  <c r="A23" i="4"/>
  <c r="F22" i="4"/>
  <c r="E22" i="4"/>
  <c r="D22" i="4"/>
  <c r="G22" i="4" s="1"/>
  <c r="B22" i="4"/>
  <c r="A22" i="4"/>
  <c r="F21" i="4"/>
  <c r="E21" i="4"/>
  <c r="D21" i="4"/>
  <c r="G21" i="4" s="1"/>
  <c r="H21" i="4" s="1"/>
  <c r="B21" i="4"/>
  <c r="A21" i="4"/>
  <c r="F20" i="4"/>
  <c r="E20" i="4"/>
  <c r="D20" i="4"/>
  <c r="G20" i="4" s="1"/>
  <c r="H20" i="4" s="1"/>
  <c r="B20" i="4"/>
  <c r="A20" i="4"/>
  <c r="F19" i="4"/>
  <c r="E19" i="4"/>
  <c r="D19" i="4"/>
  <c r="G19" i="4" s="1"/>
  <c r="H19" i="4" s="1"/>
  <c r="B19" i="4"/>
  <c r="A19" i="4"/>
  <c r="F18" i="4"/>
  <c r="E18" i="4"/>
  <c r="D18" i="4"/>
  <c r="G18" i="4" s="1"/>
  <c r="B18" i="4"/>
  <c r="A18" i="4"/>
  <c r="F17" i="4"/>
  <c r="E17" i="4"/>
  <c r="D17" i="4"/>
  <c r="G17" i="4" s="1"/>
  <c r="H17" i="4" s="1"/>
  <c r="B17" i="4"/>
  <c r="A17" i="4"/>
  <c r="F16" i="4"/>
  <c r="E16" i="4"/>
  <c r="D16" i="4"/>
  <c r="G16" i="4" s="1"/>
  <c r="B16" i="4"/>
  <c r="A16" i="4"/>
  <c r="F15" i="4"/>
  <c r="E15" i="4"/>
  <c r="D15" i="4"/>
  <c r="G15" i="4" s="1"/>
  <c r="H15" i="4" s="1"/>
  <c r="B15" i="4"/>
  <c r="A15" i="4"/>
  <c r="F14" i="4"/>
  <c r="E14" i="4"/>
  <c r="D14" i="4"/>
  <c r="G14" i="4" s="1"/>
  <c r="B14" i="4"/>
  <c r="A14" i="4"/>
  <c r="F13" i="4"/>
  <c r="E13" i="4"/>
  <c r="D13" i="4"/>
  <c r="G13" i="4" s="1"/>
  <c r="H13" i="4" s="1"/>
  <c r="B13" i="4"/>
  <c r="A13" i="4"/>
  <c r="F12" i="4"/>
  <c r="E12" i="4"/>
  <c r="D12" i="4"/>
  <c r="G12" i="4" s="1"/>
  <c r="B12" i="4"/>
  <c r="A12" i="4"/>
  <c r="F11" i="4"/>
  <c r="E11" i="4"/>
  <c r="D11" i="4"/>
  <c r="G11" i="4" s="1"/>
  <c r="H11" i="4" s="1"/>
  <c r="B11" i="4"/>
  <c r="F10" i="4"/>
  <c r="E10" i="4"/>
  <c r="D10" i="4"/>
  <c r="G10" i="4" s="1"/>
  <c r="H10" i="4" s="1"/>
  <c r="I10" i="4" s="1"/>
  <c r="B10" i="4"/>
  <c r="A10" i="4"/>
  <c r="F9" i="4"/>
  <c r="E9" i="4"/>
  <c r="D9" i="4"/>
  <c r="G9" i="4" s="1"/>
  <c r="H9" i="4" s="1"/>
  <c r="B9" i="4"/>
  <c r="A9" i="4"/>
  <c r="F8" i="4"/>
  <c r="E8" i="4"/>
  <c r="D8" i="4"/>
  <c r="G8" i="4" s="1"/>
  <c r="H8" i="4" s="1"/>
  <c r="B8" i="4"/>
  <c r="A8" i="4"/>
  <c r="F7" i="4"/>
  <c r="E7" i="4"/>
  <c r="D7" i="4"/>
  <c r="G7" i="4" s="1"/>
  <c r="H7" i="4" s="1"/>
  <c r="I7" i="4" s="1"/>
  <c r="B7" i="4"/>
  <c r="A7" i="4"/>
  <c r="F6" i="4"/>
  <c r="E6" i="4"/>
  <c r="D6" i="4"/>
  <c r="G6" i="4" s="1"/>
  <c r="B6" i="4"/>
  <c r="A6" i="4"/>
  <c r="F5" i="4"/>
  <c r="E5" i="4"/>
  <c r="D5" i="4"/>
  <c r="G5" i="4" s="1"/>
  <c r="B5" i="4"/>
  <c r="A5" i="4"/>
  <c r="F4" i="4"/>
  <c r="E4" i="4"/>
  <c r="D4" i="4"/>
  <c r="G4" i="4" s="1"/>
  <c r="B4" i="4"/>
  <c r="A4" i="4"/>
  <c r="F3" i="4"/>
  <c r="E3" i="4"/>
  <c r="D3" i="4"/>
  <c r="G3" i="4" s="1"/>
  <c r="B3" i="4"/>
  <c r="A3" i="4"/>
  <c r="G300" i="3"/>
  <c r="H300" i="3" s="1"/>
  <c r="I300" i="3" s="1"/>
  <c r="H299" i="3"/>
  <c r="I299" i="3" s="1"/>
  <c r="G299" i="3"/>
  <c r="G298" i="3"/>
  <c r="G297" i="3"/>
  <c r="H297" i="3" s="1"/>
  <c r="G296" i="3"/>
  <c r="H296" i="3" s="1"/>
  <c r="I296" i="3" s="1"/>
  <c r="G295" i="3"/>
  <c r="H295" i="3" s="1"/>
  <c r="I295" i="3" s="1"/>
  <c r="G294" i="3"/>
  <c r="H293" i="3"/>
  <c r="G293" i="3"/>
  <c r="G292" i="3"/>
  <c r="H292" i="3" s="1"/>
  <c r="H291" i="3"/>
  <c r="G291" i="3"/>
  <c r="G290" i="3"/>
  <c r="H289" i="3"/>
  <c r="G289" i="3"/>
  <c r="G288" i="3"/>
  <c r="H288" i="3" s="1"/>
  <c r="F287" i="3"/>
  <c r="E287" i="3"/>
  <c r="D287" i="3"/>
  <c r="G287" i="3" s="1"/>
  <c r="H287" i="3" s="1"/>
  <c r="B287" i="3"/>
  <c r="A287" i="3"/>
  <c r="F286" i="3"/>
  <c r="E286" i="3"/>
  <c r="D286" i="3"/>
  <c r="G286" i="3" s="1"/>
  <c r="H286" i="3" s="1"/>
  <c r="B286" i="3"/>
  <c r="A286" i="3"/>
  <c r="F285" i="3"/>
  <c r="E285" i="3"/>
  <c r="D285" i="3"/>
  <c r="G285" i="3" s="1"/>
  <c r="H285" i="3" s="1"/>
  <c r="B285" i="3"/>
  <c r="A285" i="3"/>
  <c r="F284" i="3"/>
  <c r="E284" i="3"/>
  <c r="D284" i="3"/>
  <c r="G284" i="3" s="1"/>
  <c r="H284" i="3" s="1"/>
  <c r="B284" i="3"/>
  <c r="A284" i="3"/>
  <c r="F283" i="3"/>
  <c r="E283" i="3"/>
  <c r="D283" i="3"/>
  <c r="G283" i="3" s="1"/>
  <c r="H283" i="3" s="1"/>
  <c r="B283" i="3"/>
  <c r="A283" i="3"/>
  <c r="F282" i="3"/>
  <c r="E282" i="3"/>
  <c r="D282" i="3"/>
  <c r="G282" i="3" s="1"/>
  <c r="H282" i="3" s="1"/>
  <c r="B282" i="3"/>
  <c r="A282" i="3"/>
  <c r="F281" i="3"/>
  <c r="E281" i="3"/>
  <c r="D281" i="3"/>
  <c r="G281" i="3" s="1"/>
  <c r="H281" i="3" s="1"/>
  <c r="B281" i="3"/>
  <c r="A281" i="3"/>
  <c r="F280" i="3"/>
  <c r="E280" i="3"/>
  <c r="D280" i="3"/>
  <c r="G280" i="3" s="1"/>
  <c r="H280" i="3" s="1"/>
  <c r="B280" i="3"/>
  <c r="A280" i="3"/>
  <c r="F279" i="3"/>
  <c r="E279" i="3"/>
  <c r="D279" i="3"/>
  <c r="G279" i="3" s="1"/>
  <c r="H279" i="3" s="1"/>
  <c r="B279" i="3"/>
  <c r="F278" i="3"/>
  <c r="E278" i="3"/>
  <c r="D278" i="3"/>
  <c r="G278" i="3" s="1"/>
  <c r="B278" i="3"/>
  <c r="A278" i="3"/>
  <c r="F277" i="3"/>
  <c r="E277" i="3"/>
  <c r="D277" i="3"/>
  <c r="G277" i="3" s="1"/>
  <c r="W6" i="3" s="1"/>
  <c r="B277" i="3"/>
  <c r="F276" i="3"/>
  <c r="E276" i="3"/>
  <c r="D276" i="3"/>
  <c r="G276" i="3" s="1"/>
  <c r="B276" i="3"/>
  <c r="A276" i="3"/>
  <c r="F275" i="3"/>
  <c r="E275" i="3"/>
  <c r="D275" i="3"/>
  <c r="G275" i="3" s="1"/>
  <c r="B275" i="3"/>
  <c r="F274" i="3"/>
  <c r="E274" i="3"/>
  <c r="D274" i="3"/>
  <c r="G274" i="3" s="1"/>
  <c r="H274" i="3" s="1"/>
  <c r="I274" i="3" s="1"/>
  <c r="B274" i="3"/>
  <c r="F273" i="3"/>
  <c r="E273" i="3"/>
  <c r="D273" i="3"/>
  <c r="G273" i="3" s="1"/>
  <c r="B273" i="3"/>
  <c r="A273" i="3"/>
  <c r="F272" i="3"/>
  <c r="E272" i="3"/>
  <c r="D272" i="3"/>
  <c r="G272" i="3" s="1"/>
  <c r="H272" i="3" s="1"/>
  <c r="B272" i="3"/>
  <c r="A272" i="3"/>
  <c r="F271" i="3"/>
  <c r="E271" i="3"/>
  <c r="D271" i="3"/>
  <c r="G271" i="3" s="1"/>
  <c r="B271" i="3"/>
  <c r="A271" i="3"/>
  <c r="F270" i="3"/>
  <c r="E270" i="3"/>
  <c r="D270" i="3"/>
  <c r="G270" i="3" s="1"/>
  <c r="H270" i="3" s="1"/>
  <c r="B270" i="3"/>
  <c r="A270" i="3"/>
  <c r="F269" i="3"/>
  <c r="E269" i="3"/>
  <c r="D269" i="3"/>
  <c r="G269" i="3" s="1"/>
  <c r="B269" i="3"/>
  <c r="A269" i="3"/>
  <c r="F268" i="3"/>
  <c r="E268" i="3"/>
  <c r="D268" i="3"/>
  <c r="G268" i="3" s="1"/>
  <c r="H268" i="3" s="1"/>
  <c r="B268" i="3"/>
  <c r="A268" i="3"/>
  <c r="F267" i="3"/>
  <c r="E267" i="3"/>
  <c r="D267" i="3"/>
  <c r="G267" i="3" s="1"/>
  <c r="B267" i="3"/>
  <c r="A267" i="3"/>
  <c r="F266" i="3"/>
  <c r="E266" i="3"/>
  <c r="D266" i="3"/>
  <c r="G266" i="3" s="1"/>
  <c r="H266" i="3" s="1"/>
  <c r="B266" i="3"/>
  <c r="A266" i="3"/>
  <c r="F265" i="3"/>
  <c r="E265" i="3"/>
  <c r="D265" i="3"/>
  <c r="G265" i="3" s="1"/>
  <c r="B265" i="3"/>
  <c r="F264" i="3"/>
  <c r="E264" i="3"/>
  <c r="D264" i="3"/>
  <c r="G264" i="3" s="1"/>
  <c r="B264" i="3"/>
  <c r="A264" i="3"/>
  <c r="F263" i="3"/>
  <c r="E263" i="3"/>
  <c r="D263" i="3"/>
  <c r="G263" i="3" s="1"/>
  <c r="B263" i="3"/>
  <c r="A263" i="3"/>
  <c r="F262" i="3"/>
  <c r="E262" i="3"/>
  <c r="D262" i="3"/>
  <c r="G262" i="3" s="1"/>
  <c r="B262" i="3"/>
  <c r="F261" i="3"/>
  <c r="E261" i="3"/>
  <c r="D261" i="3"/>
  <c r="G261" i="3" s="1"/>
  <c r="B261" i="3"/>
  <c r="A261" i="3"/>
  <c r="F260" i="3"/>
  <c r="E260" i="3"/>
  <c r="D260" i="3"/>
  <c r="G260" i="3" s="1"/>
  <c r="B260" i="3"/>
  <c r="A260" i="3"/>
  <c r="F259" i="3"/>
  <c r="E259" i="3"/>
  <c r="D259" i="3"/>
  <c r="G259" i="3" s="1"/>
  <c r="B259" i="3"/>
  <c r="F258" i="3"/>
  <c r="E258" i="3"/>
  <c r="D258" i="3"/>
  <c r="G258" i="3" s="1"/>
  <c r="H258" i="3" s="1"/>
  <c r="I258" i="3" s="1"/>
  <c r="B258" i="3"/>
  <c r="F257" i="3"/>
  <c r="E257" i="3"/>
  <c r="D257" i="3"/>
  <c r="G257" i="3" s="1"/>
  <c r="H257" i="3" s="1"/>
  <c r="B257" i="3"/>
  <c r="F256" i="3"/>
  <c r="E256" i="3"/>
  <c r="D256" i="3"/>
  <c r="G256" i="3" s="1"/>
  <c r="B256" i="3"/>
  <c r="A256" i="3"/>
  <c r="F255" i="3"/>
  <c r="E255" i="3"/>
  <c r="D255" i="3"/>
  <c r="G255" i="3" s="1"/>
  <c r="B255" i="3"/>
  <c r="A255" i="3"/>
  <c r="F254" i="3"/>
  <c r="E254" i="3"/>
  <c r="D254" i="3"/>
  <c r="G254" i="3" s="1"/>
  <c r="B254" i="3"/>
  <c r="A254" i="3"/>
  <c r="F253" i="3"/>
  <c r="E253" i="3"/>
  <c r="D253" i="3"/>
  <c r="G253" i="3" s="1"/>
  <c r="B253" i="3"/>
  <c r="A253" i="3"/>
  <c r="F252" i="3"/>
  <c r="E252" i="3"/>
  <c r="D252" i="3"/>
  <c r="G252" i="3" s="1"/>
  <c r="B252" i="3"/>
  <c r="A252" i="3"/>
  <c r="F251" i="3"/>
  <c r="E251" i="3"/>
  <c r="D251" i="3"/>
  <c r="G251" i="3" s="1"/>
  <c r="B251" i="3"/>
  <c r="A251" i="3"/>
  <c r="F250" i="3"/>
  <c r="E250" i="3"/>
  <c r="D250" i="3"/>
  <c r="G250" i="3" s="1"/>
  <c r="B250" i="3"/>
  <c r="A250" i="3"/>
  <c r="F249" i="3"/>
  <c r="E249" i="3"/>
  <c r="D249" i="3"/>
  <c r="G249" i="3" s="1"/>
  <c r="B249" i="3"/>
  <c r="A249" i="3"/>
  <c r="F248" i="3"/>
  <c r="E248" i="3"/>
  <c r="D248" i="3"/>
  <c r="G248" i="3" s="1"/>
  <c r="B248" i="3"/>
  <c r="A248" i="3"/>
  <c r="F247" i="3"/>
  <c r="E247" i="3"/>
  <c r="D247" i="3"/>
  <c r="G247" i="3" s="1"/>
  <c r="B247" i="3"/>
  <c r="A247" i="3"/>
  <c r="F246" i="3"/>
  <c r="E246" i="3"/>
  <c r="D246" i="3"/>
  <c r="G246" i="3" s="1"/>
  <c r="B246" i="3"/>
  <c r="A246" i="3"/>
  <c r="F245" i="3"/>
  <c r="E245" i="3"/>
  <c r="D245" i="3"/>
  <c r="G245" i="3" s="1"/>
  <c r="B245" i="3"/>
  <c r="A245" i="3"/>
  <c r="F244" i="3"/>
  <c r="E244" i="3"/>
  <c r="D244" i="3"/>
  <c r="G244" i="3" s="1"/>
  <c r="B244" i="3"/>
  <c r="A244" i="3"/>
  <c r="F243" i="3"/>
  <c r="E243" i="3"/>
  <c r="D243" i="3"/>
  <c r="G243" i="3" s="1"/>
  <c r="B243" i="3"/>
  <c r="A243" i="3"/>
  <c r="F242" i="3"/>
  <c r="E242" i="3"/>
  <c r="D242" i="3"/>
  <c r="G242" i="3" s="1"/>
  <c r="B242" i="3"/>
  <c r="A242" i="3"/>
  <c r="F241" i="3"/>
  <c r="E241" i="3"/>
  <c r="D241" i="3"/>
  <c r="G241" i="3" s="1"/>
  <c r="B241" i="3"/>
  <c r="A241" i="3"/>
  <c r="F240" i="3"/>
  <c r="E240" i="3"/>
  <c r="D240" i="3"/>
  <c r="G240" i="3" s="1"/>
  <c r="B240" i="3"/>
  <c r="A240" i="3"/>
  <c r="F239" i="3"/>
  <c r="E239" i="3"/>
  <c r="D239" i="3"/>
  <c r="G239" i="3" s="1"/>
  <c r="B239" i="3"/>
  <c r="A239" i="3"/>
  <c r="F238" i="3"/>
  <c r="E238" i="3"/>
  <c r="D238" i="3"/>
  <c r="G238" i="3" s="1"/>
  <c r="B238" i="3"/>
  <c r="A238" i="3"/>
  <c r="F237" i="3"/>
  <c r="E237" i="3"/>
  <c r="D237" i="3"/>
  <c r="G237" i="3" s="1"/>
  <c r="B237" i="3"/>
  <c r="A237" i="3"/>
  <c r="F236" i="3"/>
  <c r="E236" i="3"/>
  <c r="D236" i="3"/>
  <c r="G236" i="3" s="1"/>
  <c r="B236" i="3"/>
  <c r="A236" i="3"/>
  <c r="F235" i="3"/>
  <c r="E235" i="3"/>
  <c r="D235" i="3"/>
  <c r="G235" i="3" s="1"/>
  <c r="B235" i="3"/>
  <c r="A235" i="3"/>
  <c r="F234" i="3"/>
  <c r="E234" i="3"/>
  <c r="D234" i="3"/>
  <c r="G234" i="3" s="1"/>
  <c r="B234" i="3"/>
  <c r="A234" i="3"/>
  <c r="F233" i="3"/>
  <c r="E233" i="3"/>
  <c r="D233" i="3"/>
  <c r="G233" i="3" s="1"/>
  <c r="B233" i="3"/>
  <c r="A233" i="3"/>
  <c r="F232" i="3"/>
  <c r="E232" i="3"/>
  <c r="D232" i="3"/>
  <c r="G232" i="3" s="1"/>
  <c r="B232" i="3"/>
  <c r="A232" i="3"/>
  <c r="F231" i="3"/>
  <c r="E231" i="3"/>
  <c r="D231" i="3"/>
  <c r="G231" i="3" s="1"/>
  <c r="B231" i="3"/>
  <c r="A231" i="3"/>
  <c r="F230" i="3"/>
  <c r="E230" i="3"/>
  <c r="D230" i="3"/>
  <c r="G230" i="3" s="1"/>
  <c r="B230" i="3"/>
  <c r="A230" i="3"/>
  <c r="F229" i="3"/>
  <c r="E229" i="3"/>
  <c r="D229" i="3"/>
  <c r="G229" i="3" s="1"/>
  <c r="B229" i="3"/>
  <c r="A229" i="3"/>
  <c r="F228" i="3"/>
  <c r="E228" i="3"/>
  <c r="D228" i="3"/>
  <c r="G228" i="3" s="1"/>
  <c r="B228" i="3"/>
  <c r="A228" i="3"/>
  <c r="F227" i="3"/>
  <c r="E227" i="3"/>
  <c r="D227" i="3"/>
  <c r="G227" i="3" s="1"/>
  <c r="B227" i="3"/>
  <c r="A227" i="3"/>
  <c r="F226" i="3"/>
  <c r="E226" i="3"/>
  <c r="D226" i="3"/>
  <c r="G226" i="3" s="1"/>
  <c r="B226" i="3"/>
  <c r="A226" i="3"/>
  <c r="F225" i="3"/>
  <c r="E225" i="3"/>
  <c r="D225" i="3"/>
  <c r="G225" i="3" s="1"/>
  <c r="B225" i="3"/>
  <c r="A225" i="3"/>
  <c r="F224" i="3"/>
  <c r="E224" i="3"/>
  <c r="D224" i="3"/>
  <c r="G224" i="3" s="1"/>
  <c r="B224" i="3"/>
  <c r="A224" i="3"/>
  <c r="F223" i="3"/>
  <c r="E223" i="3"/>
  <c r="D223" i="3"/>
  <c r="G223" i="3" s="1"/>
  <c r="B223" i="3"/>
  <c r="A223" i="3"/>
  <c r="F222" i="3"/>
  <c r="E222" i="3"/>
  <c r="D222" i="3"/>
  <c r="G222" i="3" s="1"/>
  <c r="B222" i="3"/>
  <c r="A222" i="3"/>
  <c r="F221" i="3"/>
  <c r="E221" i="3"/>
  <c r="D221" i="3"/>
  <c r="G221" i="3" s="1"/>
  <c r="B221" i="3"/>
  <c r="A221" i="3"/>
  <c r="F220" i="3"/>
  <c r="E220" i="3"/>
  <c r="D220" i="3"/>
  <c r="G220" i="3" s="1"/>
  <c r="B220" i="3"/>
  <c r="F219" i="3"/>
  <c r="E219" i="3"/>
  <c r="D219" i="3"/>
  <c r="G219" i="3" s="1"/>
  <c r="B219" i="3"/>
  <c r="A219" i="3"/>
  <c r="F218" i="3"/>
  <c r="E218" i="3"/>
  <c r="D218" i="3"/>
  <c r="G218" i="3" s="1"/>
  <c r="B218" i="3"/>
  <c r="A218" i="3"/>
  <c r="F217" i="3"/>
  <c r="E217" i="3"/>
  <c r="D217" i="3"/>
  <c r="G217" i="3" s="1"/>
  <c r="B217" i="3"/>
  <c r="A217" i="3"/>
  <c r="F216" i="3"/>
  <c r="E216" i="3"/>
  <c r="D216" i="3"/>
  <c r="G216" i="3" s="1"/>
  <c r="B216" i="3"/>
  <c r="A216" i="3"/>
  <c r="F215" i="3"/>
  <c r="E215" i="3"/>
  <c r="D215" i="3"/>
  <c r="G215" i="3" s="1"/>
  <c r="B215" i="3"/>
  <c r="F214" i="3"/>
  <c r="E214" i="3"/>
  <c r="D214" i="3"/>
  <c r="G214" i="3" s="1"/>
  <c r="H214" i="3" s="1"/>
  <c r="I214" i="3" s="1"/>
  <c r="B214" i="3"/>
  <c r="F213" i="3"/>
  <c r="E213" i="3"/>
  <c r="D213" i="3"/>
  <c r="G213" i="3" s="1"/>
  <c r="H213" i="3" s="1"/>
  <c r="B213" i="3"/>
  <c r="F212" i="3"/>
  <c r="E212" i="3"/>
  <c r="D212" i="3"/>
  <c r="G212" i="3" s="1"/>
  <c r="B212" i="3"/>
  <c r="A212" i="3"/>
  <c r="F211" i="3"/>
  <c r="E211" i="3"/>
  <c r="D211" i="3"/>
  <c r="G211" i="3" s="1"/>
  <c r="B211" i="3"/>
  <c r="A211" i="3"/>
  <c r="F210" i="3"/>
  <c r="E210" i="3"/>
  <c r="D210" i="3"/>
  <c r="G210" i="3" s="1"/>
  <c r="B210" i="3"/>
  <c r="A210" i="3"/>
  <c r="F209" i="3"/>
  <c r="E209" i="3"/>
  <c r="D209" i="3"/>
  <c r="G209" i="3" s="1"/>
  <c r="B209" i="3"/>
  <c r="A209" i="3"/>
  <c r="F208" i="3"/>
  <c r="E208" i="3"/>
  <c r="D208" i="3"/>
  <c r="G208" i="3" s="1"/>
  <c r="B208" i="3"/>
  <c r="A208" i="3"/>
  <c r="F207" i="3"/>
  <c r="E207" i="3"/>
  <c r="D207" i="3"/>
  <c r="G207" i="3" s="1"/>
  <c r="B207" i="3"/>
  <c r="A207" i="3"/>
  <c r="F206" i="3"/>
  <c r="E206" i="3"/>
  <c r="D206" i="3"/>
  <c r="G206" i="3" s="1"/>
  <c r="B206" i="3"/>
  <c r="A206" i="3"/>
  <c r="F205" i="3"/>
  <c r="E205" i="3"/>
  <c r="D205" i="3"/>
  <c r="G205" i="3" s="1"/>
  <c r="B205" i="3"/>
  <c r="A205" i="3"/>
  <c r="F204" i="3"/>
  <c r="E204" i="3"/>
  <c r="D204" i="3"/>
  <c r="G204" i="3" s="1"/>
  <c r="B204" i="3"/>
  <c r="A204" i="3"/>
  <c r="F203" i="3"/>
  <c r="E203" i="3"/>
  <c r="D203" i="3"/>
  <c r="G203" i="3" s="1"/>
  <c r="B203" i="3"/>
  <c r="A203" i="3"/>
  <c r="F202" i="3"/>
  <c r="E202" i="3"/>
  <c r="D202" i="3"/>
  <c r="G202" i="3" s="1"/>
  <c r="B202" i="3"/>
  <c r="A202" i="3"/>
  <c r="F201" i="3"/>
  <c r="E201" i="3"/>
  <c r="D201" i="3"/>
  <c r="G201" i="3" s="1"/>
  <c r="B201" i="3"/>
  <c r="A201" i="3"/>
  <c r="F200" i="3"/>
  <c r="E200" i="3"/>
  <c r="D200" i="3"/>
  <c r="G200" i="3" s="1"/>
  <c r="B200" i="3"/>
  <c r="A200" i="3"/>
  <c r="F199" i="3"/>
  <c r="E199" i="3"/>
  <c r="D199" i="3"/>
  <c r="G199" i="3" s="1"/>
  <c r="B199" i="3"/>
  <c r="A199" i="3"/>
  <c r="F198" i="3"/>
  <c r="E198" i="3"/>
  <c r="D198" i="3"/>
  <c r="G198" i="3" s="1"/>
  <c r="B198" i="3"/>
  <c r="A198" i="3"/>
  <c r="F197" i="3"/>
  <c r="E197" i="3"/>
  <c r="D197" i="3"/>
  <c r="G197" i="3" s="1"/>
  <c r="B197" i="3"/>
  <c r="A197" i="3"/>
  <c r="F196" i="3"/>
  <c r="E196" i="3"/>
  <c r="D196" i="3"/>
  <c r="G196" i="3" s="1"/>
  <c r="B196" i="3"/>
  <c r="A196" i="3"/>
  <c r="F195" i="3"/>
  <c r="E195" i="3"/>
  <c r="D195" i="3"/>
  <c r="G195" i="3" s="1"/>
  <c r="B195" i="3"/>
  <c r="A195" i="3"/>
  <c r="F194" i="3"/>
  <c r="E194" i="3"/>
  <c r="D194" i="3"/>
  <c r="G194" i="3" s="1"/>
  <c r="B194" i="3"/>
  <c r="A194" i="3"/>
  <c r="F193" i="3"/>
  <c r="E193" i="3"/>
  <c r="D193" i="3"/>
  <c r="G193" i="3" s="1"/>
  <c r="B193" i="3"/>
  <c r="A193" i="3"/>
  <c r="F192" i="3"/>
  <c r="E192" i="3"/>
  <c r="D192" i="3"/>
  <c r="G192" i="3" s="1"/>
  <c r="B192" i="3"/>
  <c r="A192" i="3"/>
  <c r="F191" i="3"/>
  <c r="E191" i="3"/>
  <c r="D191" i="3"/>
  <c r="G191" i="3" s="1"/>
  <c r="B191" i="3"/>
  <c r="A191" i="3"/>
  <c r="F190" i="3"/>
  <c r="E190" i="3"/>
  <c r="D190" i="3"/>
  <c r="G190" i="3" s="1"/>
  <c r="B190" i="3"/>
  <c r="A190" i="3"/>
  <c r="F189" i="3"/>
  <c r="E189" i="3"/>
  <c r="D189" i="3"/>
  <c r="G189" i="3" s="1"/>
  <c r="B189" i="3"/>
  <c r="A189" i="3"/>
  <c r="F188" i="3"/>
  <c r="E188" i="3"/>
  <c r="D188" i="3"/>
  <c r="G188" i="3" s="1"/>
  <c r="B188" i="3"/>
  <c r="A188" i="3"/>
  <c r="F187" i="3"/>
  <c r="E187" i="3"/>
  <c r="D187" i="3"/>
  <c r="G187" i="3" s="1"/>
  <c r="B187" i="3"/>
  <c r="A187" i="3"/>
  <c r="F186" i="3"/>
  <c r="E186" i="3"/>
  <c r="D186" i="3"/>
  <c r="G186" i="3" s="1"/>
  <c r="B186" i="3"/>
  <c r="A186" i="3"/>
  <c r="F185" i="3"/>
  <c r="E185" i="3"/>
  <c r="D185" i="3"/>
  <c r="G185" i="3" s="1"/>
  <c r="B185" i="3"/>
  <c r="A185" i="3"/>
  <c r="F184" i="3"/>
  <c r="E184" i="3"/>
  <c r="D184" i="3"/>
  <c r="G184" i="3" s="1"/>
  <c r="B184" i="3"/>
  <c r="A184" i="3"/>
  <c r="F183" i="3"/>
  <c r="E183" i="3"/>
  <c r="D183" i="3"/>
  <c r="G183" i="3" s="1"/>
  <c r="B183" i="3"/>
  <c r="A183" i="3"/>
  <c r="F182" i="3"/>
  <c r="E182" i="3"/>
  <c r="D182" i="3"/>
  <c r="G182" i="3" s="1"/>
  <c r="B182" i="3"/>
  <c r="A182" i="3"/>
  <c r="F181" i="3"/>
  <c r="E181" i="3"/>
  <c r="D181" i="3"/>
  <c r="G181" i="3" s="1"/>
  <c r="B181" i="3"/>
  <c r="A181" i="3"/>
  <c r="F180" i="3"/>
  <c r="E180" i="3"/>
  <c r="D180" i="3"/>
  <c r="G180" i="3" s="1"/>
  <c r="B180" i="3"/>
  <c r="A180" i="3"/>
  <c r="F179" i="3"/>
  <c r="E179" i="3"/>
  <c r="D179" i="3"/>
  <c r="G179" i="3" s="1"/>
  <c r="B179" i="3"/>
  <c r="A179" i="3"/>
  <c r="F178" i="3"/>
  <c r="E178" i="3"/>
  <c r="D178" i="3"/>
  <c r="G178" i="3" s="1"/>
  <c r="B178" i="3"/>
  <c r="A178" i="3"/>
  <c r="F177" i="3"/>
  <c r="E177" i="3"/>
  <c r="D177" i="3"/>
  <c r="G177" i="3" s="1"/>
  <c r="B177" i="3"/>
  <c r="A177" i="3"/>
  <c r="F176" i="3"/>
  <c r="E176" i="3"/>
  <c r="D176" i="3"/>
  <c r="G176" i="3" s="1"/>
  <c r="B176" i="3"/>
  <c r="A176" i="3"/>
  <c r="F175" i="3"/>
  <c r="E175" i="3"/>
  <c r="D175" i="3"/>
  <c r="G175" i="3" s="1"/>
  <c r="B175" i="3"/>
  <c r="A175" i="3"/>
  <c r="F174" i="3"/>
  <c r="E174" i="3"/>
  <c r="D174" i="3"/>
  <c r="G174" i="3" s="1"/>
  <c r="B174" i="3"/>
  <c r="A174" i="3"/>
  <c r="F173" i="3"/>
  <c r="E173" i="3"/>
  <c r="D173" i="3"/>
  <c r="G173" i="3" s="1"/>
  <c r="B173" i="3"/>
  <c r="A173" i="3"/>
  <c r="F172" i="3"/>
  <c r="E172" i="3"/>
  <c r="D172" i="3"/>
  <c r="G172" i="3" s="1"/>
  <c r="B172" i="3"/>
  <c r="A172" i="3"/>
  <c r="F171" i="3"/>
  <c r="E171" i="3"/>
  <c r="D171" i="3"/>
  <c r="G171" i="3" s="1"/>
  <c r="B171" i="3"/>
  <c r="A171" i="3"/>
  <c r="F170" i="3"/>
  <c r="E170" i="3"/>
  <c r="D170" i="3"/>
  <c r="G170" i="3" s="1"/>
  <c r="B170" i="3"/>
  <c r="A170" i="3"/>
  <c r="F169" i="3"/>
  <c r="E169" i="3"/>
  <c r="D169" i="3"/>
  <c r="G169" i="3" s="1"/>
  <c r="B169" i="3"/>
  <c r="A169" i="3"/>
  <c r="F168" i="3"/>
  <c r="E168" i="3"/>
  <c r="D168" i="3"/>
  <c r="G168" i="3" s="1"/>
  <c r="B168" i="3"/>
  <c r="A168" i="3"/>
  <c r="F167" i="3"/>
  <c r="E167" i="3"/>
  <c r="D167" i="3"/>
  <c r="G167" i="3" s="1"/>
  <c r="B167" i="3"/>
  <c r="A167" i="3"/>
  <c r="F166" i="3"/>
  <c r="E166" i="3"/>
  <c r="D166" i="3"/>
  <c r="G166" i="3" s="1"/>
  <c r="B166" i="3"/>
  <c r="A166" i="3"/>
  <c r="F165" i="3"/>
  <c r="E165" i="3"/>
  <c r="D165" i="3"/>
  <c r="G165" i="3" s="1"/>
  <c r="B165" i="3"/>
  <c r="F164" i="3"/>
  <c r="E164" i="3"/>
  <c r="D164" i="3"/>
  <c r="G164" i="3" s="1"/>
  <c r="B164" i="3"/>
  <c r="A164" i="3"/>
  <c r="F163" i="3"/>
  <c r="E163" i="3"/>
  <c r="D163" i="3"/>
  <c r="G163" i="3" s="1"/>
  <c r="B163" i="3"/>
  <c r="F162" i="3"/>
  <c r="E162" i="3"/>
  <c r="D162" i="3"/>
  <c r="G162" i="3" s="1"/>
  <c r="H162" i="3" s="1"/>
  <c r="B162" i="3"/>
  <c r="A162" i="3"/>
  <c r="F161" i="3"/>
  <c r="E161" i="3"/>
  <c r="D161" i="3"/>
  <c r="G161" i="3" s="1"/>
  <c r="H161" i="3" s="1"/>
  <c r="I161" i="3" s="1"/>
  <c r="B161" i="3"/>
  <c r="A161" i="3"/>
  <c r="F160" i="3"/>
  <c r="E160" i="3"/>
  <c r="D160" i="3"/>
  <c r="G160" i="3" s="1"/>
  <c r="B160" i="3"/>
  <c r="A160" i="3"/>
  <c r="F159" i="3"/>
  <c r="E159" i="3"/>
  <c r="D159" i="3"/>
  <c r="G159" i="3" s="1"/>
  <c r="H159" i="3" s="1"/>
  <c r="I159" i="3" s="1"/>
  <c r="B159" i="3"/>
  <c r="A159" i="3"/>
  <c r="F158" i="3"/>
  <c r="E158" i="3"/>
  <c r="D158" i="3"/>
  <c r="G158" i="3" s="1"/>
  <c r="H158" i="3" s="1"/>
  <c r="B158" i="3"/>
  <c r="A158" i="3"/>
  <c r="F157" i="3"/>
  <c r="E157" i="3"/>
  <c r="D157" i="3"/>
  <c r="G157" i="3" s="1"/>
  <c r="H157" i="3" s="1"/>
  <c r="I157" i="3" s="1"/>
  <c r="B157" i="3"/>
  <c r="A157" i="3"/>
  <c r="F156" i="3"/>
  <c r="E156" i="3"/>
  <c r="D156" i="3"/>
  <c r="G156" i="3" s="1"/>
  <c r="B156" i="3"/>
  <c r="A156" i="3"/>
  <c r="F155" i="3"/>
  <c r="E155" i="3"/>
  <c r="D155" i="3"/>
  <c r="G155" i="3" s="1"/>
  <c r="H155" i="3" s="1"/>
  <c r="I155" i="3" s="1"/>
  <c r="B155" i="3"/>
  <c r="A155" i="3"/>
  <c r="F154" i="3"/>
  <c r="E154" i="3"/>
  <c r="D154" i="3"/>
  <c r="G154" i="3" s="1"/>
  <c r="H154" i="3" s="1"/>
  <c r="B154" i="3"/>
  <c r="A154" i="3"/>
  <c r="F153" i="3"/>
  <c r="E153" i="3"/>
  <c r="D153" i="3"/>
  <c r="G153" i="3" s="1"/>
  <c r="H153" i="3" s="1"/>
  <c r="I153" i="3" s="1"/>
  <c r="B153" i="3"/>
  <c r="A153" i="3"/>
  <c r="F152" i="3"/>
  <c r="E152" i="3"/>
  <c r="D152" i="3"/>
  <c r="G152" i="3" s="1"/>
  <c r="B152" i="3"/>
  <c r="A152" i="3"/>
  <c r="F151" i="3"/>
  <c r="E151" i="3"/>
  <c r="D151" i="3"/>
  <c r="G151" i="3" s="1"/>
  <c r="H151" i="3" s="1"/>
  <c r="I151" i="3" s="1"/>
  <c r="B151" i="3"/>
  <c r="A151" i="3"/>
  <c r="F150" i="3"/>
  <c r="E150" i="3"/>
  <c r="D150" i="3"/>
  <c r="G150" i="3" s="1"/>
  <c r="H150" i="3" s="1"/>
  <c r="B150" i="3"/>
  <c r="A150" i="3"/>
  <c r="F149" i="3"/>
  <c r="E149" i="3"/>
  <c r="D149" i="3"/>
  <c r="G149" i="3" s="1"/>
  <c r="H149" i="3" s="1"/>
  <c r="I149" i="3" s="1"/>
  <c r="B149" i="3"/>
  <c r="A149" i="3"/>
  <c r="F148" i="3"/>
  <c r="E148" i="3"/>
  <c r="D148" i="3"/>
  <c r="G148" i="3" s="1"/>
  <c r="B148" i="3"/>
  <c r="A148" i="3"/>
  <c r="F147" i="3"/>
  <c r="E147" i="3"/>
  <c r="D147" i="3"/>
  <c r="G147" i="3" s="1"/>
  <c r="H147" i="3" s="1"/>
  <c r="I147" i="3" s="1"/>
  <c r="B147" i="3"/>
  <c r="A147" i="3"/>
  <c r="F146" i="3"/>
  <c r="E146" i="3"/>
  <c r="D146" i="3"/>
  <c r="G146" i="3" s="1"/>
  <c r="H146" i="3" s="1"/>
  <c r="B146" i="3"/>
  <c r="A146" i="3"/>
  <c r="F145" i="3"/>
  <c r="E145" i="3"/>
  <c r="D145" i="3"/>
  <c r="G145" i="3" s="1"/>
  <c r="H145" i="3" s="1"/>
  <c r="I145" i="3" s="1"/>
  <c r="B145" i="3"/>
  <c r="A145" i="3"/>
  <c r="F144" i="3"/>
  <c r="E144" i="3"/>
  <c r="D144" i="3"/>
  <c r="G144" i="3" s="1"/>
  <c r="B144" i="3"/>
  <c r="A144" i="3"/>
  <c r="F143" i="3"/>
  <c r="E143" i="3"/>
  <c r="D143" i="3"/>
  <c r="G143" i="3" s="1"/>
  <c r="H143" i="3" s="1"/>
  <c r="I143" i="3" s="1"/>
  <c r="B143" i="3"/>
  <c r="F142" i="3"/>
  <c r="E142" i="3"/>
  <c r="D142" i="3"/>
  <c r="G142" i="3" s="1"/>
  <c r="H142" i="3" s="1"/>
  <c r="B142" i="3"/>
  <c r="A142" i="3"/>
  <c r="F141" i="3"/>
  <c r="E141" i="3"/>
  <c r="D141" i="3"/>
  <c r="G141" i="3" s="1"/>
  <c r="B141" i="3"/>
  <c r="A141" i="3"/>
  <c r="F140" i="3"/>
  <c r="E140" i="3"/>
  <c r="D140" i="3"/>
  <c r="G140" i="3" s="1"/>
  <c r="H140" i="3" s="1"/>
  <c r="B140" i="3"/>
  <c r="A140" i="3"/>
  <c r="F139" i="3"/>
  <c r="E139" i="3"/>
  <c r="D139" i="3"/>
  <c r="G139" i="3" s="1"/>
  <c r="B139" i="3"/>
  <c r="A139" i="3"/>
  <c r="F138" i="3"/>
  <c r="E138" i="3"/>
  <c r="D138" i="3"/>
  <c r="G138" i="3" s="1"/>
  <c r="H138" i="3" s="1"/>
  <c r="B138" i="3"/>
  <c r="A138" i="3"/>
  <c r="F137" i="3"/>
  <c r="E137" i="3"/>
  <c r="D137" i="3"/>
  <c r="G137" i="3" s="1"/>
  <c r="B137" i="3"/>
  <c r="A137" i="3"/>
  <c r="F136" i="3"/>
  <c r="E136" i="3"/>
  <c r="D136" i="3"/>
  <c r="G136" i="3" s="1"/>
  <c r="H136" i="3" s="1"/>
  <c r="B136" i="3"/>
  <c r="A136" i="3"/>
  <c r="F135" i="3"/>
  <c r="E135" i="3"/>
  <c r="D135" i="3"/>
  <c r="G135" i="3" s="1"/>
  <c r="B135" i="3"/>
  <c r="A135" i="3"/>
  <c r="F134" i="3"/>
  <c r="E134" i="3"/>
  <c r="D134" i="3"/>
  <c r="G134" i="3" s="1"/>
  <c r="H134" i="3" s="1"/>
  <c r="B134" i="3"/>
  <c r="A134" i="3"/>
  <c r="F133" i="3"/>
  <c r="E133" i="3"/>
  <c r="D133" i="3"/>
  <c r="G133" i="3" s="1"/>
  <c r="B133" i="3"/>
  <c r="A133" i="3"/>
  <c r="F132" i="3"/>
  <c r="E132" i="3"/>
  <c r="D132" i="3"/>
  <c r="G132" i="3" s="1"/>
  <c r="H132" i="3" s="1"/>
  <c r="B132" i="3"/>
  <c r="A132" i="3"/>
  <c r="F131" i="3"/>
  <c r="E131" i="3"/>
  <c r="D131" i="3"/>
  <c r="G131" i="3" s="1"/>
  <c r="B131" i="3"/>
  <c r="F130" i="3"/>
  <c r="E130" i="3"/>
  <c r="D130" i="3"/>
  <c r="G130" i="3" s="1"/>
  <c r="B130" i="3"/>
  <c r="F129" i="3"/>
  <c r="E129" i="3"/>
  <c r="D129" i="3"/>
  <c r="G129" i="3" s="1"/>
  <c r="B129" i="3"/>
  <c r="A129" i="3"/>
  <c r="F128" i="3"/>
  <c r="E128" i="3"/>
  <c r="D128" i="3"/>
  <c r="G128" i="3" s="1"/>
  <c r="B128" i="3"/>
  <c r="A128" i="3"/>
  <c r="F127" i="3"/>
  <c r="E127" i="3"/>
  <c r="D127" i="3"/>
  <c r="G127" i="3" s="1"/>
  <c r="B127" i="3"/>
  <c r="A127" i="3"/>
  <c r="F126" i="3"/>
  <c r="E126" i="3"/>
  <c r="D126" i="3"/>
  <c r="G126" i="3" s="1"/>
  <c r="B126" i="3"/>
  <c r="A126" i="3"/>
  <c r="F125" i="3"/>
  <c r="E125" i="3"/>
  <c r="D125" i="3"/>
  <c r="G125" i="3" s="1"/>
  <c r="B125" i="3"/>
  <c r="A125" i="3"/>
  <c r="F124" i="3"/>
  <c r="E124" i="3"/>
  <c r="D124" i="3"/>
  <c r="G124" i="3" s="1"/>
  <c r="B124" i="3"/>
  <c r="A124" i="3"/>
  <c r="F123" i="3"/>
  <c r="E123" i="3"/>
  <c r="D123" i="3"/>
  <c r="G123" i="3" s="1"/>
  <c r="B123" i="3"/>
  <c r="A123" i="3"/>
  <c r="F122" i="3"/>
  <c r="E122" i="3"/>
  <c r="D122" i="3"/>
  <c r="G122" i="3" s="1"/>
  <c r="B122" i="3"/>
  <c r="A122" i="3"/>
  <c r="F121" i="3"/>
  <c r="E121" i="3"/>
  <c r="D121" i="3"/>
  <c r="G121" i="3" s="1"/>
  <c r="H121" i="3" s="1"/>
  <c r="B121" i="3"/>
  <c r="A121" i="3"/>
  <c r="F120" i="3"/>
  <c r="E120" i="3"/>
  <c r="D120" i="3"/>
  <c r="G120" i="3" s="1"/>
  <c r="B120" i="3"/>
  <c r="A120" i="3"/>
  <c r="F119" i="3"/>
  <c r="E119" i="3"/>
  <c r="D119" i="3"/>
  <c r="G119" i="3" s="1"/>
  <c r="H119" i="3" s="1"/>
  <c r="B119" i="3"/>
  <c r="A119" i="3"/>
  <c r="F118" i="3"/>
  <c r="E118" i="3"/>
  <c r="D118" i="3"/>
  <c r="G118" i="3" s="1"/>
  <c r="B118" i="3"/>
  <c r="A118" i="3"/>
  <c r="F117" i="3"/>
  <c r="E117" i="3"/>
  <c r="D117" i="3"/>
  <c r="G117" i="3" s="1"/>
  <c r="B117" i="3"/>
  <c r="A117" i="3"/>
  <c r="F116" i="3"/>
  <c r="E116" i="3"/>
  <c r="D116" i="3"/>
  <c r="G116" i="3" s="1"/>
  <c r="B116" i="3"/>
  <c r="A116" i="3"/>
  <c r="F115" i="3"/>
  <c r="E115" i="3"/>
  <c r="D115" i="3"/>
  <c r="G115" i="3" s="1"/>
  <c r="B115" i="3"/>
  <c r="A115" i="3"/>
  <c r="F114" i="3"/>
  <c r="E114" i="3"/>
  <c r="D114" i="3"/>
  <c r="G114" i="3" s="1"/>
  <c r="B114" i="3"/>
  <c r="A114" i="3"/>
  <c r="F113" i="3"/>
  <c r="E113" i="3"/>
  <c r="D113" i="3"/>
  <c r="G113" i="3" s="1"/>
  <c r="B113" i="3"/>
  <c r="A113" i="3"/>
  <c r="F112" i="3"/>
  <c r="E112" i="3"/>
  <c r="D112" i="3"/>
  <c r="G112" i="3" s="1"/>
  <c r="B112" i="3"/>
  <c r="A112" i="3"/>
  <c r="F111" i="3"/>
  <c r="E111" i="3"/>
  <c r="D111" i="3"/>
  <c r="G111" i="3" s="1"/>
  <c r="B111" i="3"/>
  <c r="A111" i="3"/>
  <c r="F110" i="3"/>
  <c r="E110" i="3"/>
  <c r="D110" i="3"/>
  <c r="G110" i="3" s="1"/>
  <c r="B110" i="3"/>
  <c r="A110" i="3"/>
  <c r="F109" i="3"/>
  <c r="E109" i="3"/>
  <c r="D109" i="3"/>
  <c r="G109" i="3" s="1"/>
  <c r="B109" i="3"/>
  <c r="A109" i="3"/>
  <c r="F108" i="3"/>
  <c r="E108" i="3"/>
  <c r="D108" i="3"/>
  <c r="G108" i="3" s="1"/>
  <c r="B108" i="3"/>
  <c r="A108" i="3"/>
  <c r="F107" i="3"/>
  <c r="E107" i="3"/>
  <c r="D107" i="3"/>
  <c r="G107" i="3" s="1"/>
  <c r="B107" i="3"/>
  <c r="A107" i="3"/>
  <c r="F106" i="3"/>
  <c r="E106" i="3"/>
  <c r="D106" i="3"/>
  <c r="G106" i="3" s="1"/>
  <c r="B106" i="3"/>
  <c r="A106" i="3"/>
  <c r="F105" i="3"/>
  <c r="E105" i="3"/>
  <c r="D105" i="3"/>
  <c r="G105" i="3" s="1"/>
  <c r="B105" i="3"/>
  <c r="A105" i="3"/>
  <c r="F104" i="3"/>
  <c r="E104" i="3"/>
  <c r="D104" i="3"/>
  <c r="G104" i="3" s="1"/>
  <c r="B104" i="3"/>
  <c r="A104" i="3"/>
  <c r="F103" i="3"/>
  <c r="E103" i="3"/>
  <c r="D103" i="3"/>
  <c r="G103" i="3" s="1"/>
  <c r="B103" i="3"/>
  <c r="A103" i="3"/>
  <c r="F102" i="3"/>
  <c r="E102" i="3"/>
  <c r="D102" i="3"/>
  <c r="G102" i="3" s="1"/>
  <c r="B102" i="3"/>
  <c r="A102" i="3"/>
  <c r="F101" i="3"/>
  <c r="E101" i="3"/>
  <c r="D101" i="3"/>
  <c r="G101" i="3" s="1"/>
  <c r="B101" i="3"/>
  <c r="A101" i="3"/>
  <c r="F100" i="3"/>
  <c r="E100" i="3"/>
  <c r="D100" i="3"/>
  <c r="G100" i="3" s="1"/>
  <c r="B100" i="3"/>
  <c r="A100" i="3"/>
  <c r="F99" i="3"/>
  <c r="E99" i="3"/>
  <c r="D99" i="3"/>
  <c r="G99" i="3" s="1"/>
  <c r="B99" i="3"/>
  <c r="A99" i="3"/>
  <c r="F98" i="3"/>
  <c r="E98" i="3"/>
  <c r="D98" i="3"/>
  <c r="G98" i="3" s="1"/>
  <c r="B98" i="3"/>
  <c r="A98" i="3"/>
  <c r="F97" i="3"/>
  <c r="E97" i="3"/>
  <c r="D97" i="3"/>
  <c r="G97" i="3" s="1"/>
  <c r="B97" i="3"/>
  <c r="A97" i="3"/>
  <c r="F96" i="3"/>
  <c r="E96" i="3"/>
  <c r="D96" i="3"/>
  <c r="G96" i="3" s="1"/>
  <c r="B96" i="3"/>
  <c r="A96" i="3"/>
  <c r="F95" i="3"/>
  <c r="E95" i="3"/>
  <c r="D95" i="3"/>
  <c r="G95" i="3" s="1"/>
  <c r="B95" i="3"/>
  <c r="A95" i="3"/>
  <c r="F94" i="3"/>
  <c r="E94" i="3"/>
  <c r="D94" i="3"/>
  <c r="G94" i="3" s="1"/>
  <c r="B94" i="3"/>
  <c r="A94" i="3"/>
  <c r="F93" i="3"/>
  <c r="E93" i="3"/>
  <c r="D93" i="3"/>
  <c r="G93" i="3" s="1"/>
  <c r="B93" i="3"/>
  <c r="A93" i="3"/>
  <c r="F92" i="3"/>
  <c r="E92" i="3"/>
  <c r="D92" i="3"/>
  <c r="G92" i="3" s="1"/>
  <c r="B92" i="3"/>
  <c r="A92" i="3"/>
  <c r="F91" i="3"/>
  <c r="E91" i="3"/>
  <c r="D91" i="3"/>
  <c r="G91" i="3" s="1"/>
  <c r="B91" i="3"/>
  <c r="A91" i="3"/>
  <c r="F90" i="3"/>
  <c r="E90" i="3"/>
  <c r="D90" i="3"/>
  <c r="G90" i="3" s="1"/>
  <c r="B90" i="3"/>
  <c r="A90" i="3"/>
  <c r="F89" i="3"/>
  <c r="E89" i="3"/>
  <c r="D89" i="3"/>
  <c r="G89" i="3" s="1"/>
  <c r="B89" i="3"/>
  <c r="A89" i="3"/>
  <c r="F88" i="3"/>
  <c r="E88" i="3"/>
  <c r="D88" i="3"/>
  <c r="G88" i="3" s="1"/>
  <c r="B88" i="3"/>
  <c r="A88" i="3"/>
  <c r="F87" i="3"/>
  <c r="E87" i="3"/>
  <c r="D87" i="3"/>
  <c r="G87" i="3" s="1"/>
  <c r="B87" i="3"/>
  <c r="A87" i="3"/>
  <c r="F86" i="3"/>
  <c r="E86" i="3"/>
  <c r="D86" i="3"/>
  <c r="G86" i="3" s="1"/>
  <c r="B86" i="3"/>
  <c r="A86" i="3"/>
  <c r="F85" i="3"/>
  <c r="E85" i="3"/>
  <c r="D85" i="3"/>
  <c r="G85" i="3" s="1"/>
  <c r="B85" i="3"/>
  <c r="A85" i="3"/>
  <c r="F84" i="3"/>
  <c r="E84" i="3"/>
  <c r="D84" i="3"/>
  <c r="G84" i="3" s="1"/>
  <c r="B84" i="3"/>
  <c r="A84" i="3"/>
  <c r="F83" i="3"/>
  <c r="E83" i="3"/>
  <c r="D83" i="3"/>
  <c r="G83" i="3" s="1"/>
  <c r="B83" i="3"/>
  <c r="A83" i="3"/>
  <c r="F82" i="3"/>
  <c r="E82" i="3"/>
  <c r="D82" i="3"/>
  <c r="G82" i="3" s="1"/>
  <c r="B82" i="3"/>
  <c r="A82" i="3"/>
  <c r="F81" i="3"/>
  <c r="E81" i="3"/>
  <c r="D81" i="3"/>
  <c r="G81" i="3" s="1"/>
  <c r="B81" i="3"/>
  <c r="A81" i="3"/>
  <c r="F80" i="3"/>
  <c r="E80" i="3"/>
  <c r="D80" i="3"/>
  <c r="G80" i="3" s="1"/>
  <c r="B80" i="3"/>
  <c r="A80" i="3"/>
  <c r="F79" i="3"/>
  <c r="E79" i="3"/>
  <c r="D79" i="3"/>
  <c r="G79" i="3" s="1"/>
  <c r="B79" i="3"/>
  <c r="A79" i="3"/>
  <c r="F78" i="3"/>
  <c r="E78" i="3"/>
  <c r="D78" i="3"/>
  <c r="G78" i="3" s="1"/>
  <c r="B78" i="3"/>
  <c r="A78" i="3"/>
  <c r="F77" i="3"/>
  <c r="E77" i="3"/>
  <c r="D77" i="3"/>
  <c r="G77" i="3" s="1"/>
  <c r="B77" i="3"/>
  <c r="A77" i="3"/>
  <c r="F76" i="3"/>
  <c r="E76" i="3"/>
  <c r="D76" i="3"/>
  <c r="G76" i="3" s="1"/>
  <c r="B76" i="3"/>
  <c r="A76" i="3"/>
  <c r="F75" i="3"/>
  <c r="E75" i="3"/>
  <c r="D75" i="3"/>
  <c r="G75" i="3" s="1"/>
  <c r="B75" i="3"/>
  <c r="A75" i="3"/>
  <c r="F74" i="3"/>
  <c r="E74" i="3"/>
  <c r="D74" i="3"/>
  <c r="G74" i="3" s="1"/>
  <c r="B74" i="3"/>
  <c r="A74" i="3"/>
  <c r="F73" i="3"/>
  <c r="E73" i="3"/>
  <c r="D73" i="3"/>
  <c r="G73" i="3" s="1"/>
  <c r="B73" i="3"/>
  <c r="A73" i="3"/>
  <c r="F72" i="3"/>
  <c r="E72" i="3"/>
  <c r="D72" i="3"/>
  <c r="G72" i="3" s="1"/>
  <c r="H72" i="3" s="1"/>
  <c r="B72" i="3"/>
  <c r="A72" i="3"/>
  <c r="F71" i="3"/>
  <c r="E71" i="3"/>
  <c r="D71" i="3"/>
  <c r="G71" i="3" s="1"/>
  <c r="H71" i="3" s="1"/>
  <c r="B71" i="3"/>
  <c r="A71" i="3"/>
  <c r="F70" i="3"/>
  <c r="E70" i="3"/>
  <c r="D70" i="3"/>
  <c r="G70" i="3" s="1"/>
  <c r="H70" i="3" s="1"/>
  <c r="B70" i="3"/>
  <c r="A70" i="3"/>
  <c r="F69" i="3"/>
  <c r="E69" i="3"/>
  <c r="D69" i="3"/>
  <c r="G69" i="3" s="1"/>
  <c r="H69" i="3" s="1"/>
  <c r="B69" i="3"/>
  <c r="A69" i="3"/>
  <c r="F68" i="3"/>
  <c r="E68" i="3"/>
  <c r="D68" i="3"/>
  <c r="G68" i="3" s="1"/>
  <c r="H68" i="3" s="1"/>
  <c r="B68" i="3"/>
  <c r="A68" i="3"/>
  <c r="F67" i="3"/>
  <c r="E67" i="3"/>
  <c r="D67" i="3"/>
  <c r="G67" i="3" s="1"/>
  <c r="H67" i="3" s="1"/>
  <c r="B67" i="3"/>
  <c r="A67" i="3"/>
  <c r="F66" i="3"/>
  <c r="E66" i="3"/>
  <c r="D66" i="3"/>
  <c r="G66" i="3" s="1"/>
  <c r="H66" i="3" s="1"/>
  <c r="B66" i="3"/>
  <c r="A66" i="3"/>
  <c r="F65" i="3"/>
  <c r="E65" i="3"/>
  <c r="D65" i="3"/>
  <c r="G65" i="3" s="1"/>
  <c r="H65" i="3" s="1"/>
  <c r="B65" i="3"/>
  <c r="A65" i="3"/>
  <c r="F64" i="3"/>
  <c r="E64" i="3"/>
  <c r="D64" i="3"/>
  <c r="G64" i="3" s="1"/>
  <c r="H64" i="3" s="1"/>
  <c r="B64" i="3"/>
  <c r="A64" i="3"/>
  <c r="F63" i="3"/>
  <c r="E63" i="3"/>
  <c r="D63" i="3"/>
  <c r="G63" i="3" s="1"/>
  <c r="H63" i="3" s="1"/>
  <c r="B63" i="3"/>
  <c r="A63" i="3"/>
  <c r="F62" i="3"/>
  <c r="E62" i="3"/>
  <c r="D62" i="3"/>
  <c r="G62" i="3" s="1"/>
  <c r="H62" i="3" s="1"/>
  <c r="B62" i="3"/>
  <c r="A62" i="3"/>
  <c r="F61" i="3"/>
  <c r="E61" i="3"/>
  <c r="D61" i="3"/>
  <c r="G61" i="3" s="1"/>
  <c r="H61" i="3" s="1"/>
  <c r="B61" i="3"/>
  <c r="A61" i="3"/>
  <c r="F60" i="3"/>
  <c r="E60" i="3"/>
  <c r="D60" i="3"/>
  <c r="G60" i="3" s="1"/>
  <c r="H60" i="3" s="1"/>
  <c r="B60" i="3"/>
  <c r="A60" i="3"/>
  <c r="F59" i="3"/>
  <c r="E59" i="3"/>
  <c r="D59" i="3"/>
  <c r="G59" i="3" s="1"/>
  <c r="H59" i="3" s="1"/>
  <c r="B59" i="3"/>
  <c r="A59" i="3"/>
  <c r="F58" i="3"/>
  <c r="E58" i="3"/>
  <c r="D58" i="3"/>
  <c r="G58" i="3" s="1"/>
  <c r="H58" i="3" s="1"/>
  <c r="B58" i="3"/>
  <c r="A58" i="3"/>
  <c r="F57" i="3"/>
  <c r="E57" i="3"/>
  <c r="D57" i="3"/>
  <c r="G57" i="3" s="1"/>
  <c r="H57" i="3" s="1"/>
  <c r="B57" i="3"/>
  <c r="A57" i="3"/>
  <c r="F56" i="3"/>
  <c r="E56" i="3"/>
  <c r="D56" i="3"/>
  <c r="G56" i="3" s="1"/>
  <c r="H56" i="3" s="1"/>
  <c r="B56" i="3"/>
  <c r="A56" i="3"/>
  <c r="F55" i="3"/>
  <c r="E55" i="3"/>
  <c r="D55" i="3"/>
  <c r="G55" i="3" s="1"/>
  <c r="H55" i="3" s="1"/>
  <c r="B55" i="3"/>
  <c r="F54" i="3"/>
  <c r="E54" i="3"/>
  <c r="D54" i="3"/>
  <c r="G54" i="3" s="1"/>
  <c r="H54" i="3" s="1"/>
  <c r="B54" i="3"/>
  <c r="A54" i="3"/>
  <c r="F53" i="3"/>
  <c r="E53" i="3"/>
  <c r="D53" i="3"/>
  <c r="G53" i="3" s="1"/>
  <c r="B53" i="3"/>
  <c r="A53" i="3"/>
  <c r="F52" i="3"/>
  <c r="E52" i="3"/>
  <c r="D52" i="3"/>
  <c r="G52" i="3" s="1"/>
  <c r="H52" i="3" s="1"/>
  <c r="B52" i="3"/>
  <c r="A52" i="3"/>
  <c r="F51" i="3"/>
  <c r="E51" i="3"/>
  <c r="D51" i="3"/>
  <c r="G51" i="3" s="1"/>
  <c r="H51" i="3" s="1"/>
  <c r="B51" i="3"/>
  <c r="A51" i="3"/>
  <c r="F50" i="3"/>
  <c r="E50" i="3"/>
  <c r="D50" i="3"/>
  <c r="G50" i="3" s="1"/>
  <c r="H50" i="3" s="1"/>
  <c r="B50" i="3"/>
  <c r="A50" i="3"/>
  <c r="F49" i="3"/>
  <c r="E49" i="3"/>
  <c r="D49" i="3"/>
  <c r="G49" i="3" s="1"/>
  <c r="B49" i="3"/>
  <c r="A49" i="3"/>
  <c r="F48" i="3"/>
  <c r="E48" i="3"/>
  <c r="D48" i="3"/>
  <c r="G48" i="3" s="1"/>
  <c r="H48" i="3" s="1"/>
  <c r="B48" i="3"/>
  <c r="A48" i="3"/>
  <c r="F47" i="3"/>
  <c r="E47" i="3"/>
  <c r="D47" i="3"/>
  <c r="G47" i="3" s="1"/>
  <c r="H47" i="3" s="1"/>
  <c r="B47" i="3"/>
  <c r="A47" i="3"/>
  <c r="F46" i="3"/>
  <c r="E46" i="3"/>
  <c r="D46" i="3"/>
  <c r="G46" i="3" s="1"/>
  <c r="H46" i="3" s="1"/>
  <c r="B46" i="3"/>
  <c r="A46" i="3"/>
  <c r="F45" i="3"/>
  <c r="E45" i="3"/>
  <c r="D45" i="3"/>
  <c r="G45" i="3" s="1"/>
  <c r="B45" i="3"/>
  <c r="F44" i="3"/>
  <c r="E44" i="3"/>
  <c r="D44" i="3"/>
  <c r="G44" i="3" s="1"/>
  <c r="H44" i="3" s="1"/>
  <c r="B44" i="3"/>
  <c r="A44" i="3"/>
  <c r="F43" i="3"/>
  <c r="E43" i="3"/>
  <c r="D43" i="3"/>
  <c r="G43" i="3" s="1"/>
  <c r="H43" i="3" s="1"/>
  <c r="B43" i="3"/>
  <c r="A43" i="3"/>
  <c r="F42" i="3"/>
  <c r="E42" i="3"/>
  <c r="D42" i="3"/>
  <c r="G42" i="3" s="1"/>
  <c r="H42" i="3" s="1"/>
  <c r="B42" i="3"/>
  <c r="A42" i="3"/>
  <c r="F41" i="3"/>
  <c r="E41" i="3"/>
  <c r="D41" i="3"/>
  <c r="G41" i="3" s="1"/>
  <c r="H41" i="3" s="1"/>
  <c r="B41" i="3"/>
  <c r="A41" i="3"/>
  <c r="F40" i="3"/>
  <c r="E40" i="3"/>
  <c r="D40" i="3"/>
  <c r="G40" i="3" s="1"/>
  <c r="H40" i="3" s="1"/>
  <c r="B40" i="3"/>
  <c r="A40" i="3"/>
  <c r="F39" i="3"/>
  <c r="E39" i="3"/>
  <c r="D39" i="3"/>
  <c r="G39" i="3" s="1"/>
  <c r="H39" i="3" s="1"/>
  <c r="B39" i="3"/>
  <c r="F38" i="3"/>
  <c r="E38" i="3"/>
  <c r="D38" i="3"/>
  <c r="G38" i="3" s="1"/>
  <c r="H38" i="3" s="1"/>
  <c r="B38" i="3"/>
  <c r="A38" i="3"/>
  <c r="F37" i="3"/>
  <c r="E37" i="3"/>
  <c r="D37" i="3"/>
  <c r="G37" i="3" s="1"/>
  <c r="B37" i="3"/>
  <c r="A37" i="3"/>
  <c r="F36" i="3"/>
  <c r="E36" i="3"/>
  <c r="D36" i="3"/>
  <c r="G36" i="3" s="1"/>
  <c r="H36" i="3" s="1"/>
  <c r="B36" i="3"/>
  <c r="A36" i="3"/>
  <c r="F35" i="3"/>
  <c r="E35" i="3"/>
  <c r="D35" i="3"/>
  <c r="G35" i="3" s="1"/>
  <c r="B35" i="3"/>
  <c r="A35" i="3"/>
  <c r="F34" i="3"/>
  <c r="E34" i="3"/>
  <c r="D34" i="3"/>
  <c r="G34" i="3" s="1"/>
  <c r="H34" i="3" s="1"/>
  <c r="B34" i="3"/>
  <c r="A34" i="3"/>
  <c r="F33" i="3"/>
  <c r="E33" i="3"/>
  <c r="D33" i="3"/>
  <c r="G33" i="3" s="1"/>
  <c r="H33" i="3" s="1"/>
  <c r="B33" i="3"/>
  <c r="A33" i="3"/>
  <c r="F32" i="3"/>
  <c r="E32" i="3"/>
  <c r="D32" i="3"/>
  <c r="G32" i="3" s="1"/>
  <c r="H32" i="3" s="1"/>
  <c r="B32" i="3"/>
  <c r="A32" i="3"/>
  <c r="F31" i="3"/>
  <c r="E31" i="3"/>
  <c r="D31" i="3"/>
  <c r="G31" i="3" s="1"/>
  <c r="H31" i="3" s="1"/>
  <c r="B31" i="3"/>
  <c r="A31" i="3"/>
  <c r="F30" i="3"/>
  <c r="E30" i="3"/>
  <c r="D30" i="3"/>
  <c r="G30" i="3" s="1"/>
  <c r="H30" i="3" s="1"/>
  <c r="B30" i="3"/>
  <c r="A30" i="3"/>
  <c r="F29" i="3"/>
  <c r="E29" i="3"/>
  <c r="D29" i="3"/>
  <c r="G29" i="3" s="1"/>
  <c r="B29" i="3"/>
  <c r="A29" i="3"/>
  <c r="F28" i="3"/>
  <c r="E28" i="3"/>
  <c r="D28" i="3"/>
  <c r="G28" i="3" s="1"/>
  <c r="H28" i="3" s="1"/>
  <c r="B28" i="3"/>
  <c r="A28" i="3"/>
  <c r="F27" i="3"/>
  <c r="E27" i="3"/>
  <c r="D27" i="3"/>
  <c r="G27" i="3" s="1"/>
  <c r="B27" i="3"/>
  <c r="F26" i="3"/>
  <c r="E26" i="3"/>
  <c r="D26" i="3"/>
  <c r="G26" i="3" s="1"/>
  <c r="B26" i="3"/>
  <c r="A26" i="3"/>
  <c r="F25" i="3"/>
  <c r="E25" i="3"/>
  <c r="D25" i="3"/>
  <c r="G25" i="3" s="1"/>
  <c r="H25" i="3" s="1"/>
  <c r="B25" i="3"/>
  <c r="A25" i="3"/>
  <c r="F24" i="3"/>
  <c r="E24" i="3"/>
  <c r="D24" i="3"/>
  <c r="G24" i="3" s="1"/>
  <c r="H24" i="3" s="1"/>
  <c r="B24" i="3"/>
  <c r="A24" i="3"/>
  <c r="F23" i="3"/>
  <c r="E23" i="3"/>
  <c r="D23" i="3"/>
  <c r="G23" i="3" s="1"/>
  <c r="H23" i="3" s="1"/>
  <c r="B23" i="3"/>
  <c r="A23" i="3"/>
  <c r="F22" i="3"/>
  <c r="E22" i="3"/>
  <c r="D22" i="3"/>
  <c r="G22" i="3" s="1"/>
  <c r="B22" i="3"/>
  <c r="A22" i="3"/>
  <c r="F21" i="3"/>
  <c r="E21" i="3"/>
  <c r="D21" i="3"/>
  <c r="G21" i="3" s="1"/>
  <c r="H21" i="3" s="1"/>
  <c r="B21" i="3"/>
  <c r="A21" i="3"/>
  <c r="F20" i="3"/>
  <c r="E20" i="3"/>
  <c r="D20" i="3"/>
  <c r="G20" i="3" s="1"/>
  <c r="H20" i="3" s="1"/>
  <c r="B20" i="3"/>
  <c r="A20" i="3"/>
  <c r="F19" i="3"/>
  <c r="E19" i="3"/>
  <c r="D19" i="3"/>
  <c r="G19" i="3" s="1"/>
  <c r="H19" i="3" s="1"/>
  <c r="B19" i="3"/>
  <c r="A19" i="3"/>
  <c r="F18" i="3"/>
  <c r="E18" i="3"/>
  <c r="D18" i="3"/>
  <c r="G18" i="3" s="1"/>
  <c r="B18" i="3"/>
  <c r="A18" i="3"/>
  <c r="F17" i="3"/>
  <c r="E17" i="3"/>
  <c r="D17" i="3"/>
  <c r="G17" i="3" s="1"/>
  <c r="H17" i="3" s="1"/>
  <c r="B17" i="3"/>
  <c r="A17" i="3"/>
  <c r="F16" i="3"/>
  <c r="E16" i="3"/>
  <c r="D16" i="3"/>
  <c r="G16" i="3" s="1"/>
  <c r="H16" i="3" s="1"/>
  <c r="B16" i="3"/>
  <c r="A16" i="3"/>
  <c r="F15" i="3"/>
  <c r="E15" i="3"/>
  <c r="D15" i="3"/>
  <c r="G15" i="3" s="1"/>
  <c r="H15" i="3" s="1"/>
  <c r="B15" i="3"/>
  <c r="A15" i="3"/>
  <c r="F14" i="3"/>
  <c r="E14" i="3"/>
  <c r="D14" i="3"/>
  <c r="G14" i="3" s="1"/>
  <c r="B14" i="3"/>
  <c r="A14" i="3"/>
  <c r="F13" i="3"/>
  <c r="E13" i="3"/>
  <c r="D13" i="3"/>
  <c r="G13" i="3" s="1"/>
  <c r="H13" i="3" s="1"/>
  <c r="B13" i="3"/>
  <c r="A13" i="3"/>
  <c r="F12" i="3"/>
  <c r="E12" i="3"/>
  <c r="D12" i="3"/>
  <c r="G12" i="3" s="1"/>
  <c r="B12" i="3"/>
  <c r="F11" i="3"/>
  <c r="E11" i="3"/>
  <c r="D11" i="3"/>
  <c r="G11" i="3" s="1"/>
  <c r="H11" i="3" s="1"/>
  <c r="B11" i="3"/>
  <c r="A11" i="3"/>
  <c r="F10" i="3"/>
  <c r="E10" i="3"/>
  <c r="D10" i="3"/>
  <c r="G10" i="3" s="1"/>
  <c r="H10" i="3" s="1"/>
  <c r="B10" i="3"/>
  <c r="A10" i="3"/>
  <c r="F9" i="3"/>
  <c r="E9" i="3"/>
  <c r="D9" i="3"/>
  <c r="G9" i="3" s="1"/>
  <c r="B9" i="3"/>
  <c r="A9" i="3"/>
  <c r="F8" i="3"/>
  <c r="E8" i="3"/>
  <c r="D8" i="3"/>
  <c r="G8" i="3" s="1"/>
  <c r="H8" i="3" s="1"/>
  <c r="B8" i="3"/>
  <c r="A8" i="3"/>
  <c r="F7" i="3"/>
  <c r="E7" i="3"/>
  <c r="D7" i="3"/>
  <c r="G7" i="3" s="1"/>
  <c r="H7" i="3" s="1"/>
  <c r="B7" i="3"/>
  <c r="A7" i="3"/>
  <c r="F6" i="3"/>
  <c r="E6" i="3"/>
  <c r="D6" i="3"/>
  <c r="G6" i="3" s="1"/>
  <c r="B6" i="3"/>
  <c r="A6" i="3"/>
  <c r="F5" i="3"/>
  <c r="E5" i="3"/>
  <c r="D5" i="3"/>
  <c r="G5" i="3" s="1"/>
  <c r="B5" i="3"/>
  <c r="A5" i="3"/>
  <c r="F4" i="3"/>
  <c r="E4" i="3"/>
  <c r="D4" i="3"/>
  <c r="G4" i="3" s="1"/>
  <c r="B4" i="3"/>
  <c r="A4" i="3"/>
  <c r="F3" i="3"/>
  <c r="E3" i="3"/>
  <c r="D3" i="3"/>
  <c r="G3" i="3" s="1"/>
  <c r="B3" i="3"/>
  <c r="A3" i="3"/>
  <c r="H245" i="8" l="1"/>
  <c r="I245" i="8" s="1"/>
  <c r="H249" i="8"/>
  <c r="I249" i="8" s="1"/>
  <c r="H301" i="5"/>
  <c r="I301" i="5" s="1"/>
  <c r="P6" i="3"/>
  <c r="I288" i="3"/>
  <c r="P10" i="3" s="1"/>
  <c r="I291" i="3"/>
  <c r="I293" i="3"/>
  <c r="I297" i="3"/>
  <c r="I292" i="3"/>
  <c r="I289" i="3"/>
  <c r="I150" i="7"/>
  <c r="I72" i="5"/>
  <c r="I65" i="7"/>
  <c r="I175" i="8"/>
  <c r="I140" i="7"/>
  <c r="H121" i="4"/>
  <c r="I121" i="4" s="1"/>
  <c r="S10" i="4" s="1"/>
  <c r="I66" i="5"/>
  <c r="I124" i="7"/>
  <c r="N6" i="3"/>
  <c r="I187" i="8"/>
  <c r="I64" i="5"/>
  <c r="I69" i="7"/>
  <c r="I112" i="7"/>
  <c r="I134" i="7"/>
  <c r="I148" i="7"/>
  <c r="T6" i="4"/>
  <c r="I67" i="7"/>
  <c r="T6" i="3"/>
  <c r="I44" i="4"/>
  <c r="I125" i="4"/>
  <c r="I74" i="5"/>
  <c r="H60" i="7"/>
  <c r="I60" i="7" s="1"/>
  <c r="M10" i="7" s="1"/>
  <c r="I63" i="7"/>
  <c r="I142" i="7"/>
  <c r="H9" i="3"/>
  <c r="I9" i="3" s="1"/>
  <c r="H45" i="3"/>
  <c r="I45" i="3" s="1"/>
  <c r="H12" i="3"/>
  <c r="I12" i="3" s="1"/>
  <c r="H49" i="3"/>
  <c r="I49" i="3" s="1"/>
  <c r="H148" i="3"/>
  <c r="I148" i="3" s="1"/>
  <c r="H156" i="3"/>
  <c r="I156" i="3" s="1"/>
  <c r="H29" i="3"/>
  <c r="I29" i="3" s="1"/>
  <c r="H37" i="3"/>
  <c r="I37" i="3" s="1"/>
  <c r="H25" i="4"/>
  <c r="I25" i="4" s="1"/>
  <c r="H53" i="3"/>
  <c r="I53" i="3" s="1"/>
  <c r="H144" i="3"/>
  <c r="I144" i="3" s="1"/>
  <c r="H152" i="3"/>
  <c r="I152" i="3" s="1"/>
  <c r="H160" i="3"/>
  <c r="I160" i="3" s="1"/>
  <c r="H23" i="4"/>
  <c r="I23" i="4" s="1"/>
  <c r="H27" i="3"/>
  <c r="I27" i="3" s="1"/>
  <c r="H35" i="3"/>
  <c r="I35" i="3" s="1"/>
  <c r="I17" i="3"/>
  <c r="I25" i="3"/>
  <c r="I31" i="3"/>
  <c r="H45" i="4"/>
  <c r="I45" i="4" s="1"/>
  <c r="H56" i="4"/>
  <c r="I56" i="4" s="1"/>
  <c r="H167" i="4"/>
  <c r="I167" i="4" s="1"/>
  <c r="H5" i="5"/>
  <c r="I5" i="5" s="1"/>
  <c r="I7" i="3"/>
  <c r="I15" i="3"/>
  <c r="I23" i="3"/>
  <c r="I33" i="3"/>
  <c r="I51" i="3"/>
  <c r="I146" i="3"/>
  <c r="I154" i="3"/>
  <c r="I162" i="3"/>
  <c r="I9" i="4"/>
  <c r="I19" i="4"/>
  <c r="H43" i="4"/>
  <c r="I43" i="4" s="1"/>
  <c r="I13" i="3"/>
  <c r="I21" i="3"/>
  <c r="I8" i="4"/>
  <c r="I21" i="4"/>
  <c r="I41" i="4"/>
  <c r="H75" i="4"/>
  <c r="I75" i="4" s="1"/>
  <c r="H156" i="5"/>
  <c r="I156" i="5" s="1"/>
  <c r="U6" i="5"/>
  <c r="H159" i="5"/>
  <c r="I159" i="5" s="1"/>
  <c r="I19" i="3"/>
  <c r="I47" i="3"/>
  <c r="I150" i="3"/>
  <c r="I158" i="3"/>
  <c r="U6" i="3"/>
  <c r="H37" i="4"/>
  <c r="I37" i="4" s="1"/>
  <c r="I48" i="4"/>
  <c r="H53" i="4"/>
  <c r="I53" i="4" s="1"/>
  <c r="H59" i="4"/>
  <c r="I59" i="4" s="1"/>
  <c r="H76" i="4"/>
  <c r="I76" i="4" s="1"/>
  <c r="H218" i="5"/>
  <c r="I218" i="5" s="1"/>
  <c r="I49" i="4"/>
  <c r="I60" i="4"/>
  <c r="G74" i="4"/>
  <c r="H74" i="4" s="1"/>
  <c r="I74" i="4" s="1"/>
  <c r="I62" i="5"/>
  <c r="I70" i="5"/>
  <c r="I78" i="5"/>
  <c r="I160" i="5"/>
  <c r="I166" i="5"/>
  <c r="I175" i="5"/>
  <c r="I204" i="5"/>
  <c r="H64" i="7"/>
  <c r="I64" i="7" s="1"/>
  <c r="H179" i="8"/>
  <c r="I179" i="8" s="1"/>
  <c r="H218" i="8"/>
  <c r="I218" i="8" s="1"/>
  <c r="I68" i="5"/>
  <c r="I76" i="5"/>
  <c r="I162" i="5"/>
  <c r="I171" i="5"/>
  <c r="I178" i="5"/>
  <c r="I187" i="5"/>
  <c r="H198" i="5"/>
  <c r="I198" i="5" s="1"/>
  <c r="H212" i="5"/>
  <c r="I212" i="5" s="1"/>
  <c r="I216" i="5"/>
  <c r="H10" i="7"/>
  <c r="I10" i="7" s="1"/>
  <c r="H62" i="7"/>
  <c r="I62" i="7" s="1"/>
  <c r="H128" i="7"/>
  <c r="I128" i="7" s="1"/>
  <c r="H144" i="7"/>
  <c r="I144" i="7" s="1"/>
  <c r="L6" i="8"/>
  <c r="M6" i="8"/>
  <c r="I110" i="8"/>
  <c r="I178" i="8"/>
  <c r="H182" i="8"/>
  <c r="I182" i="8" s="1"/>
  <c r="I167" i="5"/>
  <c r="I174" i="5"/>
  <c r="H68" i="7"/>
  <c r="I68" i="7" s="1"/>
  <c r="H111" i="7"/>
  <c r="I111" i="7" s="1"/>
  <c r="H126" i="7"/>
  <c r="I126" i="7" s="1"/>
  <c r="H57" i="8"/>
  <c r="I57" i="8" s="1"/>
  <c r="R6" i="8"/>
  <c r="H99" i="8"/>
  <c r="I99" i="8" s="1"/>
  <c r="I4" i="5"/>
  <c r="I155" i="5"/>
  <c r="I163" i="5"/>
  <c r="I170" i="5"/>
  <c r="H182" i="5"/>
  <c r="I182" i="5" s="1"/>
  <c r="H191" i="5"/>
  <c r="I191" i="5" s="1"/>
  <c r="I194" i="5"/>
  <c r="H200" i="5"/>
  <c r="I200" i="5" s="1"/>
  <c r="I208" i="5"/>
  <c r="H66" i="7"/>
  <c r="I66" i="7" s="1"/>
  <c r="H136" i="7"/>
  <c r="I136" i="7" s="1"/>
  <c r="H152" i="7"/>
  <c r="I152" i="7" s="1"/>
  <c r="H176" i="8"/>
  <c r="I176" i="8" s="1"/>
  <c r="I291" i="5"/>
  <c r="I114" i="7"/>
  <c r="I122" i="7"/>
  <c r="I7" i="8"/>
  <c r="I183" i="5"/>
  <c r="I190" i="5"/>
  <c r="I295" i="5"/>
  <c r="I127" i="7"/>
  <c r="I138" i="7"/>
  <c r="I146" i="7"/>
  <c r="H165" i="8"/>
  <c r="I165" i="8" s="1"/>
  <c r="I180" i="8"/>
  <c r="I185" i="8"/>
  <c r="I209" i="8"/>
  <c r="I179" i="5"/>
  <c r="I186" i="5"/>
  <c r="I195" i="5"/>
  <c r="I214" i="5"/>
  <c r="I7" i="7"/>
  <c r="I118" i="7"/>
  <c r="I123" i="7"/>
  <c r="I130" i="7"/>
  <c r="H86" i="3"/>
  <c r="I86" i="3" s="1"/>
  <c r="H94" i="3"/>
  <c r="I94" i="3" s="1"/>
  <c r="H98" i="3"/>
  <c r="I98" i="3" s="1"/>
  <c r="H110" i="3"/>
  <c r="I110" i="3" s="1"/>
  <c r="H168" i="3"/>
  <c r="I168" i="3" s="1"/>
  <c r="H172" i="3"/>
  <c r="I172" i="3" s="1"/>
  <c r="H202" i="3"/>
  <c r="I202" i="3" s="1"/>
  <c r="H220" i="3"/>
  <c r="I220" i="3" s="1"/>
  <c r="H246" i="3"/>
  <c r="I246" i="3" s="1"/>
  <c r="H89" i="5"/>
  <c r="I89" i="5" s="1"/>
  <c r="Q6" i="5"/>
  <c r="H93" i="5"/>
  <c r="I93" i="5" s="1"/>
  <c r="H97" i="5"/>
  <c r="I97" i="5" s="1"/>
  <c r="H103" i="5"/>
  <c r="I103" i="5" s="1"/>
  <c r="H109" i="5"/>
  <c r="I109" i="5" s="1"/>
  <c r="H111" i="5"/>
  <c r="I111" i="5" s="1"/>
  <c r="H117" i="5"/>
  <c r="I117" i="5" s="1"/>
  <c r="H119" i="5"/>
  <c r="I119" i="5" s="1"/>
  <c r="I8" i="3"/>
  <c r="H14" i="3"/>
  <c r="I14" i="3" s="1"/>
  <c r="H18" i="3"/>
  <c r="I18" i="3" s="1"/>
  <c r="H22" i="3"/>
  <c r="I22" i="3" s="1"/>
  <c r="H26" i="3"/>
  <c r="I26" i="3" s="1"/>
  <c r="I30" i="3"/>
  <c r="I34" i="3"/>
  <c r="I38" i="3"/>
  <c r="I40" i="3"/>
  <c r="I42" i="3"/>
  <c r="I44" i="3"/>
  <c r="I46" i="3"/>
  <c r="I50" i="3"/>
  <c r="I54" i="3"/>
  <c r="I56" i="3"/>
  <c r="I58" i="3"/>
  <c r="I60" i="3"/>
  <c r="I62" i="3"/>
  <c r="I64" i="3"/>
  <c r="I66" i="3"/>
  <c r="I68" i="3"/>
  <c r="I70" i="3"/>
  <c r="I72" i="3"/>
  <c r="H75" i="3"/>
  <c r="I75" i="3" s="1"/>
  <c r="H79" i="3"/>
  <c r="I79" i="3" s="1"/>
  <c r="H83" i="3"/>
  <c r="I83" i="3" s="1"/>
  <c r="H87" i="3"/>
  <c r="I87" i="3" s="1"/>
  <c r="H91" i="3"/>
  <c r="I91" i="3" s="1"/>
  <c r="H95" i="3"/>
  <c r="I95" i="3" s="1"/>
  <c r="H99" i="3"/>
  <c r="I99" i="3" s="1"/>
  <c r="H103" i="3"/>
  <c r="I103" i="3" s="1"/>
  <c r="H107" i="3"/>
  <c r="I107" i="3" s="1"/>
  <c r="H111" i="3"/>
  <c r="I111" i="3" s="1"/>
  <c r="H115" i="3"/>
  <c r="I115" i="3" s="1"/>
  <c r="H123" i="3"/>
  <c r="I123" i="3" s="1"/>
  <c r="H127" i="3"/>
  <c r="I127" i="3" s="1"/>
  <c r="H215" i="3"/>
  <c r="I215" i="3" s="1"/>
  <c r="H219" i="3"/>
  <c r="I219" i="3" s="1"/>
  <c r="S6" i="3"/>
  <c r="H259" i="3"/>
  <c r="I259" i="3" s="1"/>
  <c r="H278" i="3"/>
  <c r="I278" i="3" s="1"/>
  <c r="X6" i="3"/>
  <c r="I280" i="3"/>
  <c r="I282" i="3"/>
  <c r="I284" i="3"/>
  <c r="I286" i="3"/>
  <c r="H298" i="3"/>
  <c r="I298" i="3" s="1"/>
  <c r="H4" i="4"/>
  <c r="I4" i="4" s="1"/>
  <c r="H6" i="4"/>
  <c r="I6" i="4" s="1"/>
  <c r="H22" i="4"/>
  <c r="I22" i="4" s="1"/>
  <c r="H33" i="4"/>
  <c r="I33" i="4" s="1"/>
  <c r="I39" i="4"/>
  <c r="I55" i="4"/>
  <c r="H63" i="4"/>
  <c r="I63" i="4" s="1"/>
  <c r="I70" i="4"/>
  <c r="H73" i="4"/>
  <c r="I73" i="4" s="1"/>
  <c r="I82" i="4"/>
  <c r="H85" i="4"/>
  <c r="I85" i="4" s="1"/>
  <c r="H91" i="4"/>
  <c r="I91" i="4" s="1"/>
  <c r="H155" i="4"/>
  <c r="I155" i="4" s="1"/>
  <c r="H159" i="4"/>
  <c r="I159" i="4" s="1"/>
  <c r="H163" i="4"/>
  <c r="I163" i="4" s="1"/>
  <c r="I173" i="4"/>
  <c r="H173" i="4"/>
  <c r="H181" i="4"/>
  <c r="I181" i="4" s="1"/>
  <c r="H82" i="3"/>
  <c r="I82" i="3" s="1"/>
  <c r="H90" i="3"/>
  <c r="I90" i="3" s="1"/>
  <c r="H102" i="3"/>
  <c r="I102" i="3" s="1"/>
  <c r="H106" i="3"/>
  <c r="I106" i="3" s="1"/>
  <c r="H114" i="3"/>
  <c r="I114" i="3" s="1"/>
  <c r="H170" i="3"/>
  <c r="I170" i="3" s="1"/>
  <c r="H174" i="3"/>
  <c r="I174" i="3" s="1"/>
  <c r="H176" i="3"/>
  <c r="I176" i="3" s="1"/>
  <c r="H192" i="3"/>
  <c r="I192" i="3" s="1"/>
  <c r="H194" i="3"/>
  <c r="I194" i="3" s="1"/>
  <c r="H196" i="3"/>
  <c r="I196" i="3" s="1"/>
  <c r="H204" i="3"/>
  <c r="I204" i="3" s="1"/>
  <c r="H208" i="3"/>
  <c r="I208" i="3" s="1"/>
  <c r="H210" i="3"/>
  <c r="I210" i="3" s="1"/>
  <c r="H212" i="3"/>
  <c r="I212" i="3" s="1"/>
  <c r="H222" i="3"/>
  <c r="I222" i="3" s="1"/>
  <c r="H224" i="3"/>
  <c r="I224" i="3" s="1"/>
  <c r="H226" i="3"/>
  <c r="I226" i="3" s="1"/>
  <c r="H234" i="3"/>
  <c r="I234" i="3" s="1"/>
  <c r="H236" i="3"/>
  <c r="I236" i="3" s="1"/>
  <c r="H238" i="3"/>
  <c r="I238" i="3" s="1"/>
  <c r="H248" i="3"/>
  <c r="I248" i="3" s="1"/>
  <c r="H250" i="3"/>
  <c r="I250" i="3" s="1"/>
  <c r="H256" i="3"/>
  <c r="I256" i="3" s="1"/>
  <c r="H276" i="3"/>
  <c r="I276" i="3" s="1"/>
  <c r="H79" i="4"/>
  <c r="I79" i="4" s="1"/>
  <c r="H129" i="5"/>
  <c r="I129" i="5" s="1"/>
  <c r="H131" i="5"/>
  <c r="I131" i="5" s="1"/>
  <c r="H133" i="5"/>
  <c r="I133" i="5" s="1"/>
  <c r="H76" i="3"/>
  <c r="I76" i="3" s="1"/>
  <c r="H84" i="3"/>
  <c r="I84" i="3" s="1"/>
  <c r="H92" i="3"/>
  <c r="I92" i="3" s="1"/>
  <c r="H96" i="3"/>
  <c r="I96" i="3" s="1"/>
  <c r="H100" i="3"/>
  <c r="I100" i="3" s="1"/>
  <c r="H104" i="3"/>
  <c r="I104" i="3" s="1"/>
  <c r="H108" i="3"/>
  <c r="I108" i="3" s="1"/>
  <c r="H112" i="3"/>
  <c r="I112" i="3" s="1"/>
  <c r="H116" i="3"/>
  <c r="I116" i="3" s="1"/>
  <c r="I119" i="3"/>
  <c r="I121" i="3"/>
  <c r="H124" i="3"/>
  <c r="I124" i="3" s="1"/>
  <c r="H128" i="3"/>
  <c r="I128" i="3" s="1"/>
  <c r="H130" i="3"/>
  <c r="I130" i="3" s="1"/>
  <c r="I132" i="3"/>
  <c r="I134" i="3"/>
  <c r="I136" i="3"/>
  <c r="I138" i="3"/>
  <c r="I140" i="3"/>
  <c r="I142" i="3"/>
  <c r="H163" i="3"/>
  <c r="I163" i="3" s="1"/>
  <c r="H165" i="3"/>
  <c r="I165" i="3" s="1"/>
  <c r="H167" i="3"/>
  <c r="I167" i="3" s="1"/>
  <c r="H169" i="3"/>
  <c r="I169" i="3" s="1"/>
  <c r="H171" i="3"/>
  <c r="I171" i="3" s="1"/>
  <c r="H173" i="3"/>
  <c r="I173" i="3" s="1"/>
  <c r="H175" i="3"/>
  <c r="I175" i="3" s="1"/>
  <c r="H177" i="3"/>
  <c r="I177" i="3" s="1"/>
  <c r="H179" i="3"/>
  <c r="I179" i="3" s="1"/>
  <c r="H181" i="3"/>
  <c r="I181" i="3" s="1"/>
  <c r="H183" i="3"/>
  <c r="I183" i="3" s="1"/>
  <c r="H185" i="3"/>
  <c r="I185" i="3" s="1"/>
  <c r="H187" i="3"/>
  <c r="I187" i="3" s="1"/>
  <c r="H189" i="3"/>
  <c r="I189" i="3" s="1"/>
  <c r="H191" i="3"/>
  <c r="I191" i="3" s="1"/>
  <c r="H193" i="3"/>
  <c r="I193" i="3" s="1"/>
  <c r="H195" i="3"/>
  <c r="I195" i="3" s="1"/>
  <c r="H197" i="3"/>
  <c r="I197" i="3" s="1"/>
  <c r="H199" i="3"/>
  <c r="I199" i="3" s="1"/>
  <c r="H201" i="3"/>
  <c r="I201" i="3" s="1"/>
  <c r="H203" i="3"/>
  <c r="I203" i="3" s="1"/>
  <c r="H205" i="3"/>
  <c r="I205" i="3" s="1"/>
  <c r="H207" i="3"/>
  <c r="I207" i="3" s="1"/>
  <c r="H209" i="3"/>
  <c r="I209" i="3" s="1"/>
  <c r="H211" i="3"/>
  <c r="I211" i="3" s="1"/>
  <c r="I213" i="3"/>
  <c r="H216" i="3"/>
  <c r="I216" i="3" s="1"/>
  <c r="H221" i="3"/>
  <c r="I221" i="3" s="1"/>
  <c r="H223" i="3"/>
  <c r="I223" i="3" s="1"/>
  <c r="H225" i="3"/>
  <c r="I225" i="3" s="1"/>
  <c r="H227" i="3"/>
  <c r="I227" i="3" s="1"/>
  <c r="H229" i="3"/>
  <c r="I229" i="3" s="1"/>
  <c r="H231" i="3"/>
  <c r="I231" i="3" s="1"/>
  <c r="H233" i="3"/>
  <c r="I233" i="3" s="1"/>
  <c r="H235" i="3"/>
  <c r="I235" i="3" s="1"/>
  <c r="H237" i="3"/>
  <c r="I237" i="3" s="1"/>
  <c r="H239" i="3"/>
  <c r="I239" i="3" s="1"/>
  <c r="H241" i="3"/>
  <c r="I241" i="3" s="1"/>
  <c r="H243" i="3"/>
  <c r="I243" i="3" s="1"/>
  <c r="H245" i="3"/>
  <c r="I245" i="3" s="1"/>
  <c r="H247" i="3"/>
  <c r="I247" i="3" s="1"/>
  <c r="H249" i="3"/>
  <c r="I249" i="3" s="1"/>
  <c r="H251" i="3"/>
  <c r="I251" i="3" s="1"/>
  <c r="H253" i="3"/>
  <c r="I253" i="3" s="1"/>
  <c r="H255" i="3"/>
  <c r="I255" i="3" s="1"/>
  <c r="I257" i="3"/>
  <c r="H260" i="3"/>
  <c r="I260" i="3" s="1"/>
  <c r="H262" i="3"/>
  <c r="I262" i="3" s="1"/>
  <c r="H264" i="3"/>
  <c r="I264" i="3" s="1"/>
  <c r="I266" i="3"/>
  <c r="I268" i="3"/>
  <c r="I270" i="3"/>
  <c r="I272" i="3"/>
  <c r="H294" i="3"/>
  <c r="I294" i="3" s="1"/>
  <c r="M6" i="4"/>
  <c r="I11" i="4"/>
  <c r="I13" i="4"/>
  <c r="I15" i="4"/>
  <c r="I17" i="4"/>
  <c r="I30" i="4"/>
  <c r="H34" i="4"/>
  <c r="I34" i="4" s="1"/>
  <c r="I35" i="4"/>
  <c r="I40" i="4"/>
  <c r="I51" i="4"/>
  <c r="I66" i="4"/>
  <c r="H69" i="4"/>
  <c r="I69" i="4" s="1"/>
  <c r="I78" i="4"/>
  <c r="H81" i="4"/>
  <c r="I81" i="4" s="1"/>
  <c r="H87" i="4"/>
  <c r="I87" i="4" s="1"/>
  <c r="I94" i="4"/>
  <c r="H142" i="4"/>
  <c r="I142" i="4" s="1"/>
  <c r="H145" i="4"/>
  <c r="I145" i="4" s="1"/>
  <c r="I11" i="3"/>
  <c r="I16" i="3"/>
  <c r="I20" i="3"/>
  <c r="I24" i="3"/>
  <c r="H74" i="3"/>
  <c r="I74" i="3" s="1"/>
  <c r="H78" i="3"/>
  <c r="I78" i="3" s="1"/>
  <c r="H126" i="3"/>
  <c r="I126" i="3" s="1"/>
  <c r="H166" i="3"/>
  <c r="I166" i="3" s="1"/>
  <c r="H178" i="3"/>
  <c r="I178" i="3" s="1"/>
  <c r="H180" i="3"/>
  <c r="I180" i="3" s="1"/>
  <c r="H182" i="3"/>
  <c r="I182" i="3" s="1"/>
  <c r="H184" i="3"/>
  <c r="I184" i="3" s="1"/>
  <c r="H186" i="3"/>
  <c r="I186" i="3" s="1"/>
  <c r="H188" i="3"/>
  <c r="I188" i="3" s="1"/>
  <c r="H190" i="3"/>
  <c r="I190" i="3" s="1"/>
  <c r="H198" i="3"/>
  <c r="I198" i="3" s="1"/>
  <c r="H200" i="3"/>
  <c r="I200" i="3" s="1"/>
  <c r="H206" i="3"/>
  <c r="I206" i="3" s="1"/>
  <c r="H218" i="3"/>
  <c r="I218" i="3" s="1"/>
  <c r="H228" i="3"/>
  <c r="I228" i="3" s="1"/>
  <c r="H230" i="3"/>
  <c r="I230" i="3" s="1"/>
  <c r="H232" i="3"/>
  <c r="I232" i="3" s="1"/>
  <c r="H240" i="3"/>
  <c r="I240" i="3" s="1"/>
  <c r="H242" i="3"/>
  <c r="I242" i="3" s="1"/>
  <c r="H244" i="3"/>
  <c r="I244" i="3" s="1"/>
  <c r="H252" i="3"/>
  <c r="I252" i="3" s="1"/>
  <c r="H254" i="3"/>
  <c r="I254" i="3" s="1"/>
  <c r="H263" i="3"/>
  <c r="I263" i="3" s="1"/>
  <c r="H32" i="4"/>
  <c r="I32" i="4" s="1"/>
  <c r="H67" i="4"/>
  <c r="I67" i="4" s="1"/>
  <c r="R6" i="4"/>
  <c r="H89" i="4"/>
  <c r="I89" i="4" s="1"/>
  <c r="H81" i="5"/>
  <c r="I81" i="5" s="1"/>
  <c r="O6" i="5"/>
  <c r="H83" i="5"/>
  <c r="I83" i="5" s="1"/>
  <c r="H85" i="5"/>
  <c r="I85" i="5" s="1"/>
  <c r="H87" i="5"/>
  <c r="I87" i="5" s="1"/>
  <c r="H91" i="5"/>
  <c r="I91" i="5" s="1"/>
  <c r="H95" i="5"/>
  <c r="I95" i="5" s="1"/>
  <c r="H99" i="5"/>
  <c r="I99" i="5" s="1"/>
  <c r="H101" i="5"/>
  <c r="I101" i="5" s="1"/>
  <c r="H105" i="5"/>
  <c r="I105" i="5" s="1"/>
  <c r="H107" i="5"/>
  <c r="I107" i="5" s="1"/>
  <c r="H113" i="5"/>
  <c r="I113" i="5" s="1"/>
  <c r="H115" i="5"/>
  <c r="I115" i="5" s="1"/>
  <c r="H121" i="5"/>
  <c r="I121" i="5" s="1"/>
  <c r="H123" i="5"/>
  <c r="I123" i="5" s="1"/>
  <c r="H125" i="5"/>
  <c r="I125" i="5" s="1"/>
  <c r="H127" i="5"/>
  <c r="I127" i="5" s="1"/>
  <c r="H6" i="3"/>
  <c r="I6" i="3" s="1"/>
  <c r="G306" i="3"/>
  <c r="C15" i="9" s="1"/>
  <c r="H5" i="3"/>
  <c r="I5" i="3" s="1"/>
  <c r="L6" i="3"/>
  <c r="Q6" i="3"/>
  <c r="H80" i="3"/>
  <c r="I80" i="3" s="1"/>
  <c r="H88" i="3"/>
  <c r="I88" i="3" s="1"/>
  <c r="H3" i="3"/>
  <c r="I3" i="3" s="1"/>
  <c r="H4" i="3"/>
  <c r="I4" i="3" s="1"/>
  <c r="M6" i="3"/>
  <c r="R6" i="3"/>
  <c r="I10" i="3"/>
  <c r="I28" i="3"/>
  <c r="I32" i="3"/>
  <c r="I36" i="3"/>
  <c r="I39" i="3"/>
  <c r="I41" i="3"/>
  <c r="I43" i="3"/>
  <c r="I48" i="3"/>
  <c r="I52" i="3"/>
  <c r="I55" i="3"/>
  <c r="I57" i="3"/>
  <c r="I59" i="3"/>
  <c r="I61" i="3"/>
  <c r="I63" i="3"/>
  <c r="I65" i="3"/>
  <c r="I67" i="3"/>
  <c r="I69" i="3"/>
  <c r="I71" i="3"/>
  <c r="H73" i="3"/>
  <c r="I73" i="3" s="1"/>
  <c r="H77" i="3"/>
  <c r="I77" i="3" s="1"/>
  <c r="H81" i="3"/>
  <c r="I81" i="3" s="1"/>
  <c r="H85" i="3"/>
  <c r="I85" i="3" s="1"/>
  <c r="H89" i="3"/>
  <c r="I89" i="3" s="1"/>
  <c r="H93" i="3"/>
  <c r="I93" i="3" s="1"/>
  <c r="H97" i="3"/>
  <c r="I97" i="3" s="1"/>
  <c r="H101" i="3"/>
  <c r="I101" i="3" s="1"/>
  <c r="H105" i="3"/>
  <c r="I105" i="3" s="1"/>
  <c r="H109" i="3"/>
  <c r="I109" i="3" s="1"/>
  <c r="H113" i="3"/>
  <c r="I113" i="3" s="1"/>
  <c r="H118" i="3"/>
  <c r="I118" i="3" s="1"/>
  <c r="H120" i="3"/>
  <c r="I120" i="3" s="1"/>
  <c r="H125" i="3"/>
  <c r="I125" i="3" s="1"/>
  <c r="O6" i="3"/>
  <c r="H129" i="3"/>
  <c r="I129" i="3" s="1"/>
  <c r="H131" i="3"/>
  <c r="I131" i="3" s="1"/>
  <c r="H133" i="3"/>
  <c r="I133" i="3" s="1"/>
  <c r="H135" i="3"/>
  <c r="I135" i="3" s="1"/>
  <c r="H137" i="3"/>
  <c r="I137" i="3" s="1"/>
  <c r="H139" i="3"/>
  <c r="I139" i="3" s="1"/>
  <c r="H141" i="3"/>
  <c r="I141" i="3" s="1"/>
  <c r="H164" i="3"/>
  <c r="I164" i="3" s="1"/>
  <c r="H217" i="3"/>
  <c r="I217" i="3" s="1"/>
  <c r="H261" i="3"/>
  <c r="I261" i="3" s="1"/>
  <c r="H265" i="3"/>
  <c r="I265" i="3" s="1"/>
  <c r="H267" i="3"/>
  <c r="I267" i="3" s="1"/>
  <c r="H269" i="3"/>
  <c r="I269" i="3" s="1"/>
  <c r="H271" i="3"/>
  <c r="I271" i="3" s="1"/>
  <c r="H273" i="3"/>
  <c r="I273" i="3" s="1"/>
  <c r="H275" i="3"/>
  <c r="I275" i="3" s="1"/>
  <c r="H277" i="3"/>
  <c r="I277" i="3" s="1"/>
  <c r="W10" i="3" s="1"/>
  <c r="I279" i="3"/>
  <c r="I281" i="3"/>
  <c r="I283" i="3"/>
  <c r="I285" i="3"/>
  <c r="I287" i="3"/>
  <c r="H290" i="3"/>
  <c r="I290" i="3" s="1"/>
  <c r="G182" i="4"/>
  <c r="C16" i="9" s="1"/>
  <c r="L6" i="4"/>
  <c r="H3" i="4"/>
  <c r="I3" i="4" s="1"/>
  <c r="H5" i="4"/>
  <c r="I5" i="4" s="1"/>
  <c r="H12" i="4"/>
  <c r="I12" i="4" s="1"/>
  <c r="H14" i="4"/>
  <c r="I14" i="4" s="1"/>
  <c r="H16" i="4"/>
  <c r="I16" i="4" s="1"/>
  <c r="H18" i="4"/>
  <c r="I18" i="4" s="1"/>
  <c r="H26" i="4"/>
  <c r="I26" i="4" s="1"/>
  <c r="H28" i="4"/>
  <c r="I28" i="4" s="1"/>
  <c r="H29" i="4"/>
  <c r="I29" i="4" s="1"/>
  <c r="H31" i="4"/>
  <c r="I31" i="4" s="1"/>
  <c r="I36" i="4"/>
  <c r="I47" i="4"/>
  <c r="I52" i="4"/>
  <c r="H62" i="4"/>
  <c r="I62" i="4" s="1"/>
  <c r="H65" i="4"/>
  <c r="I65" i="4" s="1"/>
  <c r="H71" i="4"/>
  <c r="I71" i="4" s="1"/>
  <c r="Q6" i="4"/>
  <c r="H77" i="4"/>
  <c r="I77" i="4" s="1"/>
  <c r="H83" i="4"/>
  <c r="I83" i="4" s="1"/>
  <c r="H86" i="4"/>
  <c r="I86" i="4" s="1"/>
  <c r="I90" i="4"/>
  <c r="H93" i="4"/>
  <c r="I93" i="4" s="1"/>
  <c r="H134" i="4"/>
  <c r="I134" i="4" s="1"/>
  <c r="W6" i="4"/>
  <c r="H137" i="4"/>
  <c r="I137" i="4" s="1"/>
  <c r="H38" i="4"/>
  <c r="I38" i="4" s="1"/>
  <c r="H42" i="4"/>
  <c r="I42" i="4" s="1"/>
  <c r="H46" i="4"/>
  <c r="I46" i="4" s="1"/>
  <c r="H50" i="4"/>
  <c r="I50" i="4" s="1"/>
  <c r="H54" i="4"/>
  <c r="I54" i="4" s="1"/>
  <c r="H58" i="4"/>
  <c r="I58" i="4" s="1"/>
  <c r="I96" i="4"/>
  <c r="I98" i="4"/>
  <c r="I100" i="4"/>
  <c r="I102" i="4"/>
  <c r="I104" i="4"/>
  <c r="I106" i="4"/>
  <c r="I108" i="4"/>
  <c r="I110" i="4"/>
  <c r="I112" i="4"/>
  <c r="I114" i="4"/>
  <c r="I116" i="4"/>
  <c r="I118" i="4"/>
  <c r="I120" i="4"/>
  <c r="I122" i="4"/>
  <c r="I124" i="4"/>
  <c r="H135" i="4"/>
  <c r="I135" i="4" s="1"/>
  <c r="H136" i="4"/>
  <c r="I136" i="4" s="1"/>
  <c r="H143" i="4"/>
  <c r="I143" i="4" s="1"/>
  <c r="H144" i="4"/>
  <c r="I144" i="4" s="1"/>
  <c r="H7" i="5"/>
  <c r="I7" i="5" s="1"/>
  <c r="L6" i="5"/>
  <c r="H9" i="5"/>
  <c r="I9" i="5" s="1"/>
  <c r="H13" i="5"/>
  <c r="I13" i="5" s="1"/>
  <c r="H17" i="5"/>
  <c r="I17" i="5" s="1"/>
  <c r="H21" i="5"/>
  <c r="I21" i="5" s="1"/>
  <c r="H25" i="5"/>
  <c r="I25" i="5" s="1"/>
  <c r="H29" i="5"/>
  <c r="I29" i="5" s="1"/>
  <c r="H33" i="5"/>
  <c r="I33" i="5" s="1"/>
  <c r="H37" i="5"/>
  <c r="I37" i="5" s="1"/>
  <c r="H41" i="5"/>
  <c r="I41" i="5" s="1"/>
  <c r="N6" i="5"/>
  <c r="H45" i="5"/>
  <c r="I45" i="5" s="1"/>
  <c r="H49" i="5"/>
  <c r="I49" i="5" s="1"/>
  <c r="H53" i="5"/>
  <c r="I53" i="5" s="1"/>
  <c r="H57" i="5"/>
  <c r="I57" i="5" s="1"/>
  <c r="H61" i="5"/>
  <c r="I61" i="5" s="1"/>
  <c r="H57" i="4"/>
  <c r="I57" i="4" s="1"/>
  <c r="I61" i="4"/>
  <c r="H64" i="4"/>
  <c r="I64" i="4" s="1"/>
  <c r="H68" i="4"/>
  <c r="I68" i="4" s="1"/>
  <c r="H72" i="4"/>
  <c r="I72" i="4" s="1"/>
  <c r="H80" i="4"/>
  <c r="I80" i="4" s="1"/>
  <c r="H84" i="4"/>
  <c r="I84" i="4" s="1"/>
  <c r="H88" i="4"/>
  <c r="I88" i="4" s="1"/>
  <c r="H92" i="4"/>
  <c r="I92" i="4" s="1"/>
  <c r="H127" i="4"/>
  <c r="I127" i="4" s="1"/>
  <c r="H129" i="4"/>
  <c r="I129" i="4" s="1"/>
  <c r="H131" i="4"/>
  <c r="I131" i="4" s="1"/>
  <c r="I133" i="4"/>
  <c r="H138" i="4"/>
  <c r="I138" i="4" s="1"/>
  <c r="I141" i="4"/>
  <c r="H146" i="4"/>
  <c r="I146" i="4" s="1"/>
  <c r="H147" i="4"/>
  <c r="I147" i="4" s="1"/>
  <c r="H149" i="4"/>
  <c r="I149" i="4" s="1"/>
  <c r="H151" i="4"/>
  <c r="I151" i="4" s="1"/>
  <c r="H153" i="4"/>
  <c r="I153" i="4" s="1"/>
  <c r="H157" i="4"/>
  <c r="I157" i="4" s="1"/>
  <c r="H161" i="4"/>
  <c r="I161" i="4" s="1"/>
  <c r="H165" i="4"/>
  <c r="I165" i="4" s="1"/>
  <c r="R6" i="5"/>
  <c r="H137" i="5"/>
  <c r="I137" i="5" s="1"/>
  <c r="H139" i="5"/>
  <c r="I139" i="5" s="1"/>
  <c r="H141" i="5"/>
  <c r="I141" i="5" s="1"/>
  <c r="H143" i="5"/>
  <c r="I143" i="5" s="1"/>
  <c r="T6" i="5"/>
  <c r="H145" i="5"/>
  <c r="I145" i="5" s="1"/>
  <c r="H147" i="5"/>
  <c r="I147" i="5" s="1"/>
  <c r="H149" i="5"/>
  <c r="I149" i="5" s="1"/>
  <c r="I20" i="4"/>
  <c r="I24" i="4"/>
  <c r="H27" i="4"/>
  <c r="I27" i="4" s="1"/>
  <c r="I95" i="4"/>
  <c r="I97" i="4"/>
  <c r="I99" i="4"/>
  <c r="I101" i="4"/>
  <c r="I103" i="4"/>
  <c r="I105" i="4"/>
  <c r="I107" i="4"/>
  <c r="I109" i="4"/>
  <c r="I111" i="4"/>
  <c r="I113" i="4"/>
  <c r="I115" i="4"/>
  <c r="I117" i="4"/>
  <c r="I119" i="4"/>
  <c r="I123" i="4"/>
  <c r="H139" i="4"/>
  <c r="I139" i="4" s="1"/>
  <c r="H140" i="4"/>
  <c r="I140" i="4" s="1"/>
  <c r="H11" i="5"/>
  <c r="I11" i="5" s="1"/>
  <c r="H15" i="5"/>
  <c r="I15" i="5" s="1"/>
  <c r="H19" i="5"/>
  <c r="I19" i="5" s="1"/>
  <c r="H23" i="5"/>
  <c r="I23" i="5" s="1"/>
  <c r="H27" i="5"/>
  <c r="I27" i="5" s="1"/>
  <c r="H31" i="5"/>
  <c r="I31" i="5" s="1"/>
  <c r="H35" i="5"/>
  <c r="I35" i="5" s="1"/>
  <c r="H39" i="5"/>
  <c r="I39" i="5" s="1"/>
  <c r="H43" i="5"/>
  <c r="I43" i="5" s="1"/>
  <c r="H47" i="5"/>
  <c r="I47" i="5" s="1"/>
  <c r="H51" i="5"/>
  <c r="I51" i="5" s="1"/>
  <c r="H55" i="5"/>
  <c r="I55" i="5" s="1"/>
  <c r="H59" i="5"/>
  <c r="I59" i="5" s="1"/>
  <c r="H28" i="7"/>
  <c r="I28" i="7" s="1"/>
  <c r="H29" i="7"/>
  <c r="I29" i="7" s="1"/>
  <c r="H81" i="7"/>
  <c r="I81" i="7" s="1"/>
  <c r="H86" i="7"/>
  <c r="I86" i="7" s="1"/>
  <c r="H88" i="7"/>
  <c r="I88" i="7" s="1"/>
  <c r="P6" i="7"/>
  <c r="H90" i="7"/>
  <c r="I90" i="7" s="1"/>
  <c r="H92" i="7"/>
  <c r="I92" i="7" s="1"/>
  <c r="H94" i="7"/>
  <c r="I94" i="7" s="1"/>
  <c r="H96" i="7"/>
  <c r="I96" i="7" s="1"/>
  <c r="H98" i="7"/>
  <c r="I98" i="7" s="1"/>
  <c r="R6" i="7"/>
  <c r="H100" i="7"/>
  <c r="I100" i="7" s="1"/>
  <c r="H102" i="7"/>
  <c r="I102" i="7" s="1"/>
  <c r="X6" i="7"/>
  <c r="H104" i="7"/>
  <c r="I104" i="7" s="1"/>
  <c r="H106" i="7"/>
  <c r="I106" i="7" s="1"/>
  <c r="H108" i="7"/>
  <c r="I108" i="7" s="1"/>
  <c r="H110" i="7"/>
  <c r="I110" i="7" s="1"/>
  <c r="H116" i="7"/>
  <c r="I116" i="7" s="1"/>
  <c r="H226" i="5"/>
  <c r="I226" i="5" s="1"/>
  <c r="H230" i="5"/>
  <c r="I230" i="5" s="1"/>
  <c r="H307" i="5"/>
  <c r="I307" i="5" s="1"/>
  <c r="H26" i="7"/>
  <c r="I26" i="7" s="1"/>
  <c r="H58" i="7"/>
  <c r="I58" i="7" s="1"/>
  <c r="H153" i="5"/>
  <c r="I153" i="5" s="1"/>
  <c r="W6" i="5"/>
  <c r="I164" i="5"/>
  <c r="I168" i="5"/>
  <c r="I172" i="5"/>
  <c r="I176" i="5"/>
  <c r="I180" i="5"/>
  <c r="I184" i="5"/>
  <c r="I188" i="5"/>
  <c r="I192" i="5"/>
  <c r="I196" i="5"/>
  <c r="H296" i="5"/>
  <c r="I296" i="5" s="1"/>
  <c r="X6" i="5"/>
  <c r="H12" i="7"/>
  <c r="I12" i="7" s="1"/>
  <c r="L6" i="7"/>
  <c r="H13" i="7"/>
  <c r="I13" i="7" s="1"/>
  <c r="H44" i="7"/>
  <c r="I44" i="7" s="1"/>
  <c r="H45" i="7"/>
  <c r="I45" i="7" s="1"/>
  <c r="H126" i="4"/>
  <c r="I126" i="4" s="1"/>
  <c r="H128" i="4"/>
  <c r="I128" i="4" s="1"/>
  <c r="H130" i="4"/>
  <c r="I130" i="4" s="1"/>
  <c r="H132" i="4"/>
  <c r="I132" i="4" s="1"/>
  <c r="H148" i="4"/>
  <c r="I148" i="4" s="1"/>
  <c r="H150" i="4"/>
  <c r="I150" i="4" s="1"/>
  <c r="H152" i="4"/>
  <c r="I152" i="4" s="1"/>
  <c r="I154" i="4"/>
  <c r="I156" i="4"/>
  <c r="I158" i="4"/>
  <c r="I160" i="4"/>
  <c r="I162" i="4"/>
  <c r="I164" i="4"/>
  <c r="H169" i="4"/>
  <c r="I169" i="4" s="1"/>
  <c r="H177" i="4"/>
  <c r="I177" i="4" s="1"/>
  <c r="H8" i="5"/>
  <c r="I8" i="5" s="1"/>
  <c r="H10" i="5"/>
  <c r="I10" i="5" s="1"/>
  <c r="M6" i="5"/>
  <c r="I12" i="5"/>
  <c r="I14" i="5"/>
  <c r="I16" i="5"/>
  <c r="I18" i="5"/>
  <c r="I20" i="5"/>
  <c r="I22" i="5"/>
  <c r="I24" i="5"/>
  <c r="I26" i="5"/>
  <c r="I28" i="5"/>
  <c r="I30" i="5"/>
  <c r="I32" i="5"/>
  <c r="I34" i="5"/>
  <c r="I36" i="5"/>
  <c r="I38" i="5"/>
  <c r="I40" i="5"/>
  <c r="I42" i="5"/>
  <c r="I44" i="5"/>
  <c r="I46" i="5"/>
  <c r="I48" i="5"/>
  <c r="I50" i="5"/>
  <c r="I52" i="5"/>
  <c r="I54" i="5"/>
  <c r="I56" i="5"/>
  <c r="I58" i="5"/>
  <c r="I60" i="5"/>
  <c r="I63" i="5"/>
  <c r="I65" i="5"/>
  <c r="I67" i="5"/>
  <c r="I69" i="5"/>
  <c r="I71" i="5"/>
  <c r="I73" i="5"/>
  <c r="I75" i="5"/>
  <c r="I77" i="5"/>
  <c r="H80" i="5"/>
  <c r="I80" i="5" s="1"/>
  <c r="H82" i="5"/>
  <c r="I82" i="5" s="1"/>
  <c r="H84" i="5"/>
  <c r="I84" i="5" s="1"/>
  <c r="H86" i="5"/>
  <c r="I86" i="5" s="1"/>
  <c r="H88" i="5"/>
  <c r="I88" i="5" s="1"/>
  <c r="H90" i="5"/>
  <c r="I90" i="5" s="1"/>
  <c r="H92" i="5"/>
  <c r="I92" i="5" s="1"/>
  <c r="H94" i="5"/>
  <c r="I94" i="5" s="1"/>
  <c r="H96" i="5"/>
  <c r="I96" i="5" s="1"/>
  <c r="H98" i="5"/>
  <c r="I98" i="5" s="1"/>
  <c r="H100" i="5"/>
  <c r="I100" i="5" s="1"/>
  <c r="H102" i="5"/>
  <c r="I102" i="5" s="1"/>
  <c r="H104" i="5"/>
  <c r="I104" i="5" s="1"/>
  <c r="H106" i="5"/>
  <c r="I106" i="5" s="1"/>
  <c r="H108" i="5"/>
  <c r="I108" i="5" s="1"/>
  <c r="H110" i="5"/>
  <c r="I110" i="5" s="1"/>
  <c r="H112" i="5"/>
  <c r="I112" i="5" s="1"/>
  <c r="H114" i="5"/>
  <c r="I114" i="5" s="1"/>
  <c r="H116" i="5"/>
  <c r="I116" i="5" s="1"/>
  <c r="H118" i="5"/>
  <c r="I118" i="5" s="1"/>
  <c r="H120" i="5"/>
  <c r="I120" i="5" s="1"/>
  <c r="H122" i="5"/>
  <c r="I122" i="5" s="1"/>
  <c r="H124" i="5"/>
  <c r="I124" i="5" s="1"/>
  <c r="H126" i="5"/>
  <c r="I126" i="5" s="1"/>
  <c r="H128" i="5"/>
  <c r="I128" i="5" s="1"/>
  <c r="H130" i="5"/>
  <c r="I130" i="5" s="1"/>
  <c r="H132" i="5"/>
  <c r="I132" i="5" s="1"/>
  <c r="I134" i="5"/>
  <c r="I135" i="5"/>
  <c r="H138" i="5"/>
  <c r="I138" i="5" s="1"/>
  <c r="H140" i="5"/>
  <c r="I140" i="5" s="1"/>
  <c r="H142" i="5"/>
  <c r="I142" i="5" s="1"/>
  <c r="H144" i="5"/>
  <c r="I144" i="5" s="1"/>
  <c r="H146" i="5"/>
  <c r="I146" i="5" s="1"/>
  <c r="H148" i="5"/>
  <c r="I148" i="5" s="1"/>
  <c r="H154" i="5"/>
  <c r="I154" i="5" s="1"/>
  <c r="I165" i="5"/>
  <c r="I169" i="5"/>
  <c r="I173" i="5"/>
  <c r="I177" i="5"/>
  <c r="I181" i="5"/>
  <c r="I185" i="5"/>
  <c r="I189" i="5"/>
  <c r="I193" i="5"/>
  <c r="I197" i="5"/>
  <c r="H228" i="5"/>
  <c r="I228" i="5" s="1"/>
  <c r="H247" i="5"/>
  <c r="I247" i="5" s="1"/>
  <c r="H251" i="5"/>
  <c r="I251" i="5" s="1"/>
  <c r="H255" i="5"/>
  <c r="I255" i="5" s="1"/>
  <c r="H259" i="5"/>
  <c r="I259" i="5" s="1"/>
  <c r="H263" i="5"/>
  <c r="I263" i="5" s="1"/>
  <c r="H267" i="5"/>
  <c r="I267" i="5" s="1"/>
  <c r="H271" i="5"/>
  <c r="I271" i="5" s="1"/>
  <c r="H275" i="5"/>
  <c r="I275" i="5" s="1"/>
  <c r="H279" i="5"/>
  <c r="I279" i="5" s="1"/>
  <c r="H283" i="5"/>
  <c r="I283" i="5" s="1"/>
  <c r="H42" i="7"/>
  <c r="I42" i="7" s="1"/>
  <c r="H220" i="5"/>
  <c r="I220" i="5" s="1"/>
  <c r="H222" i="5"/>
  <c r="I222" i="5" s="1"/>
  <c r="H224" i="5"/>
  <c r="I224" i="5" s="1"/>
  <c r="I227" i="5"/>
  <c r="I229" i="5"/>
  <c r="I231" i="5"/>
  <c r="H248" i="5"/>
  <c r="I248" i="5" s="1"/>
  <c r="H252" i="5"/>
  <c r="I252" i="5" s="1"/>
  <c r="H256" i="5"/>
  <c r="I256" i="5" s="1"/>
  <c r="H260" i="5"/>
  <c r="I260" i="5" s="1"/>
  <c r="H264" i="5"/>
  <c r="I264" i="5" s="1"/>
  <c r="H268" i="5"/>
  <c r="I268" i="5" s="1"/>
  <c r="H272" i="5"/>
  <c r="I272" i="5" s="1"/>
  <c r="H276" i="5"/>
  <c r="I276" i="5" s="1"/>
  <c r="H280" i="5"/>
  <c r="I280" i="5" s="1"/>
  <c r="H284" i="5"/>
  <c r="I284" i="5" s="1"/>
  <c r="I288" i="5"/>
  <c r="I292" i="5"/>
  <c r="H298" i="5"/>
  <c r="I298" i="5" s="1"/>
  <c r="H4" i="7"/>
  <c r="I4" i="7" s="1"/>
  <c r="I9" i="7"/>
  <c r="I22" i="7"/>
  <c r="H24" i="7"/>
  <c r="I24" i="7" s="1"/>
  <c r="H25" i="7"/>
  <c r="I25" i="7" s="1"/>
  <c r="I38" i="7"/>
  <c r="H40" i="7"/>
  <c r="I40" i="7" s="1"/>
  <c r="H41" i="7"/>
  <c r="I41" i="7" s="1"/>
  <c r="I54" i="7"/>
  <c r="H56" i="7"/>
  <c r="I56" i="7" s="1"/>
  <c r="H57" i="7"/>
  <c r="I57" i="7" s="1"/>
  <c r="V6" i="7"/>
  <c r="H61" i="7"/>
  <c r="I61" i="7" s="1"/>
  <c r="H137" i="7"/>
  <c r="I137" i="7" s="1"/>
  <c r="H145" i="7"/>
  <c r="I145" i="7" s="1"/>
  <c r="H153" i="7"/>
  <c r="I153" i="7" s="1"/>
  <c r="H168" i="4"/>
  <c r="I168" i="4" s="1"/>
  <c r="H172" i="4"/>
  <c r="I172" i="4" s="1"/>
  <c r="H176" i="4"/>
  <c r="I176" i="4" s="1"/>
  <c r="H180" i="4"/>
  <c r="I180" i="4" s="1"/>
  <c r="G312" i="5"/>
  <c r="C17" i="9" s="1"/>
  <c r="H136" i="5"/>
  <c r="I136" i="5" s="1"/>
  <c r="H151" i="5"/>
  <c r="I151" i="5" s="1"/>
  <c r="H152" i="5"/>
  <c r="I152" i="5" s="1"/>
  <c r="H249" i="5"/>
  <c r="I249" i="5" s="1"/>
  <c r="H253" i="5"/>
  <c r="I253" i="5" s="1"/>
  <c r="H257" i="5"/>
  <c r="I257" i="5" s="1"/>
  <c r="H261" i="5"/>
  <c r="I261" i="5" s="1"/>
  <c r="H265" i="5"/>
  <c r="I265" i="5" s="1"/>
  <c r="H269" i="5"/>
  <c r="I269" i="5" s="1"/>
  <c r="H273" i="5"/>
  <c r="I273" i="5" s="1"/>
  <c r="H277" i="5"/>
  <c r="I277" i="5" s="1"/>
  <c r="H281" i="5"/>
  <c r="I281" i="5" s="1"/>
  <c r="H285" i="5"/>
  <c r="I285" i="5" s="1"/>
  <c r="I18" i="7"/>
  <c r="H20" i="7"/>
  <c r="I20" i="7" s="1"/>
  <c r="H21" i="7"/>
  <c r="I21" i="7" s="1"/>
  <c r="W6" i="7"/>
  <c r="I34" i="7"/>
  <c r="H36" i="7"/>
  <c r="I36" i="7" s="1"/>
  <c r="H37" i="7"/>
  <c r="I37" i="7" s="1"/>
  <c r="I50" i="7"/>
  <c r="H52" i="7"/>
  <c r="I52" i="7" s="1"/>
  <c r="H53" i="7"/>
  <c r="I53" i="7" s="1"/>
  <c r="H132" i="7"/>
  <c r="I132" i="7" s="1"/>
  <c r="H3" i="5"/>
  <c r="I3" i="5" s="1"/>
  <c r="H221" i="5"/>
  <c r="I221" i="5" s="1"/>
  <c r="H223" i="5"/>
  <c r="I223" i="5" s="1"/>
  <c r="I225" i="5"/>
  <c r="H246" i="5"/>
  <c r="I246" i="5" s="1"/>
  <c r="H250" i="5"/>
  <c r="I250" i="5" s="1"/>
  <c r="H254" i="5"/>
  <c r="I254" i="5" s="1"/>
  <c r="H258" i="5"/>
  <c r="I258" i="5" s="1"/>
  <c r="H262" i="5"/>
  <c r="I262" i="5" s="1"/>
  <c r="H266" i="5"/>
  <c r="I266" i="5" s="1"/>
  <c r="H270" i="5"/>
  <c r="I270" i="5" s="1"/>
  <c r="H274" i="5"/>
  <c r="I274" i="5" s="1"/>
  <c r="H278" i="5"/>
  <c r="I278" i="5" s="1"/>
  <c r="H282" i="5"/>
  <c r="I282" i="5" s="1"/>
  <c r="H286" i="5"/>
  <c r="I286" i="5" s="1"/>
  <c r="I287" i="5"/>
  <c r="H310" i="5"/>
  <c r="I310" i="5" s="1"/>
  <c r="H6" i="7"/>
  <c r="I6" i="7" s="1"/>
  <c r="I14" i="7"/>
  <c r="H16" i="7"/>
  <c r="I16" i="7" s="1"/>
  <c r="H17" i="7"/>
  <c r="I17" i="7" s="1"/>
  <c r="I30" i="7"/>
  <c r="H32" i="7"/>
  <c r="I32" i="7" s="1"/>
  <c r="H33" i="7"/>
  <c r="I33" i="7" s="1"/>
  <c r="I46" i="7"/>
  <c r="H48" i="7"/>
  <c r="I48" i="7" s="1"/>
  <c r="H49" i="7"/>
  <c r="I49" i="7" s="1"/>
  <c r="H290" i="5"/>
  <c r="I290" i="5" s="1"/>
  <c r="H294" i="5"/>
  <c r="I294" i="5" s="1"/>
  <c r="I311" i="5"/>
  <c r="I5" i="7"/>
  <c r="H8" i="7"/>
  <c r="I8" i="7" s="1"/>
  <c r="H82" i="7"/>
  <c r="I82" i="7" s="1"/>
  <c r="I119" i="7"/>
  <c r="H135" i="7"/>
  <c r="I135" i="7" s="1"/>
  <c r="H143" i="7"/>
  <c r="I143" i="7" s="1"/>
  <c r="H151" i="7"/>
  <c r="I151" i="7" s="1"/>
  <c r="I8" i="8"/>
  <c r="H93" i="8"/>
  <c r="I93" i="8" s="1"/>
  <c r="H95" i="8"/>
  <c r="I95" i="8" s="1"/>
  <c r="H97" i="8"/>
  <c r="I97" i="8" s="1"/>
  <c r="H114" i="8"/>
  <c r="I114" i="8" s="1"/>
  <c r="H118" i="8"/>
  <c r="I118" i="8" s="1"/>
  <c r="H124" i="8"/>
  <c r="I124" i="8" s="1"/>
  <c r="H172" i="8"/>
  <c r="I172" i="8" s="1"/>
  <c r="H191" i="8"/>
  <c r="I191" i="8" s="1"/>
  <c r="H196" i="8"/>
  <c r="I196" i="8" s="1"/>
  <c r="H199" i="8"/>
  <c r="I199" i="8" s="1"/>
  <c r="H215" i="8"/>
  <c r="I215" i="8" s="1"/>
  <c r="H238" i="8"/>
  <c r="I238" i="8" s="1"/>
  <c r="H241" i="8"/>
  <c r="I241" i="8" s="1"/>
  <c r="H289" i="5"/>
  <c r="I289" i="5" s="1"/>
  <c r="H293" i="5"/>
  <c r="I293" i="5" s="1"/>
  <c r="H297" i="5"/>
  <c r="I297" i="5" s="1"/>
  <c r="I299" i="5"/>
  <c r="I302" i="5"/>
  <c r="H302" i="5"/>
  <c r="G157" i="7"/>
  <c r="C18" i="9" s="1"/>
  <c r="H3" i="7"/>
  <c r="I3" i="7" s="1"/>
  <c r="H83" i="7"/>
  <c r="I83" i="7" s="1"/>
  <c r="O6" i="7"/>
  <c r="H85" i="7"/>
  <c r="I85" i="7" s="1"/>
  <c r="H87" i="7"/>
  <c r="I87" i="7" s="1"/>
  <c r="H89" i="7"/>
  <c r="I89" i="7" s="1"/>
  <c r="H91" i="7"/>
  <c r="I91" i="7" s="1"/>
  <c r="H93" i="7"/>
  <c r="I93" i="7" s="1"/>
  <c r="H95" i="7"/>
  <c r="I95" i="7" s="1"/>
  <c r="H97" i="7"/>
  <c r="I97" i="7" s="1"/>
  <c r="H99" i="7"/>
  <c r="I99" i="7" s="1"/>
  <c r="H101" i="7"/>
  <c r="I101" i="7" s="1"/>
  <c r="H103" i="7"/>
  <c r="I103" i="7" s="1"/>
  <c r="H105" i="7"/>
  <c r="I105" i="7" s="1"/>
  <c r="H107" i="7"/>
  <c r="I107" i="7" s="1"/>
  <c r="H109" i="7"/>
  <c r="I109" i="7" s="1"/>
  <c r="I115" i="7"/>
  <c r="I120" i="7"/>
  <c r="I131" i="7"/>
  <c r="H141" i="7"/>
  <c r="I141" i="7" s="1"/>
  <c r="H149" i="7"/>
  <c r="I149" i="7" s="1"/>
  <c r="I9" i="8"/>
  <c r="H91" i="8"/>
  <c r="I91" i="8" s="1"/>
  <c r="H108" i="8"/>
  <c r="I108" i="8" s="1"/>
  <c r="I303" i="5"/>
  <c r="H306" i="5"/>
  <c r="I306" i="5" s="1"/>
  <c r="H11" i="7"/>
  <c r="I11" i="7" s="1"/>
  <c r="H15" i="7"/>
  <c r="I15" i="7" s="1"/>
  <c r="H19" i="7"/>
  <c r="I19" i="7" s="1"/>
  <c r="H23" i="7"/>
  <c r="I23" i="7" s="1"/>
  <c r="H27" i="7"/>
  <c r="I27" i="7" s="1"/>
  <c r="H31" i="7"/>
  <c r="I31" i="7" s="1"/>
  <c r="H35" i="7"/>
  <c r="I35" i="7" s="1"/>
  <c r="H39" i="7"/>
  <c r="I39" i="7" s="1"/>
  <c r="H43" i="7"/>
  <c r="I43" i="7" s="1"/>
  <c r="H47" i="7"/>
  <c r="I47" i="7" s="1"/>
  <c r="H51" i="7"/>
  <c r="I51" i="7" s="1"/>
  <c r="H55" i="7"/>
  <c r="I55" i="7" s="1"/>
  <c r="H59" i="7"/>
  <c r="I59" i="7" s="1"/>
  <c r="H84" i="7"/>
  <c r="I84" i="7" s="1"/>
  <c r="H139" i="7"/>
  <c r="I139" i="7" s="1"/>
  <c r="H147" i="7"/>
  <c r="I147" i="7" s="1"/>
  <c r="H154" i="7"/>
  <c r="I154" i="7" s="1"/>
  <c r="H104" i="8"/>
  <c r="I104" i="8" s="1"/>
  <c r="H105" i="8"/>
  <c r="I105" i="8" s="1"/>
  <c r="H4" i="8"/>
  <c r="I4" i="8" s="1"/>
  <c r="H6" i="8"/>
  <c r="I6" i="8" s="1"/>
  <c r="S6" i="8"/>
  <c r="H11" i="8"/>
  <c r="I11" i="8" s="1"/>
  <c r="H13" i="8"/>
  <c r="I13" i="8" s="1"/>
  <c r="H15" i="8"/>
  <c r="I15" i="8" s="1"/>
  <c r="H17" i="8"/>
  <c r="I17" i="8" s="1"/>
  <c r="H19" i="8"/>
  <c r="I19" i="8" s="1"/>
  <c r="H21" i="8"/>
  <c r="I21" i="8" s="1"/>
  <c r="H23" i="8"/>
  <c r="I23" i="8" s="1"/>
  <c r="H25" i="8"/>
  <c r="I25" i="8" s="1"/>
  <c r="H27" i="8"/>
  <c r="I27" i="8" s="1"/>
  <c r="H29" i="8"/>
  <c r="I29" i="8" s="1"/>
  <c r="H31" i="8"/>
  <c r="I31" i="8" s="1"/>
  <c r="H33" i="8"/>
  <c r="I33" i="8" s="1"/>
  <c r="H35" i="8"/>
  <c r="I35" i="8" s="1"/>
  <c r="H37" i="8"/>
  <c r="I37" i="8" s="1"/>
  <c r="H39" i="8"/>
  <c r="I39" i="8" s="1"/>
  <c r="H41" i="8"/>
  <c r="I41" i="8" s="1"/>
  <c r="H43" i="8"/>
  <c r="I43" i="8" s="1"/>
  <c r="I45" i="8"/>
  <c r="I47" i="8"/>
  <c r="I49" i="8"/>
  <c r="I51" i="8"/>
  <c r="I53" i="8"/>
  <c r="I55" i="8"/>
  <c r="I59" i="8"/>
  <c r="I61" i="8"/>
  <c r="I63" i="8"/>
  <c r="I65" i="8"/>
  <c r="I67" i="8"/>
  <c r="I69" i="8"/>
  <c r="I71" i="8"/>
  <c r="I73" i="8"/>
  <c r="I75" i="8"/>
  <c r="I77" i="8"/>
  <c r="I79" i="8"/>
  <c r="I81" i="8"/>
  <c r="I83" i="8"/>
  <c r="I85" i="8"/>
  <c r="I87" i="8"/>
  <c r="I89" i="8"/>
  <c r="H92" i="8"/>
  <c r="I92" i="8" s="1"/>
  <c r="I102" i="8"/>
  <c r="H107" i="8"/>
  <c r="I107" i="8" s="1"/>
  <c r="I109" i="8"/>
  <c r="I111" i="8"/>
  <c r="V6" i="8"/>
  <c r="H115" i="8"/>
  <c r="I115" i="8" s="1"/>
  <c r="H120" i="8"/>
  <c r="I120" i="8" s="1"/>
  <c r="H170" i="8"/>
  <c r="I170" i="8" s="1"/>
  <c r="H188" i="8"/>
  <c r="I188" i="8" s="1"/>
  <c r="H189" i="8"/>
  <c r="I189" i="8" s="1"/>
  <c r="H212" i="8"/>
  <c r="I212" i="8" s="1"/>
  <c r="H226" i="8"/>
  <c r="I226" i="8" s="1"/>
  <c r="H231" i="8"/>
  <c r="I231" i="8" s="1"/>
  <c r="H232" i="8"/>
  <c r="I232" i="8" s="1"/>
  <c r="H113" i="7"/>
  <c r="I113" i="7" s="1"/>
  <c r="H117" i="7"/>
  <c r="I117" i="7" s="1"/>
  <c r="H121" i="7"/>
  <c r="I121" i="7" s="1"/>
  <c r="H125" i="7"/>
  <c r="I125" i="7" s="1"/>
  <c r="H129" i="7"/>
  <c r="I129" i="7" s="1"/>
  <c r="H133" i="7"/>
  <c r="I133" i="7" s="1"/>
  <c r="H155" i="7"/>
  <c r="I155" i="7" s="1"/>
  <c r="W6" i="8"/>
  <c r="H10" i="8"/>
  <c r="I10" i="8" s="1"/>
  <c r="H94" i="8"/>
  <c r="I94" i="8" s="1"/>
  <c r="H96" i="8"/>
  <c r="I96" i="8" s="1"/>
  <c r="I98" i="8"/>
  <c r="H100" i="8"/>
  <c r="I100" i="8" s="1"/>
  <c r="H101" i="8"/>
  <c r="I101" i="8" s="1"/>
  <c r="H112" i="8"/>
  <c r="I112" i="8" s="1"/>
  <c r="H116" i="8"/>
  <c r="I116" i="8" s="1"/>
  <c r="H128" i="8"/>
  <c r="I128" i="8" s="1"/>
  <c r="H130" i="8"/>
  <c r="I130" i="8" s="1"/>
  <c r="H132" i="8"/>
  <c r="I132" i="8" s="1"/>
  <c r="H134" i="8"/>
  <c r="I134" i="8" s="1"/>
  <c r="H136" i="8"/>
  <c r="I136" i="8" s="1"/>
  <c r="H138" i="8"/>
  <c r="I138" i="8" s="1"/>
  <c r="H140" i="8"/>
  <c r="I140" i="8" s="1"/>
  <c r="H168" i="8"/>
  <c r="I168" i="8" s="1"/>
  <c r="H174" i="8"/>
  <c r="I174" i="8" s="1"/>
  <c r="H204" i="8"/>
  <c r="I204" i="8" s="1"/>
  <c r="G251" i="8"/>
  <c r="C19" i="9" s="1"/>
  <c r="H3" i="8"/>
  <c r="I3" i="8" s="1"/>
  <c r="H5" i="8"/>
  <c r="I5" i="8" s="1"/>
  <c r="H12" i="8"/>
  <c r="I12" i="8" s="1"/>
  <c r="H14" i="8"/>
  <c r="I14" i="8" s="1"/>
  <c r="H16" i="8"/>
  <c r="I16" i="8" s="1"/>
  <c r="H18" i="8"/>
  <c r="I18" i="8" s="1"/>
  <c r="H20" i="8"/>
  <c r="I20" i="8" s="1"/>
  <c r="H22" i="8"/>
  <c r="I22" i="8" s="1"/>
  <c r="H24" i="8"/>
  <c r="I24" i="8" s="1"/>
  <c r="H26" i="8"/>
  <c r="I26" i="8" s="1"/>
  <c r="H28" i="8"/>
  <c r="I28" i="8" s="1"/>
  <c r="H30" i="8"/>
  <c r="I30" i="8" s="1"/>
  <c r="H32" i="8"/>
  <c r="I32" i="8" s="1"/>
  <c r="H34" i="8"/>
  <c r="I34" i="8" s="1"/>
  <c r="H36" i="8"/>
  <c r="I36" i="8" s="1"/>
  <c r="H38" i="8"/>
  <c r="I38" i="8" s="1"/>
  <c r="H40" i="8"/>
  <c r="I40" i="8" s="1"/>
  <c r="H42" i="8"/>
  <c r="I42" i="8" s="1"/>
  <c r="N6" i="8"/>
  <c r="Q6" i="8"/>
  <c r="H44" i="8"/>
  <c r="I44" i="8" s="1"/>
  <c r="I46" i="8"/>
  <c r="I48" i="8"/>
  <c r="I50" i="8"/>
  <c r="I52" i="8"/>
  <c r="I54" i="8"/>
  <c r="I56" i="8"/>
  <c r="I58" i="8"/>
  <c r="I60" i="8"/>
  <c r="I62" i="8"/>
  <c r="S10" i="8" s="1"/>
  <c r="I64" i="8"/>
  <c r="I66" i="8"/>
  <c r="I68" i="8"/>
  <c r="I70" i="8"/>
  <c r="I72" i="8"/>
  <c r="I74" i="8"/>
  <c r="I76" i="8"/>
  <c r="T6" i="8"/>
  <c r="I78" i="8"/>
  <c r="I80" i="8"/>
  <c r="I82" i="8"/>
  <c r="I84" i="8"/>
  <c r="I86" i="8"/>
  <c r="I88" i="8"/>
  <c r="I90" i="8"/>
  <c r="H103" i="8"/>
  <c r="I103" i="8" s="1"/>
  <c r="I106" i="8"/>
  <c r="H113" i="8"/>
  <c r="I113" i="8" s="1"/>
  <c r="H117" i="8"/>
  <c r="I117" i="8" s="1"/>
  <c r="H143" i="8"/>
  <c r="I143" i="8" s="1"/>
  <c r="H147" i="8"/>
  <c r="I147" i="8" s="1"/>
  <c r="H151" i="8"/>
  <c r="I151" i="8" s="1"/>
  <c r="H155" i="8"/>
  <c r="I155" i="8" s="1"/>
  <c r="H160" i="8"/>
  <c r="I160" i="8" s="1"/>
  <c r="H162" i="8"/>
  <c r="I162" i="8" s="1"/>
  <c r="H164" i="8"/>
  <c r="I164" i="8" s="1"/>
  <c r="H220" i="8"/>
  <c r="I220" i="8" s="1"/>
  <c r="H119" i="8"/>
  <c r="I119" i="8" s="1"/>
  <c r="H122" i="8"/>
  <c r="I122" i="8" s="1"/>
  <c r="I125" i="8"/>
  <c r="H144" i="8"/>
  <c r="I144" i="8" s="1"/>
  <c r="H148" i="8"/>
  <c r="I148" i="8" s="1"/>
  <c r="H152" i="8"/>
  <c r="I152" i="8" s="1"/>
  <c r="H156" i="8"/>
  <c r="I156" i="8" s="1"/>
  <c r="I166" i="8"/>
  <c r="H169" i="8"/>
  <c r="I169" i="8" s="1"/>
  <c r="H197" i="8"/>
  <c r="I197" i="8" s="1"/>
  <c r="H198" i="8"/>
  <c r="I198" i="8" s="1"/>
  <c r="H205" i="8"/>
  <c r="I205" i="8" s="1"/>
  <c r="H206" i="8"/>
  <c r="I206" i="8" s="1"/>
  <c r="H222" i="8"/>
  <c r="I222" i="8" s="1"/>
  <c r="I229" i="8"/>
  <c r="H234" i="8"/>
  <c r="I234" i="8" s="1"/>
  <c r="H239" i="8"/>
  <c r="I239" i="8" s="1"/>
  <c r="H240" i="8"/>
  <c r="I240" i="8" s="1"/>
  <c r="H127" i="8"/>
  <c r="I127" i="8" s="1"/>
  <c r="H129" i="8"/>
  <c r="I129" i="8" s="1"/>
  <c r="H131" i="8"/>
  <c r="I131" i="8" s="1"/>
  <c r="H133" i="8"/>
  <c r="I133" i="8" s="1"/>
  <c r="H135" i="8"/>
  <c r="I135" i="8" s="1"/>
  <c r="H137" i="8"/>
  <c r="I137" i="8" s="1"/>
  <c r="H139" i="8"/>
  <c r="I139" i="8" s="1"/>
  <c r="I141" i="8"/>
  <c r="I142" i="8"/>
  <c r="H145" i="8"/>
  <c r="I145" i="8" s="1"/>
  <c r="H149" i="8"/>
  <c r="I149" i="8" s="1"/>
  <c r="H153" i="8"/>
  <c r="I153" i="8" s="1"/>
  <c r="H157" i="8"/>
  <c r="I157" i="8" s="1"/>
  <c r="H159" i="8"/>
  <c r="I159" i="8" s="1"/>
  <c r="H161" i="8"/>
  <c r="I161" i="8" s="1"/>
  <c r="H163" i="8"/>
  <c r="I163" i="8" s="1"/>
  <c r="I171" i="8"/>
  <c r="I173" i="8"/>
  <c r="H181" i="8"/>
  <c r="I181" i="8" s="1"/>
  <c r="H192" i="8"/>
  <c r="I192" i="8" s="1"/>
  <c r="I195" i="8"/>
  <c r="H200" i="8"/>
  <c r="I200" i="8" s="1"/>
  <c r="I203" i="8"/>
  <c r="I207" i="8"/>
  <c r="H210" i="8"/>
  <c r="I210" i="8" s="1"/>
  <c r="H211" i="8"/>
  <c r="I211" i="8" s="1"/>
  <c r="I214" i="8"/>
  <c r="H217" i="8"/>
  <c r="I217" i="8" s="1"/>
  <c r="I225" i="8"/>
  <c r="H228" i="8"/>
  <c r="I228" i="8" s="1"/>
  <c r="I237" i="8"/>
  <c r="H242" i="8"/>
  <c r="I242" i="8" s="1"/>
  <c r="H121" i="8"/>
  <c r="I121" i="8" s="1"/>
  <c r="I123" i="8"/>
  <c r="H126" i="8"/>
  <c r="I126" i="8" s="1"/>
  <c r="H146" i="8"/>
  <c r="I146" i="8" s="1"/>
  <c r="H150" i="8"/>
  <c r="I150" i="8" s="1"/>
  <c r="H154" i="8"/>
  <c r="I154" i="8" s="1"/>
  <c r="H158" i="8"/>
  <c r="I158" i="8" s="1"/>
  <c r="I167" i="8"/>
  <c r="H177" i="8"/>
  <c r="I177" i="8" s="1"/>
  <c r="H183" i="8"/>
  <c r="I183" i="8" s="1"/>
  <c r="H184" i="8"/>
  <c r="I184" i="8" s="1"/>
  <c r="H193" i="8"/>
  <c r="I193" i="8" s="1"/>
  <c r="H194" i="8"/>
  <c r="I194" i="8" s="1"/>
  <c r="H201" i="8"/>
  <c r="I201" i="8" s="1"/>
  <c r="H202" i="8"/>
  <c r="I202" i="8" s="1"/>
  <c r="I221" i="8"/>
  <c r="H224" i="8"/>
  <c r="I224" i="8" s="1"/>
  <c r="H230" i="8"/>
  <c r="I230" i="8" s="1"/>
  <c r="I233" i="8"/>
  <c r="H236" i="8"/>
  <c r="I236" i="8" s="1"/>
  <c r="H243" i="8"/>
  <c r="I243" i="8" s="1"/>
  <c r="H186" i="8"/>
  <c r="I186" i="8" s="1"/>
  <c r="H208" i="8"/>
  <c r="I208" i="8" s="1"/>
  <c r="H213" i="8"/>
  <c r="I213" i="8" s="1"/>
  <c r="H246" i="8"/>
  <c r="I246" i="8" s="1"/>
  <c r="H190" i="8"/>
  <c r="I190" i="8" s="1"/>
  <c r="I216" i="8"/>
  <c r="H219" i="8"/>
  <c r="I219" i="8" s="1"/>
  <c r="H223" i="8"/>
  <c r="I223" i="8" s="1"/>
  <c r="H227" i="8"/>
  <c r="I227" i="8" s="1"/>
  <c r="H235" i="8"/>
  <c r="I235" i="8" s="1"/>
  <c r="I247" i="8"/>
  <c r="H250" i="8"/>
  <c r="I250" i="8" s="1"/>
  <c r="P6" i="4" l="1"/>
  <c r="C7" i="9" s="1"/>
  <c r="V10" i="4"/>
  <c r="D11" i="9" s="1"/>
  <c r="R10" i="3"/>
  <c r="H7" i="9"/>
  <c r="N10" i="8"/>
  <c r="U10" i="5"/>
  <c r="O10" i="7"/>
  <c r="Y6" i="8"/>
  <c r="Q10" i="8"/>
  <c r="R10" i="8"/>
  <c r="P10" i="4"/>
  <c r="C11" i="9" s="1"/>
  <c r="I7" i="9"/>
  <c r="T10" i="3"/>
  <c r="X10" i="3"/>
  <c r="F7" i="9"/>
  <c r="L7" i="9"/>
  <c r="Y6" i="7"/>
  <c r="N7" i="9"/>
  <c r="E7" i="9"/>
  <c r="N10" i="3"/>
  <c r="M10" i="8"/>
  <c r="I157" i="7"/>
  <c r="D18" i="9" s="1"/>
  <c r="L10" i="7"/>
  <c r="W10" i="5"/>
  <c r="P10" i="7"/>
  <c r="Q10" i="4"/>
  <c r="I182" i="4"/>
  <c r="D16" i="9" s="1"/>
  <c r="L10" i="4"/>
  <c r="Q10" i="5"/>
  <c r="W10" i="4"/>
  <c r="R10" i="4"/>
  <c r="Q10" i="3"/>
  <c r="O10" i="3"/>
  <c r="S10" i="3"/>
  <c r="R10" i="7"/>
  <c r="X10" i="7"/>
  <c r="C20" i="9"/>
  <c r="M10" i="3"/>
  <c r="V10" i="8"/>
  <c r="R10" i="5"/>
  <c r="M7" i="9"/>
  <c r="M10" i="4"/>
  <c r="W10" i="7"/>
  <c r="V10" i="7"/>
  <c r="O10" i="5"/>
  <c r="I251" i="8"/>
  <c r="D19" i="9" s="1"/>
  <c r="L10" i="8"/>
  <c r="M10" i="5"/>
  <c r="G7" i="9"/>
  <c r="U10" i="3"/>
  <c r="T10" i="8"/>
  <c r="W10" i="8"/>
  <c r="X10" i="5"/>
  <c r="I312" i="5"/>
  <c r="D17" i="9" s="1"/>
  <c r="L10" i="5"/>
  <c r="B7" i="9"/>
  <c r="Y6" i="3"/>
  <c r="T10" i="5"/>
  <c r="N10" i="5"/>
  <c r="Y6" i="5"/>
  <c r="T10" i="4"/>
  <c r="Y6" i="4"/>
  <c r="J7" i="9"/>
  <c r="I306" i="3"/>
  <c r="D15" i="9" s="1"/>
  <c r="L10" i="3"/>
  <c r="K7" i="9"/>
  <c r="G11" i="9" l="1"/>
  <c r="K11" i="9"/>
  <c r="N11" i="9"/>
  <c r="F11" i="9"/>
  <c r="Y10" i="8"/>
  <c r="E11" i="9"/>
  <c r="Y10" i="4"/>
  <c r="Y10" i="5"/>
  <c r="J11" i="9"/>
  <c r="Y10" i="7"/>
  <c r="B11" i="9"/>
  <c r="Y10" i="3"/>
  <c r="S12" i="3" s="1"/>
  <c r="D20" i="9"/>
  <c r="E19" i="9" s="1"/>
  <c r="O7" i="9"/>
  <c r="C21" i="9" s="1"/>
  <c r="M11" i="9"/>
  <c r="H11" i="9"/>
  <c r="L11" i="9"/>
  <c r="I11" i="9"/>
  <c r="E17" i="9" l="1"/>
  <c r="E18" i="9"/>
  <c r="M12" i="3"/>
  <c r="N12" i="3"/>
  <c r="U12" i="3"/>
  <c r="L12" i="3"/>
  <c r="Q12" i="3"/>
  <c r="O12" i="3"/>
  <c r="E20" i="9"/>
  <c r="O11" i="9"/>
  <c r="J12" i="9" s="1"/>
  <c r="E15" i="9"/>
  <c r="V12" i="3"/>
  <c r="P12" i="3"/>
  <c r="R12" i="3"/>
  <c r="T12" i="3"/>
  <c r="X12" i="3"/>
  <c r="W12" i="3"/>
  <c r="E16" i="9"/>
  <c r="E12" i="9" l="1"/>
  <c r="I12" i="9"/>
  <c r="B12" i="9"/>
  <c r="L12" i="9"/>
  <c r="D21" i="9"/>
  <c r="M12" i="9"/>
  <c r="O14" i="9"/>
  <c r="C12" i="9"/>
  <c r="D12" i="9"/>
  <c r="F12" i="9"/>
  <c r="G12" i="9"/>
  <c r="N12" i="9"/>
  <c r="K12" i="9"/>
  <c r="H12" i="9"/>
  <c r="O12" i="9" l="1"/>
</calcChain>
</file>

<file path=xl/sharedStrings.xml><?xml version="1.0" encoding="utf-8"?>
<sst xmlns="http://schemas.openxmlformats.org/spreadsheetml/2006/main" count="5876" uniqueCount="1271">
  <si>
    <t>ID</t>
  </si>
  <si>
    <t>ID Ingrediente</t>
  </si>
  <si>
    <t>Nombre</t>
  </si>
  <si>
    <t>Precio</t>
  </si>
  <si>
    <t>Unidad de medida</t>
  </si>
  <si>
    <t>Conversiones</t>
  </si>
  <si>
    <t>ID externo</t>
  </si>
  <si>
    <t>ID Categoria</t>
  </si>
  <si>
    <t>Nombre Categoria</t>
  </si>
  <si>
    <t>ID Categoria Externo</t>
  </si>
  <si>
    <t>ID Bodegas</t>
  </si>
  <si>
    <t>Nombre Bodegas</t>
  </si>
  <si>
    <t>Impuestos</t>
  </si>
  <si>
    <t>Nombre Ingrediente</t>
  </si>
  <si>
    <t>Cantidad</t>
  </si>
  <si>
    <t>Costo Total</t>
  </si>
  <si>
    <t>ti-ing-b69bd6ae-ccae-4801-af83-bece901d304f</t>
  </si>
  <si>
    <t>Aceite oliva extra virgen 5 lts</t>
  </si>
  <si>
    <t>Principal</t>
  </si>
  <si>
    <t>LT</t>
  </si>
  <si>
    <t>ti-incat-dbb4ab5d-d383-44df-bb1b-2819d297b20d</t>
  </si>
  <si>
    <t>Abarrotes</t>
  </si>
  <si>
    <t>ti-str-e3696e4b-7915-4d18-83e7-077d2c42d9bc,ti-str-bbb1d66c-36dd-47af-85d8-583c26959146,ti-str-36f261ca-0b74-4d79-8a50-81324d9ac308</t>
  </si>
  <si>
    <t>Principal,Stock Cocina,Stock Panaderia</t>
  </si>
  <si>
    <t>iva_19</t>
  </si>
  <si>
    <t>ti-ing-5a1041f6-5fed-4ae0-8d00-dee7d47968a3</t>
  </si>
  <si>
    <t>Aceite vegetal 900 ml</t>
  </si>
  <si>
    <t>UN</t>
  </si>
  <si>
    <t>ti-str-e3696e4b-7915-4d18-83e7-077d2c42d9bc,ti-str-e0754139-882f-4237-83fa-744442ed825f,ti-str-bbb1d66c-36dd-47af-85d8-583c26959146,ti-str-36f261ca-0b74-4d79-8a50-81324d9ac308</t>
  </si>
  <si>
    <t>Principal,Stock Pasteleria,Stock Cocina,Stock Panaderia</t>
  </si>
  <si>
    <t>ti-ing-0ab486df-7d4d-4782-82bb-c30b4209e5fb</t>
  </si>
  <si>
    <t>Aceituna Morada kg</t>
  </si>
  <si>
    <t>KG</t>
  </si>
  <si>
    <t>ti-str-bbb1d66c-36dd-47af-85d8-583c26959146</t>
  </si>
  <si>
    <t>Stock Cocina</t>
  </si>
  <si>
    <t>ti-ing-581e5046-d41b-44fd-981a-fa5ec2c4d4ba</t>
  </si>
  <si>
    <t>Ajinomoto</t>
  </si>
  <si>
    <t>kg</t>
  </si>
  <si>
    <t>ti-str-e3696e4b-7915-4d18-83e7-077d2c42d9bc,ti-str-bbb1d66c-36dd-47af-85d8-583c26959146</t>
  </si>
  <si>
    <t>Principal,Stock Cocina</t>
  </si>
  <si>
    <t>ti-ing-65292276-c9a9-4569-b8ff-19a5a3fea424</t>
  </si>
  <si>
    <t>Anis kg</t>
  </si>
  <si>
    <t>Kg</t>
  </si>
  <si>
    <t>ti-str-e3696e4b-7915-4d18-83e7-077d2c42d9bc,ti-str-36f261ca-0b74-4d79-8a50-81324d9ac308</t>
  </si>
  <si>
    <t>Principal,Stock Panaderia</t>
  </si>
  <si>
    <t>ti-ing-bfd5d10e-d265-4e6e-b05a-79c836269380</t>
  </si>
  <si>
    <t>Arroz (colacion)</t>
  </si>
  <si>
    <t>ti-ing-5c316419-1759-4d90-bb2e-e9025a87d122</t>
  </si>
  <si>
    <t>Atun Coliseo Al Agua</t>
  </si>
  <si>
    <t>ti-ing-363a5ec1-8d6b-4612-be6a-7a19b61ab7e2</t>
  </si>
  <si>
    <t>Atun Dorasol Al Agua</t>
  </si>
  <si>
    <t>ti-ing-c1414efc-1614-40c6-a7e8-2f6efb3e0401</t>
  </si>
  <si>
    <t>Avena</t>
  </si>
  <si>
    <t>ID PRODUCTO</t>
  </si>
  <si>
    <t>PRODUCTO</t>
  </si>
  <si>
    <t>STOCK</t>
  </si>
  <si>
    <t>ti-ing-531d1d9b-814d-49bc-9bbf-06be4ae2e6d5</t>
  </si>
  <si>
    <t>PEDIDO</t>
  </si>
  <si>
    <t>Azucar blanca</t>
  </si>
  <si>
    <t>UN MEDIDA</t>
  </si>
  <si>
    <t>CATEGORIA</t>
  </si>
  <si>
    <t>Valorizado Neto</t>
  </si>
  <si>
    <t>ti-str-e3696e4b-7915-4d18-83e7-077d2c42d9bc,ti-str-e0754139-882f-4237-83fa-744442ed825f,ti-str-bbb1d66c-36dd-47af-85d8-583c26959146,ti-str-36f261ca-0b74-4d79-8a50-81324d9ac308,ti-str-eafdd243-ca10-4e67-89d4-50a191eb8e12</t>
  </si>
  <si>
    <t>Principal,Stock Pasteleria,Stock Cocina,Stock Panaderia,Stock Servicio</t>
  </si>
  <si>
    <t>IVA (19%)</t>
  </si>
  <si>
    <t>Total Bruto</t>
  </si>
  <si>
    <t>Azúcar blanca por kilo</t>
  </si>
  <si>
    <t>ti-ing-c4486ce7-85c4-49c5-ac82-4d98b0798d01</t>
  </si>
  <si>
    <t>Azucar rubia</t>
  </si>
  <si>
    <t>ti-ing-63a7f9f9-77ff-45f4-9e3f-3feff0b73432</t>
  </si>
  <si>
    <t>Café tarro grande (desayuno)</t>
  </si>
  <si>
    <t>ti-ing-f57e1d6d-2d59-440c-a741-794a5d5d1359</t>
  </si>
  <si>
    <t>Chia kg</t>
  </si>
  <si>
    <t>ti-ing-b908bdf8-4d68-4e4a-bca8-67edb76d6236</t>
  </si>
  <si>
    <t>Chips Chocolate Negro kg</t>
  </si>
  <si>
    <t>ti-str-e3696e4b-7915-4d18-83e7-077d2c42d9bc,ti-str-e0754139-882f-4237-83fa-744442ed825f,ti-str-36f261ca-0b74-4d79-8a50-81324d9ac308</t>
  </si>
  <si>
    <t>Principal,Stock Pasteleria,Stock Panaderia</t>
  </si>
  <si>
    <t>ti-ing-89800579-a778-4a4e-8895-e0cc7ed6a986</t>
  </si>
  <si>
    <t>Coco Laminado</t>
  </si>
  <si>
    <t>ti-ing-a396335b-a1d5-46a1-874a-de8bd1a3a0de</t>
  </si>
  <si>
    <t>Coco Rallado</t>
  </si>
  <si>
    <t>ti-str-e3696e4b-7915-4d18-83e7-077d2c42d9bc,ti-str-36f261ca-0b74-4d79-8a50-81324d9ac308,ti-str-e0754139-882f-4237-83fa-744442ed825f</t>
  </si>
  <si>
    <t>Principal,Stock Panaderia,Stock Pasteleria</t>
  </si>
  <si>
    <t>ti-ing-280562df-e2c6-469c-bfaf-8f7361fb5c74</t>
  </si>
  <si>
    <t>COMINO</t>
  </si>
  <si>
    <t>ti-ing-55e22a4e-70ba-4bfe-9ef6-78d09a6c71b6</t>
  </si>
  <si>
    <t>Curcuma</t>
  </si>
  <si>
    <t>ti-ing-064cb0f3-6635-4de8-915c-d57502a19286</t>
  </si>
  <si>
    <t>Esencia vainilla</t>
  </si>
  <si>
    <t>ti-ing-2fbc1c56-3286-4d64-8ddd-b547296361a3</t>
  </si>
  <si>
    <t>Espaguetti</t>
  </si>
  <si>
    <t>ti-ing-446530ff-42dc-41f9-9208-1b6c8dded86f</t>
  </si>
  <si>
    <t>Espirales</t>
  </si>
  <si>
    <t>ti-ing-150d078f-94cc-4527-a524-b16516d0adfa</t>
  </si>
  <si>
    <t>Fruta Confitada</t>
  </si>
  <si>
    <t>ti-ing-11a33780-09cc-47f7-b11c-89e4b6139bb9</t>
  </si>
  <si>
    <t>Garbanzos</t>
  </si>
  <si>
    <t>ti-ing-16366b6f-c022-48bc-9b77-61765f107986</t>
  </si>
  <si>
    <t>Harina pan</t>
  </si>
  <si>
    <t>ti-ing-af062f27-295c-456a-9ce5-77fbb725f339</t>
  </si>
  <si>
    <t>Helado Chocolate</t>
  </si>
  <si>
    <t>ti-str-eafdd243-ca10-4e67-89d4-50a191eb8e12,ti-str-e3696e4b-7915-4d18-83e7-077d2c42d9bc</t>
  </si>
  <si>
    <t>Stock Servicio,Principal</t>
  </si>
  <si>
    <t>Helado frutilla</t>
  </si>
  <si>
    <t>ti-ing-12dbd538-5012-4d25-8c02-7d0b4f3fdf45</t>
  </si>
  <si>
    <t>Helado Vainilla</t>
  </si>
  <si>
    <t>ti-ing-e6ff2cd2-0729-44b9-b0d3-457299c1ead8</t>
  </si>
  <si>
    <t>Huevos Arizona</t>
  </si>
  <si>
    <t>ti-ing-06898fd0-9448-431b-9bad-3526a93cf181</t>
  </si>
  <si>
    <t>Ketchup kg</t>
  </si>
  <si>
    <t>ti-ing-f3eeca8c-b308-4136-a438-0f68fc53c279</t>
  </si>
  <si>
    <t>Lasagne Chef</t>
  </si>
  <si>
    <t>ti-ing-20a9682d-4a6c-42c4-a3ed-312cab8df904</t>
  </si>
  <si>
    <t>Laurel</t>
  </si>
  <si>
    <t>ti-ing-772eef79-e2de-41fa-b52c-f097abd8b4a8</t>
  </si>
  <si>
    <t>Leche Entera En Polvo</t>
  </si>
  <si>
    <t>ti-ing-a5f32751-2fe1-4388-acd1-977dd4d921a6</t>
  </si>
  <si>
    <t>Lentejas (colacion personal)</t>
  </si>
  <si>
    <t>ti-ing-0ec3786c-eec8-4a04-af8d-bda30eac5549</t>
  </si>
  <si>
    <t>Levadura seca (Unidad)</t>
  </si>
  <si>
    <t>ti-ing-b41eeb59-c8ac-4580-b11d-bbd7dc537fd3</t>
  </si>
  <si>
    <t>Linaza kg</t>
  </si>
  <si>
    <t>ti-ing-69061f8d-e4d9-4fc4-b44e-0cd173ebf8f3</t>
  </si>
  <si>
    <t>Maicena kg</t>
  </si>
  <si>
    <t>ti-ing-3dba6697-1589-49e0-8e6e-951b48b7d160</t>
  </si>
  <si>
    <t>Mayonesa Hellmans</t>
  </si>
  <si>
    <t>Metabisulfito de sodio</t>
  </si>
  <si>
    <t>Aseo</t>
  </si>
  <si>
    <t>Bebestibles</t>
  </si>
  <si>
    <t>Cafetería</t>
  </si>
  <si>
    <t>Carnes y Aves</t>
  </si>
  <si>
    <t>Desechables</t>
  </si>
  <si>
    <t>Frutas y Verduras</t>
  </si>
  <si>
    <t>Harinas</t>
  </si>
  <si>
    <t>ti-ing-2758a41a-4b82-4e9c-b888-e1e3498bbd24</t>
  </si>
  <si>
    <t>Miel</t>
  </si>
  <si>
    <t>Ovolacteos</t>
  </si>
  <si>
    <t>Pastelería</t>
  </si>
  <si>
    <t>ti-str-e3696e4b-7915-4d18-83e7-077d2c42d9bc,ti-str-eafdd243-ca10-4e67-89d4-50a191eb8e12</t>
  </si>
  <si>
    <t>Principal,Stock Servicio</t>
  </si>
  <si>
    <t>Pescados y Mariscos</t>
  </si>
  <si>
    <t>ti-ing-55acf21a-55c1-406f-a76b-b81347750e20</t>
  </si>
  <si>
    <t>P.Terminados</t>
  </si>
  <si>
    <t>Mostaza</t>
  </si>
  <si>
    <t>Té</t>
  </si>
  <si>
    <t>Valor Neto</t>
  </si>
  <si>
    <t>ti-ing-1a1ad4e7-e7d7-4d58-a706-bfd83210f90b</t>
  </si>
  <si>
    <t>Oregano kg</t>
  </si>
  <si>
    <t>ti-ing-dc13f521-8e90-4186-98aa-e2a49341278b</t>
  </si>
  <si>
    <t>Paprika</t>
  </si>
  <si>
    <t>ti-ing-999c769d-83cf-47ce-8cb8-90e72bf3771e</t>
  </si>
  <si>
    <t>Pasas</t>
  </si>
  <si>
    <t>Pasta aji panca</t>
  </si>
  <si>
    <t>ti-ing-dce3151a-440e-4adc-b6f6-75fb61de8ac6</t>
  </si>
  <si>
    <t>Pimienta</t>
  </si>
  <si>
    <t>ti-ing-5406e51a-e384-417d-9b6d-dfe14303d6be</t>
  </si>
  <si>
    <t>Polvos de Hornear</t>
  </si>
  <si>
    <t>ti-ing-904468d1-7aa3-4ea8-a76b-bb2fb6b316e2</t>
  </si>
  <si>
    <t>Porotos</t>
  </si>
  <si>
    <t>ti-ing-67451d2d-c408-4de8-b583-b73d147b0c3c</t>
  </si>
  <si>
    <t>Porotos verde</t>
  </si>
  <si>
    <t>ti-ing-2d6c0e54-94ef-4df0-a728-f28c834a70d6</t>
  </si>
  <si>
    <t>Pre Mezcla Pan De Pascua (Saco 10 kg)</t>
  </si>
  <si>
    <t>ti-ing-fb27813f-4cd7-443f-8a10-e933adbefc38</t>
  </si>
  <si>
    <t>Puratos desmoldante "PURALIX" (bidon 10 lt)</t>
  </si>
  <si>
    <t>ti-ing-adcc52a1-e0e4-4266-9ae9-20d8c55afb93</t>
  </si>
  <si>
    <t>Puratos granos molde "SOFT GRAIN"</t>
  </si>
  <si>
    <t>ti-ing-d7848686-6931-4ec1-ba2c-64fafb54502c</t>
  </si>
  <si>
    <t>Puratos mejorador hallulla "JOKER"</t>
  </si>
  <si>
    <t>ti-ing-0788472c-969e-4253-a6aa-9419b979f617</t>
  </si>
  <si>
    <t>puratos mejorador marraqueta "TOUPAN" (caja 20 un./400 gr)</t>
  </si>
  <si>
    <t>ti-ing-2c5ed605-f331-4f63-bc96-caf004c9d9f1</t>
  </si>
  <si>
    <t>puratos mejorador molde "TRIM SOFTER" (caja 12un./1kg)</t>
  </si>
  <si>
    <t>Quinua mixta</t>
  </si>
  <si>
    <t>ti-ing-93b9bb76-8e33-404b-b4a2-19bddccf01ff</t>
  </si>
  <si>
    <t>Romero</t>
  </si>
  <si>
    <t>ti-ing-4818468c-bc91-40f7-9fa4-eb19def3bff7</t>
  </si>
  <si>
    <t>Sal fina</t>
  </si>
  <si>
    <t>ti-ing-562ebc87-5bd7-439e-9451-999b88fdd759</t>
  </si>
  <si>
    <t>Salsa De Tomate</t>
  </si>
  <si>
    <t>ti-ing-4f8ac25a-9411-4a59-806f-62cee4c4e0f1</t>
  </si>
  <si>
    <t>Salsa inglesa</t>
  </si>
  <si>
    <t>ti-ing-9f3dba64-3cca-408b-ac1e-45359966da75</t>
  </si>
  <si>
    <t>Salsa Soya</t>
  </si>
  <si>
    <t>ti-ing-7e2cee8d-1717-48ff-96be-290c5aa01461</t>
  </si>
  <si>
    <t>Semilla cilantro</t>
  </si>
  <si>
    <t>ti-ing-f3669215-5eea-4b87-8743-83d65563f01d</t>
  </si>
  <si>
    <t>Semilla De Zapallo kg</t>
  </si>
  <si>
    <t>ti-ing-ee9260f2-296c-423d-bf8d-ee978626dfa5</t>
  </si>
  <si>
    <t>Sesamo Blanco</t>
  </si>
  <si>
    <t>ti-ing-eb1cdfba-1bad-4930-a6f4-b0ad48b55576</t>
  </si>
  <si>
    <t>Sesamo Negro</t>
  </si>
  <si>
    <t>ti-ing-802599df-3955-46c2-9418-b1ef4176ed29</t>
  </si>
  <si>
    <t>STEVIA LIQUIDA</t>
  </si>
  <si>
    <t>un</t>
  </si>
  <si>
    <t>ti-str-e0754139-882f-4237-83fa-744442ed825f,ti-str-e3696e4b-7915-4d18-83e7-077d2c42d9bc</t>
  </si>
  <si>
    <t>Stock Pasteleria,Principal</t>
  </si>
  <si>
    <t>ti-ing-c5dc548f-f0a9-4499-a4b3-23a34458dbfa</t>
  </si>
  <si>
    <t>Te en Bolsa Caja</t>
  </si>
  <si>
    <t>ti-ing-7a052395-bb4e-4c4d-a1cf-c498a5386bb1</t>
  </si>
  <si>
    <t>Tomillo</t>
  </si>
  <si>
    <t>ti-ing-0e85d9bc-d4c4-4362-994b-91915a9dcf13</t>
  </si>
  <si>
    <t>Velas cumpleaños</t>
  </si>
  <si>
    <t>ti-str-e3696e4b-7915-4d18-83e7-077d2c42d9bc</t>
  </si>
  <si>
    <t>ti-ing-b38390e4-8c11-4339-8209-7a310643c3be</t>
  </si>
  <si>
    <t>Vinagre</t>
  </si>
  <si>
    <t>ti-str-e3696e4b-7915-4d18-83e7-077d2c42d9bc,ti-str-eafdd243-ca10-4e67-89d4-50a191eb8e12,ti-str-bbb1d66c-36dd-47af-85d8-583c26959146</t>
  </si>
  <si>
    <t>Principal,Stock Servicio,Stock Cocina</t>
  </si>
  <si>
    <t>ti-ing-f8ffedeb-44d6-400b-bef8-0b9c51a508a0</t>
  </si>
  <si>
    <t>ALCOHOL</t>
  </si>
  <si>
    <t>ti-incat-9950b03a-3598-438f-8e9c-01ca17929681</t>
  </si>
  <si>
    <t>ti-str-e3696e4b-7915-4d18-83e7-077d2c42d9bc,ti-str-e0754139-882f-4237-83fa-744442ed825f,ti-str-eafdd243-ca10-4e67-89d4-50a191eb8e12</t>
  </si>
  <si>
    <t>Principal,Stock Pasteleria,Stock Servicio</t>
  </si>
  <si>
    <t>ti-ing-7607ac26-0154-48c7-a176-272daa456f7a</t>
  </si>
  <si>
    <t>BOLSA BASURA CHICA (un)</t>
  </si>
  <si>
    <t>ti-str-e3696e4b-7915-4d18-83e7-077d2c42d9bc,ti-str-36f261ca-0b74-4d79-8a50-81324d9ac308,ti-str-eafdd243-ca10-4e67-89d4-50a191eb8e12,ti-str-e0754139-882f-4237-83fa-744442ed825f</t>
  </si>
  <si>
    <t>Principal,Stock Panaderia,Stock Servicio,Stock Pasteleria</t>
  </si>
  <si>
    <t>ti-ing-32a0a1de-7d7a-48fa-8701-58015f10f3d8</t>
  </si>
  <si>
    <t>BOLSA BASURA GRANDE (un)</t>
  </si>
  <si>
    <t>Valor Bruto</t>
  </si>
  <si>
    <t>ti-ing-b56c8191-87a4-414c-8649-692ed6f88304</t>
  </si>
  <si>
    <t>BOLSA BASURA MEDIANA (un)</t>
  </si>
  <si>
    <t>ti-str-e3696e4b-7915-4d18-83e7-077d2c42d9bc,ti-str-e0754139-882f-4237-83fa-744442ed825f,ti-str-36f261ca-0b74-4d79-8a50-81324d9ac308,ti-str-eafdd243-ca10-4e67-89d4-50a191eb8e12</t>
  </si>
  <si>
    <t>Principal,Stock Pasteleria,Stock Panaderia,Stock Servicio</t>
  </si>
  <si>
    <t>ti-ing-dbb6ae46-9301-4b24-b966-4b4c02ecbb20</t>
  </si>
  <si>
    <t>Cafiza2</t>
  </si>
  <si>
    <t>ti-ing-addf5a00-64be-48da-80f1-f963e13357c9</t>
  </si>
  <si>
    <t>CLORO 5 LTS</t>
  </si>
  <si>
    <t>ti-ing-04d39eaa-25ae-4aa0-b31a-7ca9c1ec8bc0</t>
  </si>
  <si>
    <t>CLORO GEL</t>
  </si>
  <si>
    <t>ti-str-e3696e4b-7915-4d18-83e7-077d2c42d9bc,ti-str-36f261ca-0b74-4d79-8a50-81324d9ac308,ti-str-eafdd243-ca10-4e67-89d4-50a191eb8e12</t>
  </si>
  <si>
    <t>Principal,Stock Panaderia,Stock Servicio</t>
  </si>
  <si>
    <t>ti-ing-2a9f7a04-ff9b-4634-9f27-edac618856d6</t>
  </si>
  <si>
    <t>DESENGRASANTE 5 lt</t>
  </si>
  <si>
    <t>ti-ing-e0ae8367-512a-46da-9188-edb6aed9ccac</t>
  </si>
  <si>
    <t>ESCOBA</t>
  </si>
  <si>
    <t>ti-str-e3696e4b-7915-4d18-83e7-077d2c42d9bc,ti-str-e0754139-882f-4237-83fa-744442ed825f,ti-str-bbb1d66c-36dd-47af-85d8-583c26959146,ti-str-eafdd243-ca10-4e67-89d4-50a191eb8e12,ti-str-36f261ca-0b74-4d79-8a50-81324d9ac308</t>
  </si>
  <si>
    <t>Principal,Stock Pasteleria,Stock Cocina,Stock Servicio,Stock Panaderia</t>
  </si>
  <si>
    <t>ti-ing-102eb718-4b52-41a7-9529-6a535c4ceb37</t>
  </si>
  <si>
    <t>ESPONJAS AMARILLAS</t>
  </si>
  <si>
    <t>Stock Servicio</t>
  </si>
  <si>
    <t>ti-ing-0c760711-4885-4c8f-b5d5-6615e29d0673</t>
  </si>
  <si>
    <t>GUANTES AMARILLOS L</t>
  </si>
  <si>
    <t>ti-ing-7fc47597-0e5d-46f8-a43c-94faaa1daf88</t>
  </si>
  <si>
    <t>GUANTES AMARILLOS M</t>
  </si>
  <si>
    <t>ti-ing-fefd1f5b-c7c3-4780-83fd-7e625942b766</t>
  </si>
  <si>
    <t>GUANTES AMARILLOS S</t>
  </si>
  <si>
    <t>ti-ing-04fc2068-57ca-42bc-bedb-ceda3e223def</t>
  </si>
  <si>
    <t>Guantes De Látex L</t>
  </si>
  <si>
    <t>ti-ing-3c965e17-4bc3-453d-b74f-c682b54aeade</t>
  </si>
  <si>
    <t>Guantes De Látex M</t>
  </si>
  <si>
    <t>ti-ing-a5847069-c85b-4a57-a415-7cf62066dedc</t>
  </si>
  <si>
    <t>Guantes De Látex S</t>
  </si>
  <si>
    <t>ti-ing-f1845df4-9dd0-4be9-9cda-4e9939c6c9a8</t>
  </si>
  <si>
    <t>JABON BAÑO</t>
  </si>
  <si>
    <t>ti-ing-90438c34-c1c8-455a-8b38-f56ab57f0e76</t>
  </si>
  <si>
    <t>LAVALOZAS</t>
  </si>
  <si>
    <t>ti-str-e3696e4b-7915-4d18-83e7-077d2c42d9bc,ti-str-eafdd243-ca10-4e67-89d4-50a191eb8e12,ti-str-e0754139-882f-4237-83fa-744442ed825f,ti-str-bbb1d66c-36dd-47af-85d8-583c26959146,ti-str-36f261ca-0b74-4d79-8a50-81324d9ac308</t>
  </si>
  <si>
    <t>Principal,Stock Servicio,Stock Pasteleria,Stock Cocina,Stock Panaderia</t>
  </si>
  <si>
    <t>ti-ing-096ebcd5-904f-4e35-9378-181fe59b0c31</t>
  </si>
  <si>
    <t>Limpiador Crema CIF 750g</t>
  </si>
  <si>
    <t>ti-ing-87e4c4d7-978b-4106-9ff1-dda60dd75d70</t>
  </si>
  <si>
    <t>LIMPIAPISOS</t>
  </si>
  <si>
    <t>ti-ing-197c4981-e3d5-425b-b927-86de4c38a9b1</t>
  </si>
  <si>
    <t>LIMPIAVIDRIOS</t>
  </si>
  <si>
    <t>ti-ing-9fcf899e-b43f-49a0-bfca-d4ca3181f761</t>
  </si>
  <si>
    <t>LUSTRAMUEBLES</t>
  </si>
  <si>
    <t>ti-ing-af8029ba-0f08-420d-ae31-6cf6502d2e32</t>
  </si>
  <si>
    <t>Lysoform</t>
  </si>
  <si>
    <t>ti-ing-64301c86-8657-4a60-9738-54b3f81ead5a</t>
  </si>
  <si>
    <t>MALLAS DE PELO (100un)</t>
  </si>
  <si>
    <t>ti-ing-242bf6e9-d5c5-47e7-8f0a-88f3cbbcc3af</t>
  </si>
  <si>
    <t>Mascarillas</t>
  </si>
  <si>
    <t>ti-ing-313073f4-b1b1-442d-b077-951f3ce67b06</t>
  </si>
  <si>
    <t>NOVA Unidad</t>
  </si>
  <si>
    <t>ti-ing-f2a85135-486f-455a-9223-1092ccd4e7cd</t>
  </si>
  <si>
    <t>PALA</t>
  </si>
  <si>
    <t>ti-ing-a496bcbe-0906-4bd7-90be-10085697981e</t>
  </si>
  <si>
    <t>Paño microfibra</t>
  </si>
  <si>
    <t>ti-str-e3696e4b-7915-4d18-83e7-077d2c42d9bc,ti-str-eafdd243-ca10-4e67-89d4-50a191eb8e12,ti-str-36f261ca-0b74-4d79-8a50-81324d9ac308,ti-str-bbb1d66c-36dd-47af-85d8-583c26959146,ti-str-e0754139-882f-4237-83fa-744442ed825f</t>
  </si>
  <si>
    <t>Principal,Stock Servicio,Stock Panaderia,Stock Cocina,Stock Pasteleria</t>
  </si>
  <si>
    <t>ti-ing-71ad4a79-597d-4cd3-85f8-8c113261d29e</t>
  </si>
  <si>
    <t>PAÑOS AMARILLOS</t>
  </si>
  <si>
    <t>ti-str-e0754139-882f-4237-83fa-744442ed825f,ti-str-36f261ca-0b74-4d79-8a50-81324d9ac308,ti-str-e3696e4b-7915-4d18-83e7-077d2c42d9bc,ti-str-bbb1d66c-36dd-47af-85d8-583c26959146,ti-str-eafdd243-ca10-4e67-89d4-50a191eb8e12</t>
  </si>
  <si>
    <t>Stock Pasteleria,Stock Panaderia,Principal,Stock Cocina,Stock Servicio</t>
  </si>
  <si>
    <t>ti-ing-adaa762a-98c1-4bd8-8d7f-d256999a6d54</t>
  </si>
  <si>
    <t>PAPEL HIGUIENICO UN</t>
  </si>
  <si>
    <t>ti-ing-f9770958-721b-4e86-963c-bb85b123a83c</t>
  </si>
  <si>
    <t>Pastilla para estanque</t>
  </si>
  <si>
    <t>ti-ing-02407d3a-e36e-410d-8c91-3e98a395ccac</t>
  </si>
  <si>
    <t>Rinza</t>
  </si>
  <si>
    <t>ti-ing-dcad707d-6012-450f-8e1d-b50e4ae44b10</t>
  </si>
  <si>
    <t>TRAPOS BLANCOS</t>
  </si>
  <si>
    <t>ti-ing-46619eaa-21aa-41d5-931f-97aa9149b051</t>
  </si>
  <si>
    <t>VIRUTILLA VERDE</t>
  </si>
  <si>
    <t>ti-str-e3696e4b-7915-4d18-83e7-077d2c42d9bc,ti-str-bbb1d66c-36dd-47af-85d8-583c26959146,ti-str-36f261ca-0b74-4d79-8a50-81324d9ac308,ti-str-e0754139-882f-4237-83fa-744442ed825f,ti-str-eafdd243-ca10-4e67-89d4-50a191eb8e12</t>
  </si>
  <si>
    <t>Principal,Stock Cocina,Stock Panaderia,Stock Pasteleria,Stock Servicio</t>
  </si>
  <si>
    <t>ti-ing-753e3546-8e8c-4c1c-b8c0-f410cb9fac7d</t>
  </si>
  <si>
    <t>Agua con Gas 600 ml</t>
  </si>
  <si>
    <t>ti-incat-273410a5-2a0b-4153-8b12-0d0e5d529167</t>
  </si>
  <si>
    <t>ti-ing-2d554590-6987-4ebd-8f36-2eaade59201c</t>
  </si>
  <si>
    <t>Agua sin Gas 600 ml</t>
  </si>
  <si>
    <t>ti-ing-b9e9057f-7448-4457-a7b8-715a2ff5c4ee</t>
  </si>
  <si>
    <t>Bebida Power</t>
  </si>
  <si>
    <t>ti-ing-e732c346-01d8-4dfd-8ca6-ff14510c0bd5</t>
  </si>
  <si>
    <t>Coca cola 350 cc</t>
  </si>
  <si>
    <t>ti-ing-a56c141e-abc8-443a-8266-32d58d78d40c</t>
  </si>
  <si>
    <t>Coca cola zero 350 cc</t>
  </si>
  <si>
    <t>ti-ing-05138604-76c8-4821-a2f2-16c160cd1a38</t>
  </si>
  <si>
    <t>Despacho</t>
  </si>
  <si>
    <t>ti-str-e3696e4b-7915-4d18-83e7-077d2c42d9bc,ti-str-e0754139-882f-4237-83fa-744442ed825f</t>
  </si>
  <si>
    <t>Principal,Stock Pasteleria</t>
  </si>
  <si>
    <t>ti-ing-5b9f998a-671c-474e-88c0-d5e3e2078b8c</t>
  </si>
  <si>
    <t>Fanta 350 cc</t>
  </si>
  <si>
    <t>iva_19,iva_18</t>
  </si>
  <si>
    <t>ti-ing-42b01feb-e855-4f88-acf1-66c2f819bf59</t>
  </si>
  <si>
    <t>Hielo cubos</t>
  </si>
  <si>
    <t>ti-ing-131bfafa-178d-452c-9100-f87e34267a2f</t>
  </si>
  <si>
    <t>Hielo frappe</t>
  </si>
  <si>
    <t>ti-ing-08c36c8f-3d68-4d44-9e13-1657c4d9b90b</t>
  </si>
  <si>
    <t>PE PORCION JUGO CHIRIMOYA (EXTRA)</t>
  </si>
  <si>
    <t>ti-str-eafdd243-ca10-4e67-89d4-50a191eb8e12</t>
  </si>
  <si>
    <t>ti-ing-4583d79a-dadd-4a88-bb28-d3a8be5b5250</t>
  </si>
  <si>
    <t>PE PORCION JUGO FRAMBUESA (EXTRA)</t>
  </si>
  <si>
    <t>ti-ing-5c9566ac-4078-4562-a0a9-7e7d97607df1</t>
  </si>
  <si>
    <t>PE PORCION JUGO FRUTILLA (EXTRA)</t>
  </si>
  <si>
    <t>ti-ing-56e58a2b-7a4a-4ef8-8144-55c565857b78</t>
  </si>
  <si>
    <t>PE PORCION JUGO MANGO (EXTRA)</t>
  </si>
  <si>
    <t>ti-ing-5f2ea799-9832-4a2f-a15b-8d69a2a3faae</t>
  </si>
  <si>
    <t>PE PORCION JUGO MARACUYA (EXTRA)</t>
  </si>
  <si>
    <t>ti-ing-7c21654a-bcfa-46bc-a077-bd6a00b453c5</t>
  </si>
  <si>
    <t>PE PORCION JUGO MELON (EXTRA)</t>
  </si>
  <si>
    <t>ti-ing-f42d7ef4-1119-47d6-bfe4-33caeace0e4c</t>
  </si>
  <si>
    <t>PE PORCION JUGO PIÑA (EXTRA)</t>
  </si>
  <si>
    <t>ti-ing-df343f29-7af3-4b51-8f4b-503bba75c5c6</t>
  </si>
  <si>
    <t>PE pulpa frambuesa mix</t>
  </si>
  <si>
    <t>ti-ing-0fca9086-98f2-4171-92bd-66b245acee2c</t>
  </si>
  <si>
    <t>PE pulpa frutilla mix</t>
  </si>
  <si>
    <t>ti-ing-177ceabf-271a-400b-97bf-bba4e34859a7</t>
  </si>
  <si>
    <t>PE pulpa mango mix</t>
  </si>
  <si>
    <t>Primaveral</t>
  </si>
  <si>
    <t>ti-ing-27365f0e-3bbd-48de-bc63-541a722a9716</t>
  </si>
  <si>
    <t>Pulpa Chirimoya</t>
  </si>
  <si>
    <t>ti-ing-c61601c6-808a-4073-be84-3536b4f328af</t>
  </si>
  <si>
    <t>Pulpa Frambuesa</t>
  </si>
  <si>
    <t>ti-ing-0a6dd713-e7a7-4872-af86-42c45add6bdf</t>
  </si>
  <si>
    <t>Pulpa Frutilla</t>
  </si>
  <si>
    <t>ti-ing-cfdaf79a-6246-42a9-afab-7cba8ae515ca</t>
  </si>
  <si>
    <t>Pulpa Mango</t>
  </si>
  <si>
    <t>ti-ing-9d873397-e256-4684-ace9-5de471cf4acc</t>
  </si>
  <si>
    <t>Pulpa Maracuya C/Pepas</t>
  </si>
  <si>
    <t>ti-ing-836eb301-0b64-45eb-89be-be872a9297e4</t>
  </si>
  <si>
    <t>Pulpa Maracuya S/Pepas</t>
  </si>
  <si>
    <t>ti-ing-f5eb30b4-794d-42f5-a2dd-41746ad30690</t>
  </si>
  <si>
    <t>Pulpa Melon</t>
  </si>
  <si>
    <t>ti-ing-f5eb30b4-794d-42f5-a2dd-41746ad30691</t>
  </si>
  <si>
    <t>Pulpa naranja</t>
  </si>
  <si>
    <t>ti-ing-05169dad-82a2-4ad5-abca-f8039dfa9275</t>
  </si>
  <si>
    <t>Pulpa Piña</t>
  </si>
  <si>
    <t>ti-ing-17dc3026-6b74-4df3-a8d6-9e28e708f104</t>
  </si>
  <si>
    <t>Sprite 350 cc</t>
  </si>
  <si>
    <t>ti-ing-925cd36a-a250-4073-9075-f890c840ff54</t>
  </si>
  <si>
    <t>Sprite Zero 350 cc</t>
  </si>
  <si>
    <t>ti-ing-f76fed7a-9b00-4997-8f9e-73bd5e249be8</t>
  </si>
  <si>
    <t>Café Descafeinado 504 (caja)</t>
  </si>
  <si>
    <t>ti-ing-7999dd71-66f3-480c-ac93-ff256e0b1f76</t>
  </si>
  <si>
    <t>Café grano 1k</t>
  </si>
  <si>
    <t>ti-ing-73128f7c-be42-49de-8aba-c9a9a60678a0</t>
  </si>
  <si>
    <t>Chai En Polvo 504 (bolsa 1,8 kg)</t>
  </si>
  <si>
    <t>ti-ing-b9b128e7-f3d3-420f-8ded-36abfbbf64c9</t>
  </si>
  <si>
    <t>Chocolate en polvo 504 (bolsa 2 kg)</t>
  </si>
  <si>
    <t>ti-ing-60b67dd6-c83d-47fb-ac43-4a397918a54a</t>
  </si>
  <si>
    <t>Chocolate Liquido</t>
  </si>
  <si>
    <t>ti-ing-7d8d02af-ef1d-4855-8b49-db888802881d</t>
  </si>
  <si>
    <t>Mashmellows</t>
  </si>
  <si>
    <t>Matcha</t>
  </si>
  <si>
    <t>Metilcelulosa</t>
  </si>
  <si>
    <t>ti-ing-63ac2eac-77a4-4a08-942d-2708cdee1af2</t>
  </si>
  <si>
    <t>Syrup Esencia Amaretto 504 (750cc)</t>
  </si>
  <si>
    <t>ti-ing-c849733f-e001-48f8-93bc-ba7bae902493</t>
  </si>
  <si>
    <t>Syrup Esencia Avellana 504 (750cc)</t>
  </si>
  <si>
    <t>ti-ing-5a1c804e-222c-4669-a220-bc3d876665b0</t>
  </si>
  <si>
    <t>Syrup Esencia Canela 504 (750cc)</t>
  </si>
  <si>
    <t>ti-ing-2afee1a4-7742-432e-9582-e7f1946d3437</t>
  </si>
  <si>
    <t>Syrup Esencia Caramelo 504 (750cc)</t>
  </si>
  <si>
    <t>ti-ing-19d34ff0-8607-4466-898f-87c0df45d86b</t>
  </si>
  <si>
    <t>Syrup Esencia Chai 504 (750cc)</t>
  </si>
  <si>
    <t>ti-ing-6e43ce5e-9ab8-48be-8833-ad92e26a4c39</t>
  </si>
  <si>
    <t>Syrup Esencia coco 504 (750cc)</t>
  </si>
  <si>
    <t>ti-ing-b0ff34ea-0e7e-455b-90d0-99c07f16b527</t>
  </si>
  <si>
    <t>Syrup Esencia Menta 504 (750cc)</t>
  </si>
  <si>
    <t>ti-ing-6e0beb61-027c-4b38-9367-426237c4b1f2</t>
  </si>
  <si>
    <t>Syrup Esencia Vainilla 504 (750cc)</t>
  </si>
  <si>
    <t>Asado carnicero</t>
  </si>
  <si>
    <t>ti-incat-6abdda1d-9573-494b-8461-4f87db108819</t>
  </si>
  <si>
    <t>ti-ing-d1d9b75c-fbe2-43ab-ae2b-b16de0e4d23a</t>
  </si>
  <si>
    <t>Carne Molida kg</t>
  </si>
  <si>
    <t xml:space="preserve">Chuleta Centro </t>
  </si>
  <si>
    <t>ti-ing-f9071122-333f-445e-9d6e-66ae8844a033</t>
  </si>
  <si>
    <t>Jamon Ahumado kg</t>
  </si>
  <si>
    <t>ti-str-bbb1d66c-36dd-47af-85d8-583c26959146,ti-str-36f261ca-0b74-4d79-8a50-81324d9ac308</t>
  </si>
  <si>
    <t>Stock Cocina,Stock Panaderia</t>
  </si>
  <si>
    <t>ti-ing-f12b69a3-01b2-4d5d-927c-4e59d4a08da4</t>
  </si>
  <si>
    <t>Jamon Serrano kg</t>
  </si>
  <si>
    <t>ti-ing-af8e0711-251d-46dc-a4b4-52572c7d1a82</t>
  </si>
  <si>
    <t>Mortadela Artesanal</t>
  </si>
  <si>
    <t>ti-ing-870258ef-47ee-433f-97eb-0d71c0a61a73</t>
  </si>
  <si>
    <t>Pollo Ganso (caja 20 kg)</t>
  </si>
  <si>
    <t>ti-ing-1e2c5389-4e8e-48cb-b2d1-086e93d588b5</t>
  </si>
  <si>
    <t>Pollo pechuga deshuesada (caja 20 kg)</t>
  </si>
  <si>
    <t>ti-ing-9295c12c-83e9-4b4d-8fdf-d0e254d5f19c</t>
  </si>
  <si>
    <t>Pulpa Cerdo</t>
  </si>
  <si>
    <t>ti-ing-1ac2f275-c7c0-4e86-969d-20c2546692b7</t>
  </si>
  <si>
    <t>Salame kg</t>
  </si>
  <si>
    <t>ti-ing-4307c859-5883-4ead-8fa8-72399922dd2d</t>
  </si>
  <si>
    <t>Salchicha kg</t>
  </si>
  <si>
    <t>ti-ing-2ed3ba0f-4530-4e48-8b65-f0e572390377</t>
  </si>
  <si>
    <t>TAPAPECHO</t>
  </si>
  <si>
    <t>ti-ing-655db34a-bc6b-4602-ad22-18ea2ca5b14b</t>
  </si>
  <si>
    <t>Tocino kg</t>
  </si>
  <si>
    <t>ti-ing-834ee9ca-3693-495d-80c7-1cfacd41d82f</t>
  </si>
  <si>
    <t>Trutro pollo</t>
  </si>
  <si>
    <t>ti-ing-46ed98ef-6287-4308-b02f-a48c61750f5f</t>
  </si>
  <si>
    <t>ACETATO</t>
  </si>
  <si>
    <t>ti-incat-f430a724-f2e1-4d83-b7ed-f6db2cbad230</t>
  </si>
  <si>
    <t>ti-ing-73f124ed-8131-43ba-8640-d0cb789b4e9e</t>
  </si>
  <si>
    <t>Balines para sifon BestWhip</t>
  </si>
  <si>
    <t>ti-ing-505df4ad-6b27-4623-b751-cef96371da79</t>
  </si>
  <si>
    <t>Bandeja rectangular n4 carton empanadas</t>
  </si>
  <si>
    <t>Bolsa celofán 20x30 pan pita</t>
  </si>
  <si>
    <t>ti-ing-6fba2ae8-07f5-46a5-bd35-56052fcc4490</t>
  </si>
  <si>
    <t>Bolsa Celofan 25x35 galletas</t>
  </si>
  <si>
    <t>ti-ing-06cc5946-5a66-4bb1-8e44-b121dcb48ae3</t>
  </si>
  <si>
    <t>Bolsa Celofan 25x40 queque</t>
  </si>
  <si>
    <t>ti-ing-8519b2d3-e77a-4133-a7ab-8a7b894d282e</t>
  </si>
  <si>
    <t>Bolsa Celofan 35X28 pan hamburguesa</t>
  </si>
  <si>
    <t>ti-ing-2271cf72-6c56-4026-9063-c17ad7b52106</t>
  </si>
  <si>
    <t>Bolsa Celofan 40x30 pan mesa</t>
  </si>
  <si>
    <t>ti-ing-364ff0c9-e139-4020-bd12-d99eae1a49cd</t>
  </si>
  <si>
    <t>Bolsa Celofan 8x20 cubiertos</t>
  </si>
  <si>
    <t>ti-ing-0a9a223c-91cc-4925-ac2b-84da066635ff</t>
  </si>
  <si>
    <t>Bolsa celofan c/fondo 12x30x8</t>
  </si>
  <si>
    <t>ti-ing-8301d424-ba41-4d4d-b782-078e297be889</t>
  </si>
  <si>
    <t>Bolsa celofan c/fondo 7x25x5</t>
  </si>
  <si>
    <t>ti-ing-87d71194-0848-4d96-bf1e-88911a7b1aca</t>
  </si>
  <si>
    <t>Bolsa De Te Vacia</t>
  </si>
  <si>
    <t>ti-ing-022d8136-e142-4e65-9ece-9de98d9f28b4</t>
  </si>
  <si>
    <t>BOLSA KRAFT CON TROQUEL 28X28X15 (1X500)</t>
  </si>
  <si>
    <t>ti-ing-171a7412-fad1-4c6f-b2ed-c117f284a505</t>
  </si>
  <si>
    <t>BOLSA KRAFT CON TROQUEL 32X32X18 (1X200)</t>
  </si>
  <si>
    <t>ti-ing-1189ed45-76f6-42fd-938b-e7dc8ccedf39</t>
  </si>
  <si>
    <t>Bolsa Transparente de Pan (80x40)  10k</t>
  </si>
  <si>
    <t>ti-ing-3f369fe5-7a8e-404f-b4c8-6069d9081623</t>
  </si>
  <si>
    <t>BOLSAS PORCIONADORAS DE PULPA (5 kilos)</t>
  </si>
  <si>
    <t>ti-ing-657d0c90-aee6-466b-953a-6144f3a6e8dd</t>
  </si>
  <si>
    <t>BOMBILLAS (Unidad)</t>
  </si>
  <si>
    <t>ti-ing-b9b61920-3597-4e41-bbb7-aad976c547a5</t>
  </si>
  <si>
    <t>BOWL KRAFT 1300</t>
  </si>
  <si>
    <t>ti-ing-01eec81f-3fe0-4eca-a163-8d3156ad741d</t>
  </si>
  <si>
    <t>CAJA BRIOCHE CHICA</t>
  </si>
  <si>
    <t>ti-ing-d9da31d0-599b-48e8-a865-3cb8fc8a6e21</t>
  </si>
  <si>
    <t>CAJA BRIOCHE GRANDE</t>
  </si>
  <si>
    <t>ti-ing-20772dc7-71d7-4506-83d8-e29aa061ce6f</t>
  </si>
  <si>
    <t>Caja con ventana 1200B para galletas</t>
  </si>
  <si>
    <t>ti-ing-6eba202e-1eac-456e-ae14-eb2a0b197d41</t>
  </si>
  <si>
    <t>caja kraff con ventana gde</t>
  </si>
  <si>
    <t>ti-ing-9913b822-0840-4014-8881-2aba5a10c9f4</t>
  </si>
  <si>
    <t>CAJA KRAFT CON VENTANA CHICA (Caja 200 Un)</t>
  </si>
  <si>
    <t>Cofia tipo monja</t>
  </si>
  <si>
    <t>ti-incat-f430a724-f2e1-4d83-b7ed-f6db2cbad231</t>
  </si>
  <si>
    <t>ti-ing-68e6ad9d-c495-4a8e-9a14-9e4341f7e996</t>
  </si>
  <si>
    <t>Contenedor de aluminio c-18</t>
  </si>
  <si>
    <t>cubre barba</t>
  </si>
  <si>
    <t>ti-str-e3696e4b-7915-4d18-83e7-077d2c42d9bc,ti-str-bbb1d66c-36dd-47af-85d8-583c26959147</t>
  </si>
  <si>
    <t>iva_20</t>
  </si>
  <si>
    <t>ti-ing-6de3399c-b35b-4eb5-ae73-cad819723851</t>
  </si>
  <si>
    <t>Cubre calzado (100un)</t>
  </si>
  <si>
    <t>ti-ing-33ce059a-0358-462e-ab2f-e4e2e34cdd8f</t>
  </si>
  <si>
    <t>Cupula 20x12x10</t>
  </si>
  <si>
    <t>ti-ing-079ee413-db86-4e4b-881a-4dc4a49fef4c</t>
  </si>
  <si>
    <t>ENVASE PET- 7189 TORTA INDIVIDUAL</t>
  </si>
  <si>
    <t>ti-ing-1e31b41d-8d6d-4008-a086-04a8bfc838c0</t>
  </si>
  <si>
    <t>Gas Propano</t>
  </si>
  <si>
    <t>ti-ing-17b3be36-797d-4692-b29b-81b4fc773b2d</t>
  </si>
  <si>
    <t>Grifa Alambre (Paquete)</t>
  </si>
  <si>
    <t>ti-str-e3696e4b-7915-4d18-83e7-077d2c42d9bc,ti-str-eafdd243-ca10-4e67-89d4-50a191eb8e12,ti-str-36f261ca-0b74-4d79-8a50-81324d9ac308</t>
  </si>
  <si>
    <t>Principal,Stock Servicio,Stock Panaderia</t>
  </si>
  <si>
    <t>ti-ing-fc936293-d5ea-43d7-81e9-6e8ead151cfa</t>
  </si>
  <si>
    <t>Guante bodeguero</t>
  </si>
  <si>
    <t>ti-ing-ebcd4938-8c02-4365-b344-a77d847cf9f3</t>
  </si>
  <si>
    <t>MOLDE PAPEL QUEQUE GRANDE</t>
  </si>
  <si>
    <t>ti-ing-0ebe9668-e620-4524-bc27-1ead811621ea</t>
  </si>
  <si>
    <t>PALITOS PARA REVOLVER CAFÉ</t>
  </si>
  <si>
    <t>ti-ing-e49e641d-6d0e-4558-a4a7-a4bc64ba0cae</t>
  </si>
  <si>
    <t>PAPEL ALUSA ROLLOS CHICOS</t>
  </si>
  <si>
    <t>ti-ing-b903c949-8881-4242-8b4f-c5768b2e23ce</t>
  </si>
  <si>
    <t>Papel anti grasa con dibujo 29x42</t>
  </si>
  <si>
    <t>ti-str-e3696e4b-7915-4d18-83e7-077d2c42d9bc,ti-str-e0754139-882f-4237-83fa-744442ed825f,ti-str-eafdd243-ca10-4e67-89d4-50a191eb8e12,ti-str-36f261ca-0b74-4d79-8a50-81324d9ac308</t>
  </si>
  <si>
    <t>Principal,Stock Pasteleria,Stock Servicio,Stock Panaderia</t>
  </si>
  <si>
    <t>ti-ing-6d0a205b-09d6-4293-a78a-afa0159d1bec</t>
  </si>
  <si>
    <t>Pet H-88 SERVICIO</t>
  </si>
  <si>
    <t>ti-ing-e90893a4-34b0-4961-9f16-e5dc5dc142a3</t>
  </si>
  <si>
    <t>POCILLO ADEREZO CON TAPA</t>
  </si>
  <si>
    <t>ti-ing-4d4be619-35ec-4060-90b0-c67bee277466</t>
  </si>
  <si>
    <t>PORTA TORTA ENTERA</t>
  </si>
  <si>
    <t>ti-ing-a89c739b-c97d-4aa3-a802-4d102ddd6fcd</t>
  </si>
  <si>
    <t>PORTA VASOS CARTON (1x400) (DELIVERY)</t>
  </si>
  <si>
    <t>ti-ing-37f85cc6-1f52-4599-9741-852d98246e09</t>
  </si>
  <si>
    <t>Rollo etiquetas fechera</t>
  </si>
  <si>
    <t>ti-ing-a2ff1857-13be-46c5-8a38-b1004f73f14b</t>
  </si>
  <si>
    <t>Rollo film pvc 45cm 1400m</t>
  </si>
  <si>
    <t>ti-str-e3696e4b-7915-4d18-83e7-077d2c42d9bc,ti-str-e0754139-882f-4237-83fa-744442ed825f,ti-str-36f261ca-0b74-4d79-8a50-81324d9ac308,ti-str-bbb1d66c-36dd-47af-85d8-583c26959146</t>
  </si>
  <si>
    <t>Principal,Stock Pasteleria,Stock Panaderia,Stock Cocina</t>
  </si>
  <si>
    <t>ti-ing-3f1e707d-7f58-4b61-ada7-84d3d7bd168c</t>
  </si>
  <si>
    <t>Rollo papel mantequilla 40cm x 230m</t>
  </si>
  <si>
    <t>ti-ing-1110c5d7-8954-4527-b0c0-b9b1acd365b9</t>
  </si>
  <si>
    <t>Rollo termico terminal de pagos getnet</t>
  </si>
  <si>
    <t>ti-ing-2b14e6ff-8b0e-4ff0-a453-30a8f6c3fa87</t>
  </si>
  <si>
    <t>ROLLOS DE IMPRESORA GRANDE</t>
  </si>
  <si>
    <t>ti-ing-7d497947-0049-4564-85e1-0955bf6ed17b</t>
  </si>
  <si>
    <t>SACHET AZUCAR (1000un Caja)</t>
  </si>
  <si>
    <t>ti-ing-081763ad-38c2-44b7-a994-e25dfb7024b6</t>
  </si>
  <si>
    <t>SACHET AZUCAR MORENA (000un Caja)</t>
  </si>
  <si>
    <t>ti-ing-b833aefa-aae9-439d-b12b-9b22db071743</t>
  </si>
  <si>
    <t>Sachet De Aceite (300un Caja)</t>
  </si>
  <si>
    <t>ti-ing-da46b29f-80e6-4d7b-b347-3568a10b3d7d</t>
  </si>
  <si>
    <t>SACHET ENDULZANTE (1000unCaja)</t>
  </si>
  <si>
    <t>ti-ing-40eede5f-fb08-441c-a3e8-ffe725776bf9</t>
  </si>
  <si>
    <t>SACHET SAL (2000un Caja)</t>
  </si>
  <si>
    <t>ti-ing-ef7db192-d75b-4caf-9b64-4071ac937fdd</t>
  </si>
  <si>
    <t>Sachet Stevia (1000un caj)</t>
  </si>
  <si>
    <t>ti-ing-d8901493-508c-4c40-81e4-bdb1f54453c9</t>
  </si>
  <si>
    <t>Saco cafe T-200</t>
  </si>
  <si>
    <t>ti-ing-c288eac1-1799-4159-b7f8-9715a4a51bb5</t>
  </si>
  <si>
    <t>SACO CAFE T-400</t>
  </si>
  <si>
    <t>ti-ing-adbdb3a6-fa6e-4cc0-b438-e716257e73a5</t>
  </si>
  <si>
    <t>SACO CAFE T-700</t>
  </si>
  <si>
    <t>ti-ing-9b7809aa-5c0b-4799-8fde-5d6680df5688</t>
  </si>
  <si>
    <t>SERVILLETA CHICA (200un Paquete)</t>
  </si>
  <si>
    <t>ti-ing-8a33946c-a301-4d70-8e6f-5bf08aab1505</t>
  </si>
  <si>
    <t>SERVILLETA GRANDE (100un Paquete)</t>
  </si>
  <si>
    <t>ti-ing-ae70d1d0-3e81-4033-827e-cc81fd286fb6</t>
  </si>
  <si>
    <t>Sticker bolsa chica</t>
  </si>
  <si>
    <t>ti-ing-7b618b85-cf7f-482e-86dc-8ecc8319d881</t>
  </si>
  <si>
    <t>Sticker bolsa grande</t>
  </si>
  <si>
    <t>ti-ing-cb13ff9f-f104-46cf-bfb3-3141bb91157a</t>
  </si>
  <si>
    <t>Sticker caja de galletas</t>
  </si>
  <si>
    <t>ti-ing-8b497250-1389-4cde-a0b7-772d4319ff48</t>
  </si>
  <si>
    <t>Sticker caja de regalo</t>
  </si>
  <si>
    <t>ti-ing-cd658cee-a117-438a-b569-785a9aae27da</t>
  </si>
  <si>
    <t>Sticker La Brioche</t>
  </si>
  <si>
    <t>ti-str-e3696e4b-7915-4d18-83e7-077d2c42d9bc,ti-str-eafdd243-ca10-4e67-89d4-50a191eb8e12,ti-str-36f261ca-0b74-4d79-8a50-81324d9ac308,ti-str-e0754139-882f-4237-83fa-744442ed825f</t>
  </si>
  <si>
    <t>Principal,Stock Servicio,Stock Panaderia,Stock Pasteleria</t>
  </si>
  <si>
    <t>ti-ing-eb406216-ee42-4fa1-82a6-91d3d62b5e79</t>
  </si>
  <si>
    <t>TAPA BOWL 1300 (1X300)</t>
  </si>
  <si>
    <t>ti-ing-5f615c7e-0ecf-4925-aeb1-a3e1d6b038f0</t>
  </si>
  <si>
    <t>Tapa C-18 Transparente</t>
  </si>
  <si>
    <t>ti-str-e3696e4b-7915-4d18-83e7-077d2c42d9bc,ti-str-bbb1d66c-36dd-47af-85d8-583c26959146,ti-str-eafdd243-ca10-4e67-89d4-50a191eb8e12</t>
  </si>
  <si>
    <t>Principal,Stock Cocina,Stock Servicio</t>
  </si>
  <si>
    <t>ti-ing-56f980b3-a0b2-4681-914f-f242858e5aa4</t>
  </si>
  <si>
    <t>TAPA VASO KRAFT DE CAFÉ CHICO 8 OZ (10x100)</t>
  </si>
  <si>
    <t>ti-ing-e8e97ffd-d4fd-4a88-93d3-f1c9f42d2c70</t>
  </si>
  <si>
    <t>TAPA VASO KRAFT DE CAFÉ GRANDE 12/16 OZ (20x50)</t>
  </si>
  <si>
    <t>ti-ing-4ef4c0d1-5801-4432-9578-bf67189095c6</t>
  </si>
  <si>
    <t>Tapa vaso plastico transparente La Brioche 16oz</t>
  </si>
  <si>
    <t>ti-ing-63ee691c-d1fd-446f-a76e-39a17a192cfa</t>
  </si>
  <si>
    <t>Totebag La Brioche</t>
  </si>
  <si>
    <t>ti-ing-6c67fad1-c0b0-4cc1-bcb5-6616cf9ccdef</t>
  </si>
  <si>
    <t>Vaso plastico transparente La Brioche 16oz</t>
  </si>
  <si>
    <t>ti-ing-38e4a287-f7f0-411b-9aa4-66ed9f4d8879</t>
  </si>
  <si>
    <t>Vaso polipapel kraft 8z</t>
  </si>
  <si>
    <t>ti-ing-9c508a36-0dc3-4234-bfbf-60c7c204139e</t>
  </si>
  <si>
    <t>VASOS</t>
  </si>
  <si>
    <t>ti-ing-4ac19bcb-9eb8-4168-b767-1332c4025e39</t>
  </si>
  <si>
    <t>VASOS 350 CC PLASTICO (1x2800)</t>
  </si>
  <si>
    <t>ti-ing-1b068b5c-8486-48c1-95a7-c503be908e2f</t>
  </si>
  <si>
    <t>VASOS KRAFT LA BRIOCHE CHICO 8 OZ (20X50)</t>
  </si>
  <si>
    <t>ti-ing-810c6e51-cf5b-4857-a53b-6b277d684b42</t>
  </si>
  <si>
    <t>VASOS KRAFT LA BRIOCHE MEDIANO 12 OZ (50X20)</t>
  </si>
  <si>
    <t>Tenedor madera</t>
  </si>
  <si>
    <t>Cuchillo madera</t>
  </si>
  <si>
    <t>Cuchara madera</t>
  </si>
  <si>
    <t>ti-ing-233278b8-9ec1-48e3-8a3d-db6dba717065</t>
  </si>
  <si>
    <t>AJI AMARILLO</t>
  </si>
  <si>
    <t>ti-incat-059152a4-f00d-41df-8e9b-ff0984d0cde2</t>
  </si>
  <si>
    <t>ti-ing-1d7a4c6f-2a94-4486-83b4-9301b1485aef</t>
  </si>
  <si>
    <t>Ajo kg</t>
  </si>
  <si>
    <t>ti-ing-75919a0c-e656-46fd-8004-3b3ce3e6a162</t>
  </si>
  <si>
    <t>Albahaca unidad</t>
  </si>
  <si>
    <t>ti-ing-99fb5592-f8d7-417f-8119-da2a8d2ceb5e</t>
  </si>
  <si>
    <t>Apio (Unidad)</t>
  </si>
  <si>
    <t>ti-ing-af032640-2aa9-4ce8-b812-3a7a785ecda4</t>
  </si>
  <si>
    <t>Arverja</t>
  </si>
  <si>
    <t>ti-ing-ac84c264-48fe-4167-8c4d-d08a41b6535c</t>
  </si>
  <si>
    <t>BETERRAGA</t>
  </si>
  <si>
    <t>ti-ing-ad6024d2-c043-487e-b6e3-9c6cd30c1357</t>
  </si>
  <si>
    <t>Brocoli kg</t>
  </si>
  <si>
    <t>ti-ing-71dbf12a-c470-4029-b17a-b98f5f165e0c</t>
  </si>
  <si>
    <t>Cebolla blanca (malla)20K</t>
  </si>
  <si>
    <t>ti-ing-b5b09e3f-e0c7-4af4-a2ce-a8d91e01cee7</t>
  </si>
  <si>
    <t>Cebolla morada kg</t>
  </si>
  <si>
    <t>ti-ing-017224a3-3b18-44f7-ae5d-3a1b32df6352</t>
  </si>
  <si>
    <t>CEBOLLIN</t>
  </si>
  <si>
    <t>ti-ing-1ecc2f42-d216-410a-a377-c5d2582697ee</t>
  </si>
  <si>
    <t>Champiñones kg</t>
  </si>
  <si>
    <t>ti-ing-bed7973b-9532-4b5a-a24b-c76cd3ec36aa</t>
  </si>
  <si>
    <t xml:space="preserve">Choclo pasta </t>
  </si>
  <si>
    <t>ti-ing-a021b4e5-e9a7-453b-a0de-e4adc29277b0</t>
  </si>
  <si>
    <t xml:space="preserve">Choclo Picado </t>
  </si>
  <si>
    <t>ti-ing-8c29d18e-9e5c-4200-a46a-8c0a739ac694</t>
  </si>
  <si>
    <t>Choclo un</t>
  </si>
  <si>
    <t>ti-ing-1c153d40-1847-4176-98eb-158c12c1b4ce</t>
  </si>
  <si>
    <t>Cilantro</t>
  </si>
  <si>
    <t>ti-ing-223edded-4746-4eeb-adba-6396efcf98a1</t>
  </si>
  <si>
    <t>Espinaca</t>
  </si>
  <si>
    <t>ti-ing-b505ceae-6021-4652-a617-603008378183</t>
  </si>
  <si>
    <t>Fruta congelada Arandano</t>
  </si>
  <si>
    <t>ti-ing-d749a7c1-eed0-4911-befb-3b6bd7964e76</t>
  </si>
  <si>
    <t>Fruta congelada Frambuesa</t>
  </si>
  <si>
    <t>Frutillas</t>
  </si>
  <si>
    <t>ti-ing-95855f99-76a5-4b8f-9010-41fdb238c9f0</t>
  </si>
  <si>
    <t>jengibre</t>
  </si>
  <si>
    <t>ti-ing-a497b86b-3af9-4b4b-8c05-6b268e0b6b75</t>
  </si>
  <si>
    <t>Lechuga Escarola</t>
  </si>
  <si>
    <t>ti-ing-8bf96dab-12d3-4116-89cd-da4f697199c8</t>
  </si>
  <si>
    <t>Lechuga Hidropónica (unidad)</t>
  </si>
  <si>
    <t>ti-ing-1fd461da-d8b8-447a-9306-56977c2434ec</t>
  </si>
  <si>
    <t>Limon Sutil</t>
  </si>
  <si>
    <t>ti-str-eafdd243-ca10-4e67-89d4-50a191eb8e12,ti-str-bbb1d66c-36dd-47af-85d8-583c26959146</t>
  </si>
  <si>
    <t>Stock Servicio,Stock Cocina</t>
  </si>
  <si>
    <t>ti-ing-1e52529e-2068-4bee-8258-f629dcb94553</t>
  </si>
  <si>
    <t>Manzana Verdes kg</t>
  </si>
  <si>
    <t>ti-str-e0754139-882f-4237-83fa-744442ed825f</t>
  </si>
  <si>
    <t>Stock Pasteleria</t>
  </si>
  <si>
    <t>ti-ing-196779c3-e3ed-4489-a7b1-3fff6fb52234</t>
  </si>
  <si>
    <t>Naranja kg</t>
  </si>
  <si>
    <t>ti-ing-c474d6cb-0840-4bd3-9ce3-7b1461a7647c</t>
  </si>
  <si>
    <t>Palta kg</t>
  </si>
  <si>
    <t>ti-ing-0c5af1ab-51d2-45bc-8d83-07f28a2070d7</t>
  </si>
  <si>
    <t>Papa ( 20K )</t>
  </si>
  <si>
    <t>ti-ing-01dd937e-f3e1-45bd-ac68-e7d6c9700360</t>
  </si>
  <si>
    <t>Pepino unidad</t>
  </si>
  <si>
    <t>ti-ing-da4ed1b9-498c-45d1-abc1-fc2bae7914fa</t>
  </si>
  <si>
    <t>Peras</t>
  </si>
  <si>
    <t>ti-ing-074f1cb2-96a4-409c-834d-d7729059054a</t>
  </si>
  <si>
    <t>Perejil</t>
  </si>
  <si>
    <t>ti-ing-b74ef0eb-9db1-48f6-9155-794b5239e202</t>
  </si>
  <si>
    <t>Pimenton rojo</t>
  </si>
  <si>
    <t>ti-ing-74243ecf-c7ba-4592-9f0c-a15b8e01c4d2</t>
  </si>
  <si>
    <t>Platano Kg</t>
  </si>
  <si>
    <t>ti-ing-39dee339-dcff-456d-b5f1-cf03744d2cc0</t>
  </si>
  <si>
    <t>Repollo</t>
  </si>
  <si>
    <t>ti-ing-a4410a7c-ce20-46c2-b8b2-6a81683bcb6f</t>
  </si>
  <si>
    <t>ROCOTO</t>
  </si>
  <si>
    <t>ti-ing-7bcfd367-90bd-4cb7-92e4-61a4a00c6384</t>
  </si>
  <si>
    <t>Rucula</t>
  </si>
  <si>
    <t>ti-ing-8ee71fe9-911e-4b0c-a4d6-91d304ab0b7e</t>
  </si>
  <si>
    <t>Tomate cherry kg</t>
  </si>
  <si>
    <t>ti-ing-c63927ca-5c1f-4291-bb57-3db682f6681b</t>
  </si>
  <si>
    <t>Tomate grande</t>
  </si>
  <si>
    <t>ti-ing-98634312-a220-4946-90a7-2f004d514564</t>
  </si>
  <si>
    <t>Zanahoria kg</t>
  </si>
  <si>
    <t>ti-ing-30894a55-8681-416c-904c-c561603ec97c</t>
  </si>
  <si>
    <t>Zapallo</t>
  </si>
  <si>
    <t>ti-ing-3321c80d-49fa-4d55-9973-cfc988156e46</t>
  </si>
  <si>
    <t>Zapallo Italiano (unidad)</t>
  </si>
  <si>
    <t>ti-ing-36d188be-1d21-49c4-81d6-40aa525186bc</t>
  </si>
  <si>
    <t>Harina Fuerza la estampa</t>
  </si>
  <si>
    <t>ti-ing-c022b8f7-37cb-4495-b583-adf8c2912827</t>
  </si>
  <si>
    <t>Harina Integral la estampa</t>
  </si>
  <si>
    <t xml:space="preserve">harina san cristobal fortaleza </t>
  </si>
  <si>
    <t>ti-ing-63bb439b-2f54-484e-8af1-634f36b26a2f</t>
  </si>
  <si>
    <t>Harina Super la estampa</t>
  </si>
  <si>
    <t>ti-str-e3696e4b-7915-4d18-83e7-077d2c42d9bc,ti-str-36f261ca-0b74-4d79-8a50-81324d9ac308,ti-str-e0754139-882f-4237-83fa-744442ed825f,ti-str-bbb1d66c-36dd-47af-85d8-583c26959146</t>
  </si>
  <si>
    <t>Principal,Stock Panaderia,Stock Pasteleria,Stock Cocina</t>
  </si>
  <si>
    <t>ti-ing-f5df0060-3824-4a90-b181-f166174871b5</t>
  </si>
  <si>
    <t>Crema De Chocolate</t>
  </si>
  <si>
    <t>ti-incat-9abbbcd6-ca43-440d-a1b2-4b29346c3dc5</t>
  </si>
  <si>
    <t>Lácteos y Quesos</t>
  </si>
  <si>
    <t>ti-ing-aa29f857-a1c6-4602-83d9-a873366a6e06</t>
  </si>
  <si>
    <t>Crema de leche animal</t>
  </si>
  <si>
    <t>ti-str-e3696e4b-7915-4d18-83e7-077d2c42d9bc,ti-str-e0754139-882f-4237-83fa-744442ed825f,ti-str-bbb1d66c-36dd-47af-85d8-583c26959146</t>
  </si>
  <si>
    <t>Principal,Stock Pasteleria,Stock Cocina</t>
  </si>
  <si>
    <t>ti-ing-8b4a4fb5-2fa0-4402-83b9-8dd51959d1bb</t>
  </si>
  <si>
    <t>Crema festipak s/azucar (L)</t>
  </si>
  <si>
    <t>ti-ing-ee163a96-a490-400a-85f3-5c0c4dfab97e</t>
  </si>
  <si>
    <t>Crema Nata</t>
  </si>
  <si>
    <t>ti-ing-60787c9f-e111-4bf2-8601-3311d46197ae</t>
  </si>
  <si>
    <t>Crema Vegetal MONA LISA</t>
  </si>
  <si>
    <t>ti-ing-8262d660-3530-4e0b-8ef7-7198065a11f9</t>
  </si>
  <si>
    <t>Leche condensada kg</t>
  </si>
  <si>
    <t>ti-ing-a099253c-8088-44a5-94f5-0a7ec1379344</t>
  </si>
  <si>
    <t>Leche desc / sin lactosa unidad 1 lt</t>
  </si>
  <si>
    <t>ti-ing-f217056d-5d63-4d3a-850f-a0137c3c2bc8</t>
  </si>
  <si>
    <t>Leche entera 1 lt</t>
  </si>
  <si>
    <t>ti-ing-efbb157d-1cf5-48ff-aa74-a931c248d95b</t>
  </si>
  <si>
    <t>Leche evaporada (1 tarro)</t>
  </si>
  <si>
    <t>ti-ing-f3d94cde-48f1-42db-8049-c5b03f49e386</t>
  </si>
  <si>
    <t>Leche vegetal almendra 1 lt</t>
  </si>
  <si>
    <t>ti-ing-64b80843-980f-4e02-80ef-5eedfb1ad90d</t>
  </si>
  <si>
    <t>Leche vegetal avena 1 lt</t>
  </si>
  <si>
    <t>ti-ing-7f6f3cb5-d68f-4eda-8218-918eb16bfa9b</t>
  </si>
  <si>
    <t>Leche Vegetal Soya 1 lt</t>
  </si>
  <si>
    <t>ti-ing-954249fd-0da9-476c-818b-572694743b97</t>
  </si>
  <si>
    <t>Manjar Repostero</t>
  </si>
  <si>
    <t>ti-ing-cc4ca94a-8d6a-45e3-9479-ec6ec3c164ff</t>
  </si>
  <si>
    <t>Manteca Vegetal soprole</t>
  </si>
  <si>
    <t>ti-ing-ecd37d53-82cc-47dc-a91b-bd72d972df17</t>
  </si>
  <si>
    <t>Mantequilla sin sal</t>
  </si>
  <si>
    <t>ti-ing-614d8fd2-0c43-4daa-a2e1-ce85599adc8e</t>
  </si>
  <si>
    <t>Margarina De Horneo soprole</t>
  </si>
  <si>
    <t>ti-ing-ae308e8b-ea5d-4ac4-9239-53ac83800a28</t>
  </si>
  <si>
    <t>Margarina Laminacion Plus</t>
  </si>
  <si>
    <t>ti-ing-5eda8072-f112-42f3-8d31-bd3f4d3d9960</t>
  </si>
  <si>
    <t>Nutella</t>
  </si>
  <si>
    <t>ti-ing-394cb55d-70a0-42fe-8aa8-6190a0ee4eba</t>
  </si>
  <si>
    <t>Queso Cheddar</t>
  </si>
  <si>
    <t>ti-ing-324f9eaf-eb5a-46b5-a6d2-169579eb50d8</t>
  </si>
  <si>
    <t>Queso crema KG</t>
  </si>
  <si>
    <t>ti-str-e0754139-882f-4237-83fa-744442ed825f,ti-str-bbb1d66c-36dd-47af-85d8-583c26959146</t>
  </si>
  <si>
    <t>Stock Pasteleria,Stock Cocina</t>
  </si>
  <si>
    <t>ti-ing-62682093-03dc-415f-a6a1-8cf0bc2c626e</t>
  </si>
  <si>
    <t>Queso gouda kg</t>
  </si>
  <si>
    <t>ti-ing-2915f576-b015-4ddd-99da-0fbdd699d5d4</t>
  </si>
  <si>
    <t>Alulosa</t>
  </si>
  <si>
    <t>ti-incat-12bd9fc6-af5f-419c-b909-83b2a1758709</t>
  </si>
  <si>
    <t>ti-ing-15d5080f-54bb-48ae-a3a4-5a9102e62c0a</t>
  </si>
  <si>
    <t>Azucar flor</t>
  </si>
  <si>
    <t>ti-ing-df62a31d-453b-4454-933e-0aa4b1134061</t>
  </si>
  <si>
    <t>Bacardi</t>
  </si>
  <si>
    <t>iva_19,ila_31_5</t>
  </si>
  <si>
    <t>ti-ing-2541bdef-1295-48fd-a2a6-eb459571041d</t>
  </si>
  <si>
    <t>Bicarbonato kg</t>
  </si>
  <si>
    <t>ti-ing-201209f4-cb56-4b56-aa67-0823a798b19c</t>
  </si>
  <si>
    <t>Brillo Frio Puratos</t>
  </si>
  <si>
    <t>ti-ing-2f673947-19c3-4bf1-85f0-2fd4eba84abb</t>
  </si>
  <si>
    <t>Cacao Amargo kg</t>
  </si>
  <si>
    <t>ti-ing-a11b5aec-b526-418e-8eae-07a24b51f441</t>
  </si>
  <si>
    <t>Cacao Dulce kg</t>
  </si>
  <si>
    <t>ti-ing-dd0f1244-936b-4a8b-b9b2-4a35e302d871</t>
  </si>
  <si>
    <t>Canela en polvo kg</t>
  </si>
  <si>
    <t>ti-ing-d4b56ec8-f74a-4b85-bb2d-969f74506069</t>
  </si>
  <si>
    <t>Canela entera</t>
  </si>
  <si>
    <t>ti-ing-ffb9e40d-d20e-4e86-9d0e-41944bba152b</t>
  </si>
  <si>
    <t>Chocolate barra blanco 1 kg</t>
  </si>
  <si>
    <t>ti-ing-838436a7-39c0-470f-8526-61e27cb03924</t>
  </si>
  <si>
    <t>Chocolate Blanco Monedas servicio</t>
  </si>
  <si>
    <t>ti-ing-eb991dd6-0950-4f43-8b92-b0ff69cfe793</t>
  </si>
  <si>
    <t>Chocolate Blanco pasteleria</t>
  </si>
  <si>
    <t>ti-ing-fef3563f-f9ea-432e-a284-9daef11f3cb6</t>
  </si>
  <si>
    <t>Chocolate Carat Cover Pasteleria sin azucar Puratos (kg)</t>
  </si>
  <si>
    <t>ti-ing-69506080-ae55-4a6b-b225-ca16e97bca25</t>
  </si>
  <si>
    <t>Colorante para chocolate</t>
  </si>
  <si>
    <t>ti-ing-0a26e605-00fb-4a2d-9dff-135c2f627162</t>
  </si>
  <si>
    <t>Colorante Rojo Gel (botella chica)</t>
  </si>
  <si>
    <t>ti-ing-5f35b814-c678-4274-9e64-c1c716986f8e</t>
  </si>
  <si>
    <t>Colorantes varios</t>
  </si>
  <si>
    <t>ti-ing-88090e68-2ddb-4cf3-b31e-1e285ed33f3f</t>
  </si>
  <si>
    <t>Confitados (decoraciones)</t>
  </si>
  <si>
    <t>ti-ing-5fd0d290-9632-4380-82c8-85b3a6f271a2</t>
  </si>
  <si>
    <t>Crema Pastelera</t>
  </si>
  <si>
    <t>ti-ing-f3b8bb6e-cab7-481e-ba4b-db3ca4811831</t>
  </si>
  <si>
    <t>Crumble</t>
  </si>
  <si>
    <t>ti-incat-b2bdbae8-22c2-4b50-981c-f633d3a7d6f1</t>
  </si>
  <si>
    <t>Productos Elaborados</t>
  </si>
  <si>
    <t xml:space="preserve">Galleta oreo entera </t>
  </si>
  <si>
    <t>Principal,Stock Pasteleria,Stock Servicio,</t>
  </si>
  <si>
    <t xml:space="preserve">Galleta oreo molida </t>
  </si>
  <si>
    <t>Galletas lotus</t>
  </si>
  <si>
    <t>ti-ing-b57ed2cb-f7c0-45ff-b0cb-120c17c5c298</t>
  </si>
  <si>
    <t>Galletas Vainilla Fruna Paquete</t>
  </si>
  <si>
    <t>ti-ing-4f0f339e-411e-481c-9db6-ffd76a7029b9</t>
  </si>
  <si>
    <t>Ganache de mango</t>
  </si>
  <si>
    <t>ti-ing-60791d11-d195-46af-941a-93b24cf2fd16</t>
  </si>
  <si>
    <t>Gas Butano (190g)</t>
  </si>
  <si>
    <t>Leche en polvo descremada</t>
  </si>
  <si>
    <t>ti-ing-f44c95d0-1670-4ab8-b35c-f3def12843c8</t>
  </si>
  <si>
    <t>Licor De Café</t>
  </si>
  <si>
    <t>ti-ing-37cccdc4-12fe-4756-aa6c-b99a15b2d249</t>
  </si>
  <si>
    <t>Manga plástica desechable</t>
  </si>
  <si>
    <t xml:space="preserve">manjar colun </t>
  </si>
  <si>
    <t>ti-ing-4afadf49-d8d8-45bd-9f1c-56f3da97a088</t>
  </si>
  <si>
    <t>Manjar sin azucar</t>
  </si>
  <si>
    <t>ti-ing-f4f95cfa-68c6-4086-abf7-551594eb9cd4</t>
  </si>
  <si>
    <t>Nuez kg</t>
  </si>
  <si>
    <t>ti-ing-7cf2e52c-e626-4cf2-a3e6-c822b1ec2152</t>
  </si>
  <si>
    <t>Oporto</t>
  </si>
  <si>
    <t>iva_19,ila_20_5</t>
  </si>
  <si>
    <t>ti-ing-1ccc6f24-9c07-41d1-b646-716c6b371216</t>
  </si>
  <si>
    <t>Pasta de Pistachos</t>
  </si>
  <si>
    <t>ti-ing-0ffd3a02-efb6-4948-8396-87f4754f3e9c</t>
  </si>
  <si>
    <t>Pistacho S/Cascara</t>
  </si>
  <si>
    <t>ti-ing-e2ad32fd-91fe-4192-9cde-5f837e2e4b91</t>
  </si>
  <si>
    <t>Puratos chocolate COVERLIC ALFAJOR</t>
  </si>
  <si>
    <t>ti-ing-d2775d01-0f4a-4325-8e30-1bf0598c39a5</t>
  </si>
  <si>
    <t>Salsa caramelo</t>
  </si>
  <si>
    <t>ti-ing-8ff4dc1e-379e-4484-b1ad-3e7b82bfc4c4</t>
  </si>
  <si>
    <t>Xantana kg</t>
  </si>
  <si>
    <t>Pasta pie de limón</t>
  </si>
  <si>
    <t>Pasta Caramelo salado</t>
  </si>
  <si>
    <t>ti-ing-ecdb926c-effc-4bbd-9881-dcd99b2ab00d</t>
  </si>
  <si>
    <t>Camaron 36/40</t>
  </si>
  <si>
    <t>ti-ing-3dd04f4f-adfa-49b2-96e0-90abb176580b</t>
  </si>
  <si>
    <t>REINETA</t>
  </si>
  <si>
    <t>ti-ing-793e326a-c51d-446c-a1b0-7a72b70b1794</t>
  </si>
  <si>
    <t>Aderezo para crotones</t>
  </si>
  <si>
    <t>ti-incat-b2bdbae8-22c2-4b50-981c-f633d3a7d6f0</t>
  </si>
  <si>
    <t xml:space="preserve">Alfajor nutella </t>
  </si>
  <si>
    <t>ti-str-e0754139-882f-4237-83fa-744442ed825f,ti-str-eafdd243-ca10-4e67-89d4-50a191eb8e12</t>
  </si>
  <si>
    <t>Stock Pasteleria,Stock Servicio</t>
  </si>
  <si>
    <t>Alfajor pie de limón</t>
  </si>
  <si>
    <t>Alfajor pistacho</t>
  </si>
  <si>
    <t>ti-ing-06055fb6-65a2-41ca-945b-3203f9d63b3e</t>
  </si>
  <si>
    <t>Alfajores clasicos</t>
  </si>
  <si>
    <t>ti-ing-cead6fe1-662c-4d38-b508-1fb28ad7eaae</t>
  </si>
  <si>
    <t>Alfajores de chocolate</t>
  </si>
  <si>
    <t>ti-ing-0480809e-2f2a-4903-89cd-81fa742c1138</t>
  </si>
  <si>
    <t>Almibar kg</t>
  </si>
  <si>
    <t>ti-ing-2c108827-b2eb-4019-a962-2e1a9de9e281</t>
  </si>
  <si>
    <t>Almibar tiramisu kg</t>
  </si>
  <si>
    <t>ti-ing-365e1fec-d151-4e2f-bb29-42f1b5b7a1e0</t>
  </si>
  <si>
    <t>Almibar tres leches kg</t>
  </si>
  <si>
    <t>ti-ing-d2cbc387-665d-4102-ac94-18a1ec32b684</t>
  </si>
  <si>
    <t>Baguette</t>
  </si>
  <si>
    <t>ti-str-36f261ca-0b74-4d79-8a50-81324d9ac308,ti-str-eafdd243-ca10-4e67-89d4-50a191eb8e12</t>
  </si>
  <si>
    <t>Stock Panaderia,Stock Servicio</t>
  </si>
  <si>
    <t>ti-ing-05be2238-913d-4290-9cd4-f440d8887d3e</t>
  </si>
  <si>
    <t>Baguette jamon lechuga tomate,salame</t>
  </si>
  <si>
    <t>ti-str-bbb1d66c-36dd-47af-85d8-583c26959146,ti-str-eafdd243-ca10-4e67-89d4-50a191eb8e12</t>
  </si>
  <si>
    <t>Stock Cocina,Stock Servicio</t>
  </si>
  <si>
    <t>ti-ing-a378583d-145c-4c6c-86b9-6f1b2c7019f1</t>
  </si>
  <si>
    <t>Baguette queso crema, jamon , rucula</t>
  </si>
  <si>
    <t>ti-ing-3aa40fb1-5c47-4416-af5a-8b222e930f5b</t>
  </si>
  <si>
    <t>Baguettin</t>
  </si>
  <si>
    <t>ti-ing-f7372ca6-547a-4889-9bf0-d8e66e14f4c0</t>
  </si>
  <si>
    <t>Bandeja bizcocho carrot cake</t>
  </si>
  <si>
    <t>ti-ing-de59e7f2-cb9a-43d4-844d-5c6b4f78471b</t>
  </si>
  <si>
    <t>Bandeja bizcocho chocolate</t>
  </si>
  <si>
    <t>Bandeja bizcocho pasion de chocolate</t>
  </si>
  <si>
    <t>Bandeja bizcocho pistacho</t>
  </si>
  <si>
    <t>ti-ing-565a8aa5-3a82-4b46-a490-d190184104f4</t>
  </si>
  <si>
    <t>Bandeja bizcocho red velvet</t>
  </si>
  <si>
    <t>Bandeja bizcocho tres leches</t>
  </si>
  <si>
    <t>ti-ing-ebfdce42-152a-4fb3-8b4a-42892ec563cc</t>
  </si>
  <si>
    <t>Bandeja bizcocho vainilla</t>
  </si>
  <si>
    <t>Bandeja Blondie</t>
  </si>
  <si>
    <t>Bandeja brownie</t>
  </si>
  <si>
    <t>ti-ing-824e5de5-8959-4a7d-9ab6-7e3be8567cc0</t>
  </si>
  <si>
    <t>Base para kuchen y pie un</t>
  </si>
  <si>
    <t>ti-ing-e03e8eeb-0d0f-46e0-ad38-ec93e092b80e</t>
  </si>
  <si>
    <t>Blondie con arandanos</t>
  </si>
  <si>
    <t>ti-ing-eb54101d-0621-43e2-b68d-e2ca2e84264b</t>
  </si>
  <si>
    <t>Bolsa pan hamburguesa 4 un</t>
  </si>
  <si>
    <t>ti-ing-49c179fb-ea02-49c2-a6a0-acc8e6349bbb</t>
  </si>
  <si>
    <t>Bolsa pan rallado x kilo</t>
  </si>
  <si>
    <t>ti-ing-cd95c43c-069d-439d-881c-35b23623d837</t>
  </si>
  <si>
    <t>Brioche cebolla x 6un</t>
  </si>
  <si>
    <t>ti-ing-1a0bb16f-dd0d-4046-821b-d6620f443cdc</t>
  </si>
  <si>
    <t>Brioche chocochips 6xun</t>
  </si>
  <si>
    <t>ti-ing-79520131-8f1b-4c98-b425-126eac94229a</t>
  </si>
  <si>
    <t>Brownie bolsa</t>
  </si>
  <si>
    <t>ti-ing-bf7f838c-a6aa-47a6-80cd-90dc43c40d02</t>
  </si>
  <si>
    <t>Brownie clasico</t>
  </si>
  <si>
    <t>ti-ing-ff8eceba-f704-4d6e-8f8b-51f7eda2778e</t>
  </si>
  <si>
    <t>Brownie manjar merengue</t>
  </si>
  <si>
    <t>ti-ing-7d7a3c5e-eed3-4428-8da5-c1c34064ed9b</t>
  </si>
  <si>
    <t>Cachito base</t>
  </si>
  <si>
    <t>ti-str-36f261ca-0b74-4d79-8a50-81324d9ac308,ti-str-e0754139-882f-4237-83fa-744442ed825f</t>
  </si>
  <si>
    <t>Stock Panaderia,Stock Pasteleria</t>
  </si>
  <si>
    <t>ti-ing-1474cbcd-2cf0-44e9-bde1-2d85f160bbf3</t>
  </si>
  <si>
    <t>Cachito crema pastelera</t>
  </si>
  <si>
    <t>ti-ing-2f897d67-ca83-4fd4-867f-932d52f0462f</t>
  </si>
  <si>
    <t>Cachito dia del niño</t>
  </si>
  <si>
    <t>ti-ing-1e41e1b0-0851-473d-8abe-6d9b0fc08a9a</t>
  </si>
  <si>
    <t>Cachito manjar</t>
  </si>
  <si>
    <t>ti-ing-35b6be63-828c-48a6-a0c2-91cbd737deb5</t>
  </si>
  <si>
    <t>CAJA GALLETA MANTEQUILLA</t>
  </si>
  <si>
    <t>ti-ing-c75016b9-53c7-477c-9b89-9a5d7585640f</t>
  </si>
  <si>
    <t>Caprese, (queso tomate albahaca)</t>
  </si>
  <si>
    <t>ti-ing-ac0a2fcc-7c72-4d34-96cb-5ebd37d774dd</t>
  </si>
  <si>
    <t>Caramandunga</t>
  </si>
  <si>
    <t>ti-ing-d4dd309e-c332-44c1-a41b-88efd5b35484</t>
  </si>
  <si>
    <t>Caramandunga chips de chocolate</t>
  </si>
  <si>
    <t xml:space="preserve">cebollla caramelizada </t>
  </si>
  <si>
    <t>ti-ing-00563692-3110-463b-b06a-9695be0fc511</t>
  </si>
  <si>
    <t>Cheescake frutos rojos</t>
  </si>
  <si>
    <t>ti-ing-4c619862-bab0-4c3c-8818-628a74e80ad6</t>
  </si>
  <si>
    <t>Cheescake maracuya</t>
  </si>
  <si>
    <t>ti-ing-0e4e529b-91b8-4c4a-92fe-3d5064baa651</t>
  </si>
  <si>
    <t>Chicken bowl</t>
  </si>
  <si>
    <t>ti-ing-765c6ad4-e5e1-4f24-a016-341816f62ed8</t>
  </si>
  <si>
    <t>Chocolate de frutos rojos</t>
  </si>
  <si>
    <t>ti-ing-fa8bcf45-8f69-4074-b95c-2fe5cb233cf4</t>
  </si>
  <si>
    <t>Chocolate de pistacho</t>
  </si>
  <si>
    <t>Chocolate Lotus</t>
  </si>
  <si>
    <t>ti-incat-b2bdbae8-22c2-4b50-981c-f633d3a7d6f2</t>
  </si>
  <si>
    <t>ti-ing-9772d9be-68ae-4ae1-8101-c9ccbbf7e8f1</t>
  </si>
  <si>
    <t>Ciabatta</t>
  </si>
  <si>
    <t>ti-str-36f261ca-0b74-4d79-8a50-81324d9ac308,ti-str-bbb1d66c-36dd-47af-85d8-583c26959146</t>
  </si>
  <si>
    <t>Stock Panaderia,Stock Cocina</t>
  </si>
  <si>
    <t>ti-ing-2c3bb795-84cc-4545-b75c-6eb2afe9a214</t>
  </si>
  <si>
    <t>Ciabatta integral</t>
  </si>
  <si>
    <t>ti-ing-36c2f8ce-3f60-4a52-9f14-503c24abcaf4</t>
  </si>
  <si>
    <t xml:space="preserve">Ciabatta integral semillas </t>
  </si>
  <si>
    <t>ti-ing-86dda2ed-6250-4ef9-9121-ed2cfc92c5e6</t>
  </si>
  <si>
    <t>Ciabatta semillas sandwich</t>
  </si>
  <si>
    <t>ti-ing-996c18ce-c41e-4057-bc7c-c7f7081ab046</t>
  </si>
  <si>
    <t>Cinamon roll</t>
  </si>
  <si>
    <t>ti-ing-feab961b-2820-4354-bd97-f1b10f0a3309</t>
  </si>
  <si>
    <t>Cinamon Roll Frosting</t>
  </si>
  <si>
    <t>ti-ing-44241e67-c82b-428d-ba7c-986da86900c1</t>
  </si>
  <si>
    <t>COBB DEL CAMPO</t>
  </si>
  <si>
    <t>Cobertura oreo</t>
  </si>
  <si>
    <t>Cobertura tiramisú</t>
  </si>
  <si>
    <t>ti-ing-00e37207-4fa5-4f8e-bd90-ee2c24c0d71f</t>
  </si>
  <si>
    <t>COCADAS BOLSA</t>
  </si>
  <si>
    <t>ti-str-36f261ca-0b74-4d79-8a50-81324d9ac308</t>
  </si>
  <si>
    <t>Stock Panaderia, Stock Servicio</t>
  </si>
  <si>
    <t>ti-ing-c599b8ce-de95-494f-9aa6-40364ce69e27</t>
  </si>
  <si>
    <t>Colegia individual</t>
  </si>
  <si>
    <t>ti-ing-bf3417a5-5027-4c2b-8b17-4beebab986d3</t>
  </si>
  <si>
    <t>Colegial molde</t>
  </si>
  <si>
    <t>ti-ing-9df5f5a3-8f74-463e-a88f-585f0a58539f</t>
  </si>
  <si>
    <t>Crema de pistacho kg</t>
  </si>
  <si>
    <t>ti-ing-d64a9911-d7b9-4682-b2ef-19c55b3c01b9</t>
  </si>
  <si>
    <t>Crema de pistacho saludable kg</t>
  </si>
  <si>
    <t>ti-ing-6c3193bb-303c-4840-8306-9affb92bf52a</t>
  </si>
  <si>
    <t>Crema mango (profiterol) kg</t>
  </si>
  <si>
    <t>ti-ing-4bab74ef-ff6d-40a4-a0ba-489827aa8627</t>
  </si>
  <si>
    <t>Crema pastelera kg</t>
  </si>
  <si>
    <t>ti-ing-61b594f9-91cf-40a6-949d-89c9d5361881</t>
  </si>
  <si>
    <t>Croissant 120 base</t>
  </si>
  <si>
    <t>ti-ing-4264b4d8-2063-4b41-b98b-f349dcdd3ee1</t>
  </si>
  <si>
    <t>Croissant 140 base</t>
  </si>
  <si>
    <t>ti-str-36f261ca-0b74-4d79-8a50-81324d9ac308,ti-str-e0754139-882f-4237-83fa-744442ed825f,ti-str-bbb1d66c-36dd-47af-85d8-583c26959146</t>
  </si>
  <si>
    <t>Stock Panaderia,Stock Pasteleria,Stock Cocina</t>
  </si>
  <si>
    <t>ti-ing-94fec31e-3ab6-4293-b514-ea5480b94e09</t>
  </si>
  <si>
    <t>Croissant 4un</t>
  </si>
  <si>
    <t>ti-ing-11586505-0d9e-453b-ab1e-c16f8f20aeb8</t>
  </si>
  <si>
    <t>Croissant americano</t>
  </si>
  <si>
    <t>ti-ing-77833d98-8cb6-471d-8d32-5d23fff65977</t>
  </si>
  <si>
    <t>Croissant ave mayo</t>
  </si>
  <si>
    <t>ti-ing-a9bacd07-29b4-426b-9177-90c53f67a47e</t>
  </si>
  <si>
    <t>Croissant cheescake</t>
  </si>
  <si>
    <t>ti-ing-90d8a114-0aa9-4a34-8309-119a4248920c</t>
  </si>
  <si>
    <t>Croissant chocolate</t>
  </si>
  <si>
    <t>ti-ing-7a0858c5-93d0-4585-934b-044b2a12eac7</t>
  </si>
  <si>
    <t>Croissant Frutos rojos</t>
  </si>
  <si>
    <t>ti-ing-4d76446e-8596-485c-abfe-24a2c90231f5</t>
  </si>
  <si>
    <t>Croissant jamon queso</t>
  </si>
  <si>
    <t>ti-ing-a878a084-7424-4b76-aadc-69c9c894b339</t>
  </si>
  <si>
    <t>Croissant Nutella</t>
  </si>
  <si>
    <t>ti-ing-f319272a-8ac2-45ea-9b99-7a8517f28618</t>
  </si>
  <si>
    <t>Croissant Pie de limón</t>
  </si>
  <si>
    <t>ti-ing-fd112425-6e9a-40f1-94e3-5d2d8759dc9e</t>
  </si>
  <si>
    <t>Croissant Pistacho</t>
  </si>
  <si>
    <t>ti-ing-38411b9d-d841-4545-80b1-4ca4fd1cd57d</t>
  </si>
  <si>
    <t>Croissant roll base</t>
  </si>
  <si>
    <t>ti-ing-e0808b53-599f-403a-a534-bae88ad75adb</t>
  </si>
  <si>
    <t>Croissant Suspiro limeño</t>
  </si>
  <si>
    <t>Croissant Tiramisú</t>
  </si>
  <si>
    <t>ti-ing-7812aaa4-e1af-40cf-a808-503971a007f1</t>
  </si>
  <si>
    <t>Croque monseriur</t>
  </si>
  <si>
    <t>ti-ing-774b420c-f2dd-4477-b8aa-0b75e520f433</t>
  </si>
  <si>
    <t>Dobladitas</t>
  </si>
  <si>
    <t>ti-ing-6a387c51-0d3c-41ab-af20-0108c6d99328</t>
  </si>
  <si>
    <t>Eclair horneado kg</t>
  </si>
  <si>
    <t>ti-ing-eafce1a1-c57c-4320-8dbe-0549a248c2a7</t>
  </si>
  <si>
    <t>Eclair Nutella</t>
  </si>
  <si>
    <t>ti-ing-995c7427-e865-45af-b61e-3ea85358f4ed</t>
  </si>
  <si>
    <t>Eclair Pistachos</t>
  </si>
  <si>
    <t>ti-ing-ce48bbcb-56ff-4884-81c6-ec6f6ace9d60</t>
  </si>
  <si>
    <t>Empanada Camaron Queso</t>
  </si>
  <si>
    <t>ti-ing-8049a4fb-a9e4-4157-85dc-384f65313e52</t>
  </si>
  <si>
    <t>Empanada de pino</t>
  </si>
  <si>
    <t>ti-ing-e3a99d1d-11ef-4653-8ebb-d9ad8e15d2d1</t>
  </si>
  <si>
    <t>Empanada napolitana</t>
  </si>
  <si>
    <t>ti-ing-3622e28c-4496-4ac4-b200-7ca115e04875</t>
  </si>
  <si>
    <t>Empanada Queso champíñon</t>
  </si>
  <si>
    <t>ti-ing-a54d8eda-c295-4b5f-91ae-7d7c3ed26908</t>
  </si>
  <si>
    <t>ENSALADA CESAR</t>
  </si>
  <si>
    <t>ti-ing-23fdc89f-36ef-4620-ba52-752d4cf69a01</t>
  </si>
  <si>
    <t xml:space="preserve">Focaccia </t>
  </si>
  <si>
    <t>ti-ing-16d711f1-e4bd-49d3-85f4-7dd3e05b588b</t>
  </si>
  <si>
    <t>Focaccia Sandwich</t>
  </si>
  <si>
    <t>ti-ing-1b549673-caa3-4f9e-9c89-5248577dc078</t>
  </si>
  <si>
    <t>Foche chocolate (croissant + torta) kg</t>
  </si>
  <si>
    <t>ti-ing-9566fb70-9504-46e2-9a82-c2bbb0fa2d2d</t>
  </si>
  <si>
    <t>Frosting kg</t>
  </si>
  <si>
    <t>ti-ing-f4d5782b-0663-4075-a2af-3813f216aff2</t>
  </si>
  <si>
    <t>Galleta alfajor</t>
  </si>
  <si>
    <t>ti-ing-bc77230d-96a4-428a-8717-99ad71f43a54</t>
  </si>
  <si>
    <t>Galleta Avena 3 un</t>
  </si>
  <si>
    <t>ti-ing-6d145ed7-a9e8-48b6-bcc0-4db7b3c61b95</t>
  </si>
  <si>
    <t>Galleta chocolate 3 un</t>
  </si>
  <si>
    <t>ti-ing-26675115-31e4-4fe6-9f4b-f952cea2afa0</t>
  </si>
  <si>
    <t>GALLETA ESPECIAL 1500</t>
  </si>
  <si>
    <t>ti-ing-cee77de7-f9f2-4481-b212-5c0f4ff6437e</t>
  </si>
  <si>
    <t>GALLETA ESPECIAL 2500</t>
  </si>
  <si>
    <t>Galleta fruna molida</t>
  </si>
  <si>
    <t>ti-ing-caaaf555-cbcc-443f-9828-9e54cd65d030</t>
  </si>
  <si>
    <t>GALLETAS CHOCOCHIPS 3un</t>
  </si>
  <si>
    <t>ti-str-eafdd243-ca10-4e67-89d4-50a191eb8e12,ti-str-36f261ca-0b74-4d79-8a50-81324d9ac308</t>
  </si>
  <si>
    <t>Stock Servicio,Stock Panaderia</t>
  </si>
  <si>
    <t>ti-ing-00a74b9c-e5c4-4d9d-ae39-c2f80bc1f737</t>
  </si>
  <si>
    <t>GALLETAS MANTEQUILLA 6un</t>
  </si>
  <si>
    <t>ti-ing-48c23a30-1b31-4b05-8c7e-ea83a1a0907b</t>
  </si>
  <si>
    <t>Galletitas mix</t>
  </si>
  <si>
    <t>ti-ing-08d0a5b7-2f77-4172-b5f5-a1216f181dae</t>
  </si>
  <si>
    <t>GALLETON AVENA</t>
  </si>
  <si>
    <t>ti-ing-20cf41c7-57fb-4173-94f9-d26641ca5ec7</t>
  </si>
  <si>
    <t>GALLETON CHOCO CHIPS</t>
  </si>
  <si>
    <t>ti-ing-24da8695-1fa7-4414-b3c6-2194c29794a9</t>
  </si>
  <si>
    <t>GALLETON CHOCOLATE</t>
  </si>
  <si>
    <t>Ganache de chocolate saludable</t>
  </si>
  <si>
    <t>Ganache de pistacho servicio</t>
  </si>
  <si>
    <t>Ganache de pistachon pastelería</t>
  </si>
  <si>
    <t>ti-ing-f298b83f-56b8-46eb-b537-d23deaf21343</t>
  </si>
  <si>
    <t>Glace kg</t>
  </si>
  <si>
    <t>ti-ing-bfd00335-b52c-4dfe-9e64-55208b3b79ff</t>
  </si>
  <si>
    <t>Hallulla</t>
  </si>
  <si>
    <t>ti-ing-e94620a7-7ad3-4158-bff7-9af4134b7a68</t>
  </si>
  <si>
    <t>Hallulla integral</t>
  </si>
  <si>
    <t>ti-ing-46c3568f-ef80-4bac-8822-1590fd123a13</t>
  </si>
  <si>
    <t>Hambuguesa</t>
  </si>
  <si>
    <t>ti-ing-0563815d-39aa-4e1b-bcdd-35780f423d81</t>
  </si>
  <si>
    <t>Hambuguesa especial</t>
  </si>
  <si>
    <t>Infusión té flor de jamaica</t>
  </si>
  <si>
    <t>Infusión té mariposa</t>
  </si>
  <si>
    <t>ti-ing-197c8ac7-983c-44e6-a5f8-d941c027c96a</t>
  </si>
  <si>
    <t>Kutchen de frutos rojos</t>
  </si>
  <si>
    <t>ti-ing-0e6f777d-f148-40e3-97f3-e7d6c1ae05d7</t>
  </si>
  <si>
    <t>Kutchen de manzana</t>
  </si>
  <si>
    <t>ti-ing-531221ec-8449-43d9-85d3-f60db8f742ae</t>
  </si>
  <si>
    <t>Kutchen nuez</t>
  </si>
  <si>
    <t>ti-ing-75ba9837-ada2-47c9-8144-1df6f485a444</t>
  </si>
  <si>
    <t>LASAÑA</t>
  </si>
  <si>
    <t>ti-ing-f9863271-84fc-4bd2-90dc-9aca725b5cfd</t>
  </si>
  <si>
    <t>Lemon pie</t>
  </si>
  <si>
    <t>Limonada</t>
  </si>
  <si>
    <t>ti-ing-e6882acf-8e46-490d-afd5-154094210f97</t>
  </si>
  <si>
    <t>Manzana procesada kg</t>
  </si>
  <si>
    <t>ti-ing-cb705b54-897f-4a58-a925-149b7ca989ff</t>
  </si>
  <si>
    <t>Marraqueta</t>
  </si>
  <si>
    <t>ti-ing-cfc3b013-4f57-457d-98f3-0c4f272a7030</t>
  </si>
  <si>
    <t>Masa alfajor kg</t>
  </si>
  <si>
    <t>ti-ing-299b2e95-d414-46ee-b1a3-112ddb239bdc</t>
  </si>
  <si>
    <t>Masa base kuchen y pie kg</t>
  </si>
  <si>
    <t>ti-ing-cfca69d1-d4c1-47d4-a2e3-39448a32e40a</t>
  </si>
  <si>
    <t>Masa empanadas</t>
  </si>
  <si>
    <t>ti-ing-384825ef-f068-4c6e-aa67-547342817d33</t>
  </si>
  <si>
    <t>Masa galletas kg</t>
  </si>
  <si>
    <t>ti-ing-2bba897a-7dba-4920-9618-ae7fedb2cab0</t>
  </si>
  <si>
    <t>Masa trufa</t>
  </si>
  <si>
    <t xml:space="preserve">mayonesa al pesto </t>
  </si>
  <si>
    <t>ti-ing-47e7fe54-1e3f-49f0-ba92-dd8c17a3562a</t>
  </si>
  <si>
    <t>Merenguitos</t>
  </si>
  <si>
    <t>ti-str-e0754139-882f-4237-83fa-744442ed825f,ti-str-eafdd243-ca10-4e67-89d4-50a191eb8e12,ti-str-36f261ca-0b74-4d79-8a50-81324d9ac308</t>
  </si>
  <si>
    <t>Stock Pasteleria,Stock Servicio,Stock Panaderia</t>
  </si>
  <si>
    <t>ti-ing-2007a3b7-06b6-4aa7-9935-aed477d8284e</t>
  </si>
  <si>
    <t>Milagritos</t>
  </si>
  <si>
    <t>ti-ing-83bd5d84-a6b8-48eb-b74f-3768ef953dbd</t>
  </si>
  <si>
    <t>Mini hamburguesa</t>
  </si>
  <si>
    <t>Stock Panaderia</t>
  </si>
  <si>
    <t>ti-ing-89d573e1-3d80-4e74-8a9d-73c23bd74324</t>
  </si>
  <si>
    <t>Molde ave palta</t>
  </si>
  <si>
    <t>ti-ing-49e69d30-05a5-4d2e-9bc5-ec48858a227d</t>
  </si>
  <si>
    <t>Molde blanco</t>
  </si>
  <si>
    <t>ti-ing-0cdad107-111a-465c-91b2-9cb637a1ee41</t>
  </si>
  <si>
    <t>Molde Brioche</t>
  </si>
  <si>
    <t xml:space="preserve">Molde brownie </t>
  </si>
  <si>
    <t>ti-ing-d277b2e0-454f-42ff-ad95-84fdaab9d3ac</t>
  </si>
  <si>
    <t>Molde cheesecake un</t>
  </si>
  <si>
    <t>ti-ing-59b1f2b3-ffb1-4fee-8842-b477bd4c6880</t>
  </si>
  <si>
    <t>Molde Integral Multigrano</t>
  </si>
  <si>
    <t>ti-ing-4ef617f0-29f0-42ca-99c9-9723f9da1409</t>
  </si>
  <si>
    <t>Molde multigrano chico</t>
  </si>
  <si>
    <t>Molde torta carrot cake</t>
  </si>
  <si>
    <t>Molde torta chocolate</t>
  </si>
  <si>
    <t>Molde torta manjar nuez</t>
  </si>
  <si>
    <t>ti-incat-b2bdbae8-22c2-4b50-981c-f633d3a7d6f8</t>
  </si>
  <si>
    <t>Molde torta pasión de chocolate</t>
  </si>
  <si>
    <t>ti-incat-b2bdbae8-22c2-4b50-981c-f633d3a7d6f5</t>
  </si>
  <si>
    <t>Molde torta pistacho</t>
  </si>
  <si>
    <t>ti-incat-b2bdbae8-22c2-4b50-981c-f633d3a7d6f6</t>
  </si>
  <si>
    <t>Molde torta redvelvet</t>
  </si>
  <si>
    <t>ti-incat-b2bdbae8-22c2-4b50-981c-f633d3a7d6f7</t>
  </si>
  <si>
    <t>Molde torta tiramisu</t>
  </si>
  <si>
    <t>ti-incat-b2bdbae8-22c2-4b50-981c-f633d3a7d6f4</t>
  </si>
  <si>
    <t>Molde torta tres leches</t>
  </si>
  <si>
    <t>ti-incat-b2bdbae8-22c2-4b50-981c-f633d3a7d6f3</t>
  </si>
  <si>
    <t>ti-ing-95223e04-05e2-45bd-b8a7-9084d4c12b13</t>
  </si>
  <si>
    <t>Nata de Chocolate batida kg</t>
  </si>
  <si>
    <t>ti-ing-16d16f26-1356-4371-9c04-64852a68f7ed</t>
  </si>
  <si>
    <t>Nuez procesada kg</t>
  </si>
  <si>
    <t>ti-ing-b39320ab-4456-4a3a-9681-fa6ca723a0dc</t>
  </si>
  <si>
    <t>Palmeritas</t>
  </si>
  <si>
    <t>ti-ing-7121128e-fab3-44fc-9fa5-623411566735</t>
  </si>
  <si>
    <t>Pan de completo</t>
  </si>
  <si>
    <t>ti-ing-7d22d0f9-ed7b-46a1-9022-a01e4533b909</t>
  </si>
  <si>
    <t>Pan de hoja</t>
  </si>
  <si>
    <t>ti-ing-ef332e84-9535-4ffd-92b0-d4025fce8ce7</t>
  </si>
  <si>
    <t>Pan de mesa</t>
  </si>
  <si>
    <t>ti-ing-e8da8dca-95a0-480b-a36a-ea7d2fe4dde5</t>
  </si>
  <si>
    <t>Pan De Pascua Grande</t>
  </si>
  <si>
    <t>ti-ing-e2a3dac8-2f21-465b-95e9-1f6713450413</t>
  </si>
  <si>
    <t>Pan pita</t>
  </si>
  <si>
    <t>ti-ing-b0ee2f17-6fc3-4df9-b346-7fc55396fcd9</t>
  </si>
  <si>
    <t>Pan Pita integral</t>
  </si>
  <si>
    <t>ti-ing-a545bf35-10f3-4c22-b63b-a65befdc36cf</t>
  </si>
  <si>
    <t>Pan yema</t>
  </si>
  <si>
    <t>ti-ing-21d3c63d-ce8c-47ef-83ca-893b2689b2f4</t>
  </si>
  <si>
    <t>PASTEL DE CHOCLO</t>
  </si>
  <si>
    <t>ti-ing-60e7a5f9-a830-45ba-9562-60f62a8f26ac</t>
  </si>
  <si>
    <t>PASTEL DE PAPA</t>
  </si>
  <si>
    <t>ti-ing-9bbce796-50a8-4fb5-8904-04b15a26fe2d</t>
  </si>
  <si>
    <t>Pesto para sandwiches</t>
  </si>
  <si>
    <t>ti-ing-0382d2ed-3685-4f55-9162-c28c17ca3cbc</t>
  </si>
  <si>
    <t>Pie de limon</t>
  </si>
  <si>
    <t>ti-ing-7e201824-2d59-4cd5-a01d-5f74bb36deab</t>
  </si>
  <si>
    <t>Pie de maracuya</t>
  </si>
  <si>
    <t>ti-ing-c03f22a1-22b0-42ca-b635-941a645c0cee</t>
  </si>
  <si>
    <t>Profiterol Cheescake</t>
  </si>
  <si>
    <t>ti-ing-8a066170-e082-475e-9015-b6f56c04c705</t>
  </si>
  <si>
    <t>Profiterol clasico</t>
  </si>
  <si>
    <t>ti-ing-23bbe913-4626-48ae-8f3a-d5ee05a0aaa8</t>
  </si>
  <si>
    <t>Profiterol horneado un</t>
  </si>
  <si>
    <t>ti-ing-c34778df-7bbb-4aad-955e-55aee926eee7</t>
  </si>
  <si>
    <t>Profiterol Mango</t>
  </si>
  <si>
    <t>ti-ing-e402010c-9312-4b1c-b5a6-bbc827fd1c18</t>
  </si>
  <si>
    <t>puré de papas</t>
  </si>
  <si>
    <t>ti-ing-f9453031-afba-4047-ada6-c4bc5feb1117</t>
  </si>
  <si>
    <t>Queque chocolate</t>
  </si>
  <si>
    <t>ti-ing-76d234c9-12b5-42ea-a919-f8b837e54786</t>
  </si>
  <si>
    <t>Queque individual</t>
  </si>
  <si>
    <t>ti-ing-017262ab-0031-4581-8490-bfb2412c6eec</t>
  </si>
  <si>
    <t>Queque marmoleado</t>
  </si>
  <si>
    <t>ti-ing-4132b1f2-afea-40c2-bb1b-aa02d489bcc3</t>
  </si>
  <si>
    <t>Queque vainilla</t>
  </si>
  <si>
    <t>ti-ing-5d1269a6-072d-4d8d-9365-c6bdd70282b6</t>
  </si>
  <si>
    <t>QUICHE</t>
  </si>
  <si>
    <t>ti-ing-7d193ddc-595d-4d13-9ca9-c18bb3ab1d27</t>
  </si>
  <si>
    <t>Quinua griega</t>
  </si>
  <si>
    <t>ti-ing-f1083f8a-a740-4da6-85b3-3e103eb5f89f</t>
  </si>
  <si>
    <t>RELLENO AVE MAYO</t>
  </si>
  <si>
    <t>ti-ing-c82c022c-6bc0-493a-b9cd-a8ec612dfc16</t>
  </si>
  <si>
    <t>Relleno cheesecake croissant kg</t>
  </si>
  <si>
    <t>ti-ing-93616b09-1a91-4af6-9ef5-fc5138c3826c</t>
  </si>
  <si>
    <t>Relleno frutos rojos croissant kg</t>
  </si>
  <si>
    <t>Relleno kuchen de manzana</t>
  </si>
  <si>
    <t>Relleno lemon pie</t>
  </si>
  <si>
    <t>Pasta biscotto</t>
  </si>
  <si>
    <t>Relleno manjar sin azucar</t>
  </si>
  <si>
    <t>ti-ing-cb6f7c55-dc86-4ae0-b02b-b8e68c0ed58c</t>
  </si>
  <si>
    <t>RELLENO NAPOLITANA</t>
  </si>
  <si>
    <t>ti-ing-04b7aaa7-0c26-4518-b450-f495019b39b6</t>
  </si>
  <si>
    <t>Relleno nata chocolate saludable kg</t>
  </si>
  <si>
    <t>Relleno nata nutella</t>
  </si>
  <si>
    <t>Relleno Oreo</t>
  </si>
  <si>
    <t>ti-ing-fdea4891-c517-45ca-8e87-e02663252664</t>
  </si>
  <si>
    <t>Relleno pera confitada</t>
  </si>
  <si>
    <t>ti-ing-b4775208-43f1-433f-af45-557e50530fcd</t>
  </si>
  <si>
    <t>Relleno pie de limon croissant kg</t>
  </si>
  <si>
    <t>ti-ing-2f16f6cc-80fa-48d9-a501-6cf1bb11154b</t>
  </si>
  <si>
    <t>Relleno Pie de limon kg</t>
  </si>
  <si>
    <t>Relleno pie de maracuya</t>
  </si>
  <si>
    <t>ti-ing-8c88b4f0-fa94-46ed-8196-aa37281f7c51</t>
  </si>
  <si>
    <t>RELLENO PINO</t>
  </si>
  <si>
    <t>ti-ing-0c1712a2-763a-410a-b533-852445749d82</t>
  </si>
  <si>
    <t>Relleno pistacho + nata croissant kg</t>
  </si>
  <si>
    <t>ti-ing-84346c74-056b-4319-a565-0467791e4537</t>
  </si>
  <si>
    <t>Relleno suspiro limeños croissant kg</t>
  </si>
  <si>
    <t>Relleno tiramisú</t>
  </si>
  <si>
    <t>ti-ing-2b2e3e5c-76b8-422e-ba93-1db4fb33b10f</t>
  </si>
  <si>
    <t>Rollito De Pizza-Jamon</t>
  </si>
  <si>
    <t>ti-ing-c4985743-55e6-48bd-b020-96032230e580</t>
  </si>
  <si>
    <t>ROSQUITAS</t>
  </si>
  <si>
    <t xml:space="preserve">salsa bechamel </t>
  </si>
  <si>
    <t>ti-ing-ea10afcd-1a49-448b-a146-dbff50041ab5</t>
  </si>
  <si>
    <t>Salsa frutos rojos kg</t>
  </si>
  <si>
    <t>ti-ing-1b9689ee-83eb-415b-8654-d3ad538677dd</t>
  </si>
  <si>
    <t>Salsa Maracuya kg</t>
  </si>
  <si>
    <t>ti-ing-6ec17360-95b9-4e7c-a4f8-95a7d5b06f22</t>
  </si>
  <si>
    <t>Sandwich Del Dia</t>
  </si>
  <si>
    <t>Tomate confitado</t>
  </si>
  <si>
    <t>ti-ing-c2904e19-f6c7-4eeb-920e-b1356b58576d</t>
  </si>
  <si>
    <t>Torta Carrot cake</t>
  </si>
  <si>
    <t>ti-ing-e1fa937d-21d6-4749-b512-b8d5641ac453</t>
  </si>
  <si>
    <t>Torta de chocolate</t>
  </si>
  <si>
    <t>ti-ing-2a0c7b7a-110d-4012-8516-5be2ca1f5438</t>
  </si>
  <si>
    <t>Torta de pistacho</t>
  </si>
  <si>
    <t>ti-ing-8ade022e-847c-4250-b3ed-8cc9b6128064</t>
  </si>
  <si>
    <t>Torta grande Carrot Cake</t>
  </si>
  <si>
    <t>ti-ing-da15de4a-5efa-41b7-88ca-7108e002ac2b</t>
  </si>
  <si>
    <t>Torta grande Chocolate</t>
  </si>
  <si>
    <t>ti-ing-e7faa8a1-66b5-4fb0-9f50-2f5a7c3388c0</t>
  </si>
  <si>
    <t>Torta grande Red Velvet</t>
  </si>
  <si>
    <t>ti-ing-9a5203c8-4f85-44b3-8960-fbfb084fc709</t>
  </si>
  <si>
    <t>Torta Grande Tiramisú</t>
  </si>
  <si>
    <t>ti-ing-63c0ad02-283c-40ad-82ff-2084d51e56f4</t>
  </si>
  <si>
    <t>Torta grande Tres Leches</t>
  </si>
  <si>
    <t>ti-ing-eb1667ba-d42f-482b-b42e-0a4c9806ac59</t>
  </si>
  <si>
    <t>Torta Manjar nuez</t>
  </si>
  <si>
    <t>ti-ing-4dac4d03-1043-4a27-a1e1-ed68340239cb</t>
  </si>
  <si>
    <t>Torta manjar nuez</t>
  </si>
  <si>
    <t>ti-ing-a2a39a11-b445-405c-b372-c03b9923fb01</t>
  </si>
  <si>
    <t>Torta Mediana 3 leches</t>
  </si>
  <si>
    <t>ti-ing-0d93b2e9-dcc0-45c6-9725-1e1a0422ce64</t>
  </si>
  <si>
    <t>Torta mediana Carrot Cake</t>
  </si>
  <si>
    <t>ti-ing-c8bdf30a-e35c-4f89-9dea-284c5dc422cf</t>
  </si>
  <si>
    <t>Torta mediana Cheesecake Frutos Rojos</t>
  </si>
  <si>
    <t>ti-ing-ed44a9a4-2391-4346-b9cd-a08a151b902a</t>
  </si>
  <si>
    <t>Torta mediana Cheesecake Maracuya</t>
  </si>
  <si>
    <t>ti-ing-e5631358-9915-4b24-9e75-21b827d25871</t>
  </si>
  <si>
    <t>Torta mediana Chocolate</t>
  </si>
  <si>
    <t>ti-ing-b81128f5-ab59-4b0f-8124-1854d9fd7907</t>
  </si>
  <si>
    <t>Torta mediana Red Velvet</t>
  </si>
  <si>
    <t>ti-ing-9e239189-5837-4025-88ed-026c2793d414</t>
  </si>
  <si>
    <t>Torta mediana Tiramisú</t>
  </si>
  <si>
    <t>ti-ing-001593d5-b416-422c-b179-650b247b7985</t>
  </si>
  <si>
    <t>Torta PASION DE CHOCOLATE</t>
  </si>
  <si>
    <t>ti-ing-a8cd5c87-c9dc-4186-83a1-68beb8fb913b</t>
  </si>
  <si>
    <t>Torta Red Velvet</t>
  </si>
  <si>
    <t>ti-ing-98bcab34-b5b9-449e-b17a-558a962b5e9e</t>
  </si>
  <si>
    <t>Torta tiramisu</t>
  </si>
  <si>
    <t>ti-ing-c4b94842-6ec7-4b1b-af11-31093c0aed01</t>
  </si>
  <si>
    <t>Torta tres leches</t>
  </si>
  <si>
    <t>ti-ing-557bd6d7-0c2c-4ea9-b4c9-06ac0a5647fa</t>
  </si>
  <si>
    <t>Tostaditas</t>
  </si>
  <si>
    <t>ti-ing-9ea4554c-aab1-480e-8b51-2aa90b2e08e9</t>
  </si>
  <si>
    <t>Trufa</t>
  </si>
  <si>
    <t>flor jamaica</t>
  </si>
  <si>
    <t>ti-ing-07a970c1-3c48-4a92-91e0-e444e28da6c3</t>
  </si>
  <si>
    <t>Te Dilmah Caja 100 Un</t>
  </si>
  <si>
    <t xml:space="preserve">te mariposa </t>
  </si>
  <si>
    <t>ti-ing-57aab3f2-4e37-4536-85e1-0789aecdd627</t>
  </si>
  <si>
    <t>Te Mix Armonía Herbal</t>
  </si>
  <si>
    <t>ti-ing-79626a92-beca-415f-a764-6eb8d6bffc09</t>
  </si>
  <si>
    <t>Te Mix Exhala Atardecer</t>
  </si>
  <si>
    <t>ti-ing-69d16157-5bd9-4117-94dd-c38d989509c3</t>
  </si>
  <si>
    <t>Te Mix Inhala Amanecer</t>
  </si>
  <si>
    <t>ti-ing-c74681ea-ed36-4576-85e2-524106006879</t>
  </si>
  <si>
    <t>Te Mix Natural Peace</t>
  </si>
  <si>
    <t>ti-ing-2e454ff4-7f1f-4343-a28b-4a990d66c751</t>
  </si>
  <si>
    <t>Te Mix Pausa Consiente</t>
  </si>
  <si>
    <t>ti-ing-a22fc9c8-1c6b-46ec-9e05-b5ee88f46df5</t>
  </si>
  <si>
    <t>Te Mix Viaje Mágico</t>
  </si>
  <si>
    <t>ti-ing-2977c67d-e30a-4021-a7b1-837a7f29eaa0</t>
  </si>
  <si>
    <t>Te Negro hoja (kg)</t>
  </si>
  <si>
    <t>ti-ing-3cdcb0f1-80b5-404a-bd02-ab8158926f5b</t>
  </si>
  <si>
    <t>Te Verde hoja (kg)</t>
  </si>
  <si>
    <t>NOMBRE BODEGA AQUÍ</t>
  </si>
  <si>
    <t>CANTIDAD</t>
  </si>
  <si>
    <t xml:space="preserve">boloñesa </t>
  </si>
  <si>
    <t xml:space="preserve">pan rallado </t>
  </si>
  <si>
    <t xml:space="preserve">Baguette </t>
  </si>
  <si>
    <t xml:space="preserve">Sobrecostilla </t>
  </si>
  <si>
    <t>RQ</t>
  </si>
  <si>
    <t>Guantes talla S</t>
  </si>
  <si>
    <t>Un</t>
  </si>
  <si>
    <t>,</t>
  </si>
  <si>
    <t>PRINCIPAL</t>
  </si>
  <si>
    <t>COCINA</t>
  </si>
  <si>
    <t>SERVICIO</t>
  </si>
  <si>
    <t>PANADERÍA</t>
  </si>
  <si>
    <t>PASTELERÍA</t>
  </si>
  <si>
    <t>Relleno Lotus</t>
  </si>
  <si>
    <t>ganache pistacho</t>
  </si>
  <si>
    <t xml:space="preserve">ganache de chocolate sin azucar </t>
  </si>
  <si>
    <t>Galleta molida lotus</t>
  </si>
  <si>
    <t>Salsa frutos rojos sin azucar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</si>
</sst>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8" formatCode="&quot;$&quot;#,##0.00;[Red]&quot;$&quot;\-#,##0.00"/>
    <numFmt numFmtId="42" formatCode="_ &quot;$&quot;* #,##0_ ;_ &quot;$&quot;* \-#,##0_ ;_ &quot;$&quot;* &quot;-&quot;_ ;_ @_ "/>
    <numFmt numFmtId="164" formatCode="[$$]#,##0"/>
    <numFmt numFmtId="165" formatCode="#,##0.0"/>
    <numFmt numFmtId="166" formatCode="d/m/yyyy"/>
    <numFmt numFmtId="167" formatCode="0.0"/>
  </numFmts>
  <fonts count="25"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rgb="FFFFFFFF"/>
      <name val="Calibri"/>
    </font>
    <font>
      <sz val="12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8"/>
      <color rgb="FFFFFFFF"/>
      <name val="Calibri"/>
    </font>
    <font>
      <sz val="12"/>
      <name val="Calibri"/>
    </font>
    <font>
      <sz val="11"/>
      <color theme="1"/>
      <name val="Calibri"/>
    </font>
    <font>
      <sz val="12"/>
      <color theme="1"/>
      <name val="Calibri"/>
    </font>
    <font>
      <sz val="14"/>
      <color theme="1"/>
      <name val="Calibri"/>
    </font>
    <font>
      <b/>
      <sz val="11"/>
      <color rgb="FF000000"/>
      <name val="Calibri"/>
    </font>
    <font>
      <sz val="12"/>
      <color rgb="FF000000"/>
      <name val="Arial"/>
    </font>
    <font>
      <sz val="12"/>
      <color theme="1"/>
      <name val="Nudica"/>
    </font>
    <font>
      <sz val="12"/>
      <color rgb="FFFF0000"/>
      <name val="Calibri"/>
    </font>
    <font>
      <sz val="11"/>
      <color rgb="FFFF0000"/>
      <name val="Calibri"/>
    </font>
    <font>
      <sz val="12"/>
      <color theme="1"/>
      <name val="Arial"/>
    </font>
    <font>
      <b/>
      <i/>
      <sz val="16"/>
      <color rgb="FFFFFFFF"/>
      <name val="Calibri"/>
    </font>
    <font>
      <i/>
      <sz val="12"/>
      <color theme="0"/>
      <name val="Calibri"/>
    </font>
    <font>
      <b/>
      <i/>
      <sz val="12"/>
      <color rgb="FFFFFFFF"/>
      <name val="Calibri"/>
    </font>
    <font>
      <i/>
      <sz val="16"/>
      <color theme="1"/>
      <name val="Calibri"/>
    </font>
    <font>
      <i/>
      <sz val="12"/>
      <color theme="1"/>
      <name val="Calibri"/>
    </font>
    <font>
      <i/>
      <sz val="11"/>
      <color theme="1"/>
      <name val="Calibri"/>
    </font>
    <font>
      <i/>
      <sz val="10"/>
      <color theme="1"/>
      <name val="Calibri"/>
    </font>
    <font>
      <sz val="16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rgb="FFF9FAFB"/>
        <bgColor rgb="FFF9FAFB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0" xfId="0" applyFont="1"/>
    <xf numFmtId="2" fontId="2" fillId="2" borderId="1" xfId="0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5" fillId="0" borderId="2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9" fillId="0" borderId="0" xfId="0" applyFont="1"/>
    <xf numFmtId="0" fontId="2" fillId="3" borderId="2" xfId="0" applyFont="1" applyFill="1" applyBorder="1"/>
    <xf numFmtId="0" fontId="2" fillId="3" borderId="1" xfId="0" applyFont="1" applyFill="1" applyBorder="1"/>
    <xf numFmtId="164" fontId="3" fillId="0" borderId="2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42" fontId="3" fillId="0" borderId="11" xfId="0" applyNumberFormat="1" applyFont="1" applyBorder="1" applyAlignment="1">
      <alignment horizontal="right"/>
    </xf>
    <xf numFmtId="164" fontId="10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13" xfId="0" applyFont="1" applyBorder="1"/>
    <xf numFmtId="2" fontId="3" fillId="0" borderId="0" xfId="0" applyNumberFormat="1" applyFont="1"/>
    <xf numFmtId="0" fontId="12" fillId="5" borderId="0" xfId="0" applyFont="1" applyFill="1"/>
    <xf numFmtId="0" fontId="10" fillId="0" borderId="2" xfId="0" applyFont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0" fillId="0" borderId="10" xfId="0" applyFont="1" applyBorder="1" applyAlignment="1">
      <alignment horizontal="left"/>
    </xf>
    <xf numFmtId="3" fontId="8" fillId="0" borderId="0" xfId="0" applyNumberFormat="1" applyFont="1" applyAlignment="1">
      <alignment horizontal="right"/>
    </xf>
    <xf numFmtId="42" fontId="10" fillId="0" borderId="15" xfId="0" applyNumberFormat="1" applyFont="1" applyBorder="1" applyAlignment="1">
      <alignment horizontal="right"/>
    </xf>
    <xf numFmtId="42" fontId="4" fillId="0" borderId="14" xfId="0" applyNumberFormat="1" applyFont="1" applyBorder="1" applyAlignment="1">
      <alignment horizontal="center"/>
    </xf>
    <xf numFmtId="42" fontId="4" fillId="0" borderId="2" xfId="0" applyNumberFormat="1" applyFont="1" applyBorder="1" applyAlignment="1">
      <alignment horizontal="center"/>
    </xf>
    <xf numFmtId="42" fontId="4" fillId="0" borderId="16" xfId="0" applyNumberFormat="1" applyFont="1" applyBorder="1" applyAlignment="1">
      <alignment horizontal="center"/>
    </xf>
    <xf numFmtId="42" fontId="4" fillId="0" borderId="17" xfId="0" applyNumberFormat="1" applyFont="1" applyBorder="1" applyAlignment="1">
      <alignment horizontal="center"/>
    </xf>
    <xf numFmtId="42" fontId="10" fillId="0" borderId="18" xfId="0" applyNumberFormat="1" applyFont="1" applyBorder="1" applyAlignment="1">
      <alignment horizontal="right"/>
    </xf>
    <xf numFmtId="0" fontId="4" fillId="0" borderId="17" xfId="0" applyFont="1" applyBorder="1" applyAlignment="1">
      <alignment horizontal="center"/>
    </xf>
    <xf numFmtId="164" fontId="10" fillId="0" borderId="2" xfId="0" applyNumberFormat="1" applyFont="1" applyBorder="1" applyAlignment="1">
      <alignment horizontal="right"/>
    </xf>
    <xf numFmtId="0" fontId="10" fillId="0" borderId="10" xfId="0" applyFont="1" applyBorder="1"/>
    <xf numFmtId="42" fontId="10" fillId="0" borderId="11" xfId="0" applyNumberFormat="1" applyFont="1" applyBorder="1" applyAlignment="1">
      <alignment horizontal="right"/>
    </xf>
    <xf numFmtId="42" fontId="4" fillId="0" borderId="14" xfId="0" applyNumberFormat="1" applyFont="1" applyBorder="1"/>
    <xf numFmtId="42" fontId="10" fillId="0" borderId="1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42" fontId="3" fillId="0" borderId="2" xfId="0" applyNumberFormat="1" applyFont="1" applyBorder="1" applyAlignment="1">
      <alignment horizontal="right"/>
    </xf>
    <xf numFmtId="42" fontId="4" fillId="0" borderId="2" xfId="0" applyNumberFormat="1" applyFont="1" applyBorder="1"/>
    <xf numFmtId="0" fontId="4" fillId="0" borderId="16" xfId="0" applyFont="1" applyBorder="1"/>
    <xf numFmtId="164" fontId="3" fillId="0" borderId="2" xfId="0" applyNumberFormat="1" applyFont="1" applyBorder="1" applyAlignment="1">
      <alignment horizontal="right"/>
    </xf>
    <xf numFmtId="42" fontId="4" fillId="0" borderId="17" xfId="0" applyNumberFormat="1" applyFont="1" applyBorder="1"/>
    <xf numFmtId="2" fontId="4" fillId="0" borderId="0" xfId="0" applyNumberFormat="1" applyFont="1" applyAlignment="1">
      <alignment horizontal="center"/>
    </xf>
    <xf numFmtId="0" fontId="4" fillId="0" borderId="14" xfId="0" applyFont="1" applyBorder="1"/>
    <xf numFmtId="0" fontId="4" fillId="0" borderId="17" xfId="0" applyFont="1" applyBorder="1"/>
    <xf numFmtId="42" fontId="4" fillId="0" borderId="16" xfId="0" applyNumberFormat="1" applyFont="1" applyBorder="1"/>
    <xf numFmtId="164" fontId="8" fillId="7" borderId="0" xfId="0" applyNumberFormat="1" applyFont="1" applyFill="1" applyAlignment="1">
      <alignment horizontal="right"/>
    </xf>
    <xf numFmtId="0" fontId="13" fillId="0" borderId="0" xfId="0" applyFont="1"/>
    <xf numFmtId="0" fontId="14" fillId="0" borderId="0" xfId="0" applyFont="1"/>
    <xf numFmtId="164" fontId="15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3" fillId="7" borderId="2" xfId="0" applyFont="1" applyFill="1" applyBorder="1" applyAlignment="1">
      <alignment horizontal="center"/>
    </xf>
    <xf numFmtId="165" fontId="10" fillId="0" borderId="2" xfId="0" applyNumberFormat="1" applyFont="1" applyBorder="1"/>
    <xf numFmtId="0" fontId="3" fillId="7" borderId="2" xfId="0" applyFont="1" applyFill="1" applyBorder="1" applyAlignment="1">
      <alignment horizontal="right"/>
    </xf>
    <xf numFmtId="164" fontId="8" fillId="8" borderId="0" xfId="0" applyNumberFormat="1" applyFont="1" applyFill="1" applyAlignment="1">
      <alignment horizontal="right"/>
    </xf>
    <xf numFmtId="42" fontId="8" fillId="8" borderId="0" xfId="0" applyNumberFormat="1" applyFont="1" applyFill="1" applyAlignment="1">
      <alignment horizontal="right"/>
    </xf>
    <xf numFmtId="0" fontId="9" fillId="0" borderId="0" xfId="0" applyFont="1" applyAlignment="1">
      <alignment horizontal="center"/>
    </xf>
    <xf numFmtId="42" fontId="3" fillId="8" borderId="0" xfId="0" applyNumberFormat="1" applyFont="1" applyFill="1" applyAlignment="1">
      <alignment horizontal="right"/>
    </xf>
    <xf numFmtId="164" fontId="8" fillId="8" borderId="1" xfId="0" applyNumberFormat="1" applyFont="1" applyFill="1" applyBorder="1" applyAlignment="1">
      <alignment horizontal="right"/>
    </xf>
    <xf numFmtId="42" fontId="8" fillId="0" borderId="0" xfId="0" applyNumberFormat="1" applyFont="1" applyAlignment="1">
      <alignment horizontal="right"/>
    </xf>
    <xf numFmtId="3" fontId="5" fillId="0" borderId="2" xfId="0" applyNumberFormat="1" applyFont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10" fillId="7" borderId="2" xfId="0" applyFont="1" applyFill="1" applyBorder="1"/>
    <xf numFmtId="164" fontId="3" fillId="9" borderId="2" xfId="0" applyNumberFormat="1" applyFont="1" applyFill="1" applyBorder="1" applyAlignment="1">
      <alignment horizontal="center"/>
    </xf>
    <xf numFmtId="0" fontId="9" fillId="7" borderId="0" xfId="0" applyFont="1" applyFill="1"/>
    <xf numFmtId="4" fontId="10" fillId="0" borderId="2" xfId="0" applyNumberFormat="1" applyFont="1" applyBorder="1" applyAlignment="1">
      <alignment horizontal="right"/>
    </xf>
    <xf numFmtId="0" fontId="3" fillId="9" borderId="1" xfId="0" applyFont="1" applyFill="1" applyBorder="1"/>
    <xf numFmtId="0" fontId="16" fillId="0" borderId="0" xfId="0" applyFont="1"/>
    <xf numFmtId="42" fontId="3" fillId="0" borderId="22" xfId="0" applyNumberFormat="1" applyFont="1" applyBorder="1"/>
    <xf numFmtId="164" fontId="10" fillId="7" borderId="2" xfId="0" applyNumberFormat="1" applyFont="1" applyFill="1" applyBorder="1" applyAlignment="1">
      <alignment horizontal="right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64" fontId="10" fillId="0" borderId="2" xfId="0" applyNumberFormat="1" applyFont="1" applyBorder="1"/>
    <xf numFmtId="0" fontId="10" fillId="0" borderId="13" xfId="0" applyFont="1" applyBorder="1"/>
    <xf numFmtId="164" fontId="10" fillId="0" borderId="13" xfId="0" applyNumberFormat="1" applyFont="1" applyBorder="1"/>
    <xf numFmtId="0" fontId="17" fillId="3" borderId="5" xfId="0" applyFont="1" applyFill="1" applyBorder="1" applyAlignment="1">
      <alignment horizontal="center" vertical="center"/>
    </xf>
    <xf numFmtId="42" fontId="10" fillId="0" borderId="24" xfId="0" applyNumberFormat="1" applyFont="1" applyBorder="1" applyAlignment="1">
      <alignment horizontal="right"/>
    </xf>
    <xf numFmtId="166" fontId="18" fillId="3" borderId="6" xfId="0" applyNumberFormat="1" applyFont="1" applyFill="1" applyBorder="1"/>
    <xf numFmtId="42" fontId="10" fillId="0" borderId="25" xfId="0" applyNumberFormat="1" applyFont="1" applyBorder="1" applyAlignment="1">
      <alignment horizontal="right"/>
    </xf>
    <xf numFmtId="42" fontId="10" fillId="0" borderId="26" xfId="0" applyNumberFormat="1" applyFont="1" applyBorder="1" applyAlignment="1">
      <alignment horizontal="right"/>
    </xf>
    <xf numFmtId="0" fontId="17" fillId="3" borderId="2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center"/>
    </xf>
    <xf numFmtId="164" fontId="3" fillId="0" borderId="2" xfId="0" applyNumberFormat="1" applyFont="1" applyBorder="1"/>
    <xf numFmtId="42" fontId="10" fillId="0" borderId="2" xfId="0" applyNumberFormat="1" applyFont="1" applyBorder="1" applyAlignment="1">
      <alignment horizontal="right"/>
    </xf>
    <xf numFmtId="0" fontId="20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/>
    </xf>
    <xf numFmtId="164" fontId="21" fillId="9" borderId="2" xfId="0" applyNumberFormat="1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42" fontId="3" fillId="0" borderId="15" xfId="0" applyNumberFormat="1" applyFont="1" applyBorder="1" applyAlignment="1">
      <alignment horizontal="center"/>
    </xf>
    <xf numFmtId="42" fontId="3" fillId="0" borderId="18" xfId="0" applyNumberFormat="1" applyFont="1" applyBorder="1" applyAlignment="1">
      <alignment horizontal="center"/>
    </xf>
    <xf numFmtId="42" fontId="3" fillId="0" borderId="27" xfId="0" applyNumberFormat="1" applyFont="1" applyBorder="1" applyAlignment="1">
      <alignment horizontal="center"/>
    </xf>
    <xf numFmtId="42" fontId="10" fillId="0" borderId="28" xfId="0" applyNumberFormat="1" applyFont="1" applyBorder="1"/>
    <xf numFmtId="42" fontId="3" fillId="0" borderId="2" xfId="0" applyNumberFormat="1" applyFont="1" applyBorder="1"/>
    <xf numFmtId="0" fontId="10" fillId="0" borderId="0" xfId="0" applyFont="1"/>
    <xf numFmtId="42" fontId="10" fillId="0" borderId="29" xfId="0" applyNumberFormat="1" applyFont="1" applyBorder="1"/>
    <xf numFmtId="0" fontId="22" fillId="0" borderId="2" xfId="0" applyFont="1" applyBorder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164" fontId="21" fillId="7" borderId="2" xfId="0" applyNumberFormat="1" applyFont="1" applyFill="1" applyBorder="1" applyAlignment="1">
      <alignment horizontal="center"/>
    </xf>
    <xf numFmtId="0" fontId="3" fillId="0" borderId="30" xfId="0" applyFont="1" applyBorder="1"/>
    <xf numFmtId="0" fontId="20" fillId="0" borderId="30" xfId="0" applyFont="1" applyBorder="1" applyAlignment="1">
      <alignment horizontal="left" vertical="center"/>
    </xf>
    <xf numFmtId="0" fontId="23" fillId="0" borderId="30" xfId="0" applyFont="1" applyBorder="1" applyAlignment="1">
      <alignment horizontal="right" vertical="center"/>
    </xf>
    <xf numFmtId="164" fontId="21" fillId="9" borderId="30" xfId="0" applyNumberFormat="1" applyFont="1" applyFill="1" applyBorder="1" applyAlignment="1">
      <alignment horizontal="center"/>
    </xf>
    <xf numFmtId="0" fontId="21" fillId="9" borderId="30" xfId="0" applyFont="1" applyFill="1" applyBorder="1" applyAlignment="1">
      <alignment horizontal="center"/>
    </xf>
    <xf numFmtId="0" fontId="24" fillId="0" borderId="0" xfId="0" applyFont="1" applyAlignment="1">
      <alignment horizontal="left" vertical="center"/>
    </xf>
    <xf numFmtId="0" fontId="3" fillId="9" borderId="1" xfId="0" applyFont="1" applyFill="1" applyBorder="1" applyAlignment="1">
      <alignment horizontal="center"/>
    </xf>
    <xf numFmtId="42" fontId="3" fillId="0" borderId="29" xfId="0" applyNumberFormat="1" applyFont="1" applyBorder="1" applyAlignment="1">
      <alignment horizontal="center"/>
    </xf>
    <xf numFmtId="42" fontId="3" fillId="0" borderId="31" xfId="0" applyNumberFormat="1" applyFont="1" applyBorder="1" applyAlignment="1">
      <alignment horizontal="right"/>
    </xf>
    <xf numFmtId="42" fontId="3" fillId="0" borderId="18" xfId="0" applyNumberFormat="1" applyFont="1" applyBorder="1" applyAlignment="1">
      <alignment horizontal="right"/>
    </xf>
    <xf numFmtId="42" fontId="3" fillId="0" borderId="27" xfId="0" applyNumberFormat="1" applyFont="1" applyBorder="1" applyAlignment="1">
      <alignment horizontal="right"/>
    </xf>
    <xf numFmtId="0" fontId="3" fillId="9" borderId="2" xfId="0" applyFont="1" applyFill="1" applyBorder="1"/>
    <xf numFmtId="2" fontId="3" fillId="0" borderId="0" xfId="0" applyNumberFormat="1" applyFont="1" applyAlignment="1">
      <alignment horizontal="center"/>
    </xf>
    <xf numFmtId="42" fontId="3" fillId="0" borderId="0" xfId="0" applyNumberFormat="1" applyFont="1"/>
    <xf numFmtId="167" fontId="3" fillId="0" borderId="0" xfId="0" applyNumberFormat="1" applyFont="1" applyAlignment="1">
      <alignment horizontal="center"/>
    </xf>
    <xf numFmtId="6" fontId="3" fillId="0" borderId="0" xfId="0" applyNumberFormat="1" applyFont="1"/>
    <xf numFmtId="8" fontId="3" fillId="0" borderId="0" xfId="0" applyNumberFormat="1" applyFont="1"/>
    <xf numFmtId="0" fontId="3" fillId="10" borderId="2" xfId="0" applyFont="1" applyFill="1" applyBorder="1"/>
    <xf numFmtId="164" fontId="3" fillId="7" borderId="2" xfId="0" applyNumberFormat="1" applyFont="1" applyFill="1" applyBorder="1" applyAlignment="1">
      <alignment horizontal="right"/>
    </xf>
    <xf numFmtId="164" fontId="3" fillId="0" borderId="13" xfId="0" applyNumberFormat="1" applyFont="1" applyBorder="1" applyAlignment="1">
      <alignment horizontal="right"/>
    </xf>
    <xf numFmtId="0" fontId="9" fillId="0" borderId="2" xfId="0" applyFont="1" applyBorder="1"/>
    <xf numFmtId="0" fontId="12" fillId="7" borderId="2" xfId="0" applyFont="1" applyFill="1" applyBorder="1"/>
    <xf numFmtId="42" fontId="3" fillId="0" borderId="29" xfId="0" applyNumberFormat="1" applyFont="1" applyBorder="1"/>
    <xf numFmtId="0" fontId="3" fillId="0" borderId="0" xfId="0" applyFont="1"/>
    <xf numFmtId="0" fontId="0" fillId="0" borderId="0" xfId="0"/>
    <xf numFmtId="0" fontId="11" fillId="4" borderId="13" xfId="0" applyFont="1" applyFill="1" applyBorder="1" applyAlignment="1">
      <alignment horizontal="center"/>
    </xf>
    <xf numFmtId="0" fontId="7" fillId="0" borderId="14" xfId="0" applyFont="1" applyBorder="1"/>
    <xf numFmtId="0" fontId="11" fillId="6" borderId="1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19" xfId="0" applyFont="1" applyBorder="1"/>
    <xf numFmtId="0" fontId="7" fillId="0" borderId="8" xfId="0" applyFont="1" applyBorder="1"/>
    <xf numFmtId="0" fontId="6" fillId="3" borderId="20" xfId="0" applyFont="1" applyFill="1" applyBorder="1" applyAlignment="1">
      <alignment horizontal="center" vertical="center"/>
    </xf>
    <xf numFmtId="0" fontId="7" fillId="0" borderId="21" xfId="0" applyFont="1" applyBorder="1"/>
    <xf numFmtId="0" fontId="6" fillId="3" borderId="10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" fillId="0" borderId="32" xfId="0" applyFont="1" applyBorder="1"/>
    <xf numFmtId="0" fontId="0" fillId="0" borderId="32" xfId="0" applyBorder="1"/>
    <xf numFmtId="0" fontId="3" fillId="0" borderId="32" xfId="0" applyFont="1" applyBorder="1"/>
    <xf numFmtId="0" fontId="12" fillId="5" borderId="32" xfId="0" applyFont="1" applyFill="1" applyBorder="1"/>
    <xf numFmtId="0" fontId="13" fillId="0" borderId="32" xfId="0" applyFont="1" applyBorder="1"/>
    <xf numFmtId="0" fontId="14" fillId="0" borderId="32" xfId="0" applyFont="1" applyBorder="1"/>
    <xf numFmtId="0" fontId="2" fillId="3" borderId="21" xfId="0" applyFont="1" applyFill="1" applyBorder="1" applyAlignment="1">
      <alignment horizontal="center"/>
    </xf>
    <xf numFmtId="42" fontId="3" fillId="0" borderId="21" xfId="0" applyNumberFormat="1" applyFont="1" applyBorder="1"/>
    <xf numFmtId="42" fontId="3" fillId="0" borderId="32" xfId="0" applyNumberFormat="1" applyFont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25" defaultRowHeight="15" customHeight="1"/>
  <cols>
    <col min="1" max="1" width="36.125" customWidth="1"/>
    <col min="2" max="2" width="40.875" customWidth="1"/>
    <col min="4" max="4" width="29.875" customWidth="1"/>
  </cols>
  <sheetData>
    <row r="1" spans="1:4">
      <c r="A1" s="3" t="s">
        <v>1</v>
      </c>
      <c r="B1" s="3" t="s">
        <v>13</v>
      </c>
      <c r="C1" s="5" t="s">
        <v>14</v>
      </c>
      <c r="D1" s="3" t="s">
        <v>15</v>
      </c>
    </row>
    <row r="2" spans="1:4">
      <c r="A2" s="6"/>
      <c r="B2" s="7"/>
      <c r="C2" s="8"/>
      <c r="D2" s="7"/>
    </row>
    <row r="3" spans="1:4">
      <c r="A3" s="7"/>
      <c r="B3" s="7"/>
      <c r="C3" s="8"/>
      <c r="D3" s="7"/>
    </row>
    <row r="4" spans="1:4">
      <c r="A4" s="7"/>
      <c r="B4" s="7"/>
      <c r="C4" s="8"/>
      <c r="D4" s="7"/>
    </row>
    <row r="5" spans="1:4">
      <c r="A5" s="7"/>
      <c r="B5" s="7"/>
      <c r="C5" s="8"/>
      <c r="D5" s="7"/>
    </row>
    <row r="6" spans="1:4">
      <c r="A6" s="7"/>
      <c r="B6" s="7"/>
      <c r="C6" s="6"/>
      <c r="D6" s="7"/>
    </row>
    <row r="7" spans="1:4">
      <c r="A7" s="7"/>
      <c r="B7" s="7"/>
      <c r="C7" s="8"/>
      <c r="D7" s="7"/>
    </row>
    <row r="8" spans="1:4">
      <c r="A8" s="7"/>
      <c r="B8" s="7"/>
      <c r="C8" s="8"/>
      <c r="D8" s="7"/>
    </row>
    <row r="9" spans="1:4">
      <c r="A9" s="7"/>
      <c r="B9" s="7"/>
      <c r="C9" s="8"/>
      <c r="D9" s="7"/>
    </row>
    <row r="10" spans="1:4">
      <c r="A10" s="7"/>
      <c r="B10" s="7"/>
      <c r="C10" s="8"/>
      <c r="D10" s="7"/>
    </row>
    <row r="11" spans="1:4">
      <c r="A11" s="7"/>
      <c r="B11" s="7"/>
      <c r="C11" s="8"/>
      <c r="D11" s="7"/>
    </row>
    <row r="12" spans="1:4">
      <c r="A12" s="7"/>
      <c r="B12" s="7"/>
      <c r="C12" s="8"/>
      <c r="D12" s="7"/>
    </row>
    <row r="13" spans="1:4">
      <c r="A13" s="7"/>
      <c r="B13" s="7"/>
      <c r="C13" s="8"/>
      <c r="D13" s="7"/>
    </row>
    <row r="14" spans="1:4">
      <c r="A14" s="7"/>
      <c r="B14" s="7"/>
      <c r="C14" s="8"/>
      <c r="D14" s="7"/>
    </row>
    <row r="15" spans="1:4">
      <c r="A15" s="7"/>
      <c r="B15" s="7"/>
      <c r="C15" s="8"/>
      <c r="D15" s="7"/>
    </row>
    <row r="16" spans="1:4">
      <c r="A16" s="7"/>
      <c r="B16" s="7"/>
      <c r="C16" s="8"/>
      <c r="D16" s="7"/>
    </row>
    <row r="17" spans="1:4">
      <c r="A17" s="7"/>
      <c r="B17" s="7"/>
      <c r="C17" s="8"/>
      <c r="D17" s="7"/>
    </row>
    <row r="18" spans="1:4">
      <c r="A18" s="7"/>
      <c r="B18" s="7"/>
      <c r="C18" s="8"/>
      <c r="D18" s="7"/>
    </row>
    <row r="19" spans="1:4">
      <c r="A19" s="7"/>
      <c r="B19" s="7"/>
      <c r="C19" s="8"/>
      <c r="D19" s="7"/>
    </row>
    <row r="20" spans="1:4">
      <c r="A20" s="7"/>
      <c r="B20" s="7"/>
      <c r="C20" s="8"/>
      <c r="D20" s="7"/>
    </row>
    <row r="21" spans="1:4">
      <c r="A21" s="7"/>
      <c r="B21" s="7"/>
      <c r="C21" s="8"/>
      <c r="D21" s="7"/>
    </row>
    <row r="22" spans="1:4">
      <c r="A22" s="7"/>
      <c r="B22" s="7"/>
      <c r="C22" s="8"/>
      <c r="D22" s="7"/>
    </row>
    <row r="23" spans="1:4">
      <c r="A23" s="7"/>
      <c r="B23" s="7"/>
      <c r="C23" s="8"/>
      <c r="D23" s="7"/>
    </row>
    <row r="24" spans="1:4">
      <c r="A24" s="7"/>
      <c r="B24" s="7"/>
      <c r="C24" s="8"/>
      <c r="D24" s="7"/>
    </row>
    <row r="25" spans="1:4">
      <c r="A25" s="7"/>
      <c r="B25" s="7"/>
      <c r="C25" s="8"/>
      <c r="D25" s="7"/>
    </row>
    <row r="26" spans="1:4">
      <c r="A26" s="7"/>
      <c r="B26" s="7"/>
      <c r="C26" s="8"/>
      <c r="D26" s="7"/>
    </row>
    <row r="27" spans="1:4">
      <c r="A27" s="7"/>
      <c r="B27" s="7"/>
      <c r="C27" s="8"/>
      <c r="D27" s="7"/>
    </row>
    <row r="28" spans="1:4">
      <c r="A28" s="7"/>
      <c r="B28" s="7"/>
      <c r="C28" s="8"/>
      <c r="D28" s="7"/>
    </row>
    <row r="29" spans="1:4">
      <c r="A29" s="7"/>
      <c r="B29" s="7"/>
      <c r="C29" s="8"/>
      <c r="D29" s="7"/>
    </row>
    <row r="30" spans="1:4">
      <c r="A30" s="7"/>
      <c r="B30" s="7"/>
      <c r="C30" s="8"/>
      <c r="D30" s="7"/>
    </row>
    <row r="31" spans="1:4">
      <c r="A31" s="7"/>
      <c r="B31" s="7"/>
      <c r="C31" s="8"/>
      <c r="D31" s="7"/>
    </row>
    <row r="32" spans="1:4">
      <c r="A32" s="7"/>
      <c r="B32" s="7"/>
      <c r="C32" s="8"/>
      <c r="D32" s="7"/>
    </row>
    <row r="33" spans="1:4">
      <c r="A33" s="7"/>
      <c r="B33" s="7"/>
      <c r="C33" s="8"/>
      <c r="D33" s="7"/>
    </row>
    <row r="34" spans="1:4">
      <c r="A34" s="7"/>
      <c r="B34" s="7"/>
      <c r="C34" s="8"/>
      <c r="D34" s="7"/>
    </row>
    <row r="35" spans="1:4">
      <c r="A35" s="7"/>
      <c r="B35" s="7"/>
      <c r="C35" s="8"/>
      <c r="D35" s="7"/>
    </row>
    <row r="36" spans="1:4">
      <c r="A36" s="7"/>
      <c r="B36" s="7"/>
      <c r="C36" s="8"/>
      <c r="D36" s="7"/>
    </row>
    <row r="37" spans="1:4">
      <c r="A37" s="7"/>
      <c r="B37" s="7"/>
      <c r="C37" s="8"/>
      <c r="D37" s="7"/>
    </row>
    <row r="38" spans="1:4">
      <c r="A38" s="7"/>
      <c r="B38" s="7"/>
      <c r="C38" s="8"/>
      <c r="D38" s="7"/>
    </row>
    <row r="39" spans="1:4">
      <c r="A39" s="7"/>
      <c r="B39" s="7"/>
      <c r="C39" s="8"/>
      <c r="D39" s="7"/>
    </row>
    <row r="40" spans="1:4">
      <c r="A40" s="7"/>
      <c r="B40" s="7"/>
      <c r="C40" s="8"/>
      <c r="D40" s="7"/>
    </row>
    <row r="41" spans="1:4">
      <c r="A41" s="7"/>
      <c r="B41" s="7"/>
      <c r="C41" s="8"/>
      <c r="D41" s="7"/>
    </row>
    <row r="42" spans="1:4">
      <c r="A42" s="7"/>
      <c r="B42" s="7"/>
      <c r="C42" s="8"/>
      <c r="D42" s="7"/>
    </row>
    <row r="43" spans="1:4">
      <c r="A43" s="7"/>
      <c r="B43" s="7"/>
      <c r="C43" s="8"/>
      <c r="D43" s="7"/>
    </row>
    <row r="44" spans="1:4">
      <c r="A44" s="7"/>
      <c r="B44" s="7"/>
      <c r="C44" s="8"/>
      <c r="D44" s="7"/>
    </row>
    <row r="45" spans="1:4">
      <c r="A45" s="7"/>
      <c r="B45" s="7"/>
      <c r="C45" s="8"/>
      <c r="D45" s="7"/>
    </row>
    <row r="46" spans="1:4">
      <c r="A46" s="7"/>
      <c r="B46" s="7"/>
      <c r="C46" s="8"/>
      <c r="D46" s="7"/>
    </row>
    <row r="47" spans="1:4">
      <c r="A47" s="7"/>
      <c r="B47" s="7"/>
      <c r="C47" s="8"/>
      <c r="D47" s="7"/>
    </row>
    <row r="48" spans="1:4">
      <c r="A48" s="7"/>
      <c r="B48" s="7"/>
      <c r="C48" s="8"/>
      <c r="D48" s="7"/>
    </row>
    <row r="49" spans="1:4">
      <c r="A49" s="7"/>
      <c r="B49" s="7"/>
      <c r="C49" s="8"/>
      <c r="D49" s="7"/>
    </row>
    <row r="50" spans="1:4">
      <c r="A50" s="7"/>
      <c r="B50" s="7"/>
      <c r="C50" s="8"/>
      <c r="D50" s="7"/>
    </row>
    <row r="51" spans="1:4">
      <c r="A51" s="7"/>
      <c r="B51" s="7"/>
      <c r="C51" s="8"/>
      <c r="D51" s="7"/>
    </row>
    <row r="52" spans="1:4">
      <c r="A52" s="7"/>
      <c r="B52" s="7"/>
      <c r="C52" s="8"/>
      <c r="D52" s="7"/>
    </row>
    <row r="53" spans="1:4">
      <c r="A53" s="7"/>
      <c r="B53" s="7"/>
      <c r="C53" s="8"/>
      <c r="D53" s="7"/>
    </row>
    <row r="54" spans="1:4">
      <c r="A54" s="7"/>
      <c r="B54" s="7"/>
      <c r="C54" s="8"/>
      <c r="D54" s="7"/>
    </row>
    <row r="55" spans="1:4">
      <c r="A55" s="7"/>
      <c r="B55" s="7"/>
      <c r="C55" s="8"/>
      <c r="D55" s="7"/>
    </row>
    <row r="56" spans="1:4">
      <c r="A56" s="7"/>
      <c r="B56" s="7"/>
      <c r="C56" s="8"/>
      <c r="D56" s="7"/>
    </row>
    <row r="57" spans="1:4">
      <c r="A57" s="7"/>
      <c r="B57" s="7"/>
      <c r="C57" s="8"/>
      <c r="D57" s="7"/>
    </row>
    <row r="58" spans="1:4">
      <c r="A58" s="7"/>
      <c r="B58" s="7"/>
      <c r="C58" s="8"/>
      <c r="D58" s="7"/>
    </row>
    <row r="59" spans="1:4">
      <c r="A59" s="7"/>
      <c r="B59" s="7"/>
      <c r="C59" s="8"/>
      <c r="D59" s="7"/>
    </row>
    <row r="60" spans="1:4">
      <c r="A60" s="7"/>
      <c r="B60" s="7"/>
      <c r="C60" s="8"/>
      <c r="D60" s="7"/>
    </row>
    <row r="61" spans="1:4">
      <c r="A61" s="7"/>
      <c r="B61" s="7"/>
      <c r="C61" s="8"/>
      <c r="D61" s="7"/>
    </row>
    <row r="62" spans="1:4">
      <c r="A62" s="7"/>
      <c r="B62" s="7"/>
      <c r="C62" s="8"/>
      <c r="D62" s="7"/>
    </row>
    <row r="63" spans="1:4">
      <c r="A63" s="7"/>
      <c r="B63" s="7"/>
      <c r="C63" s="8"/>
      <c r="D63" s="7"/>
    </row>
    <row r="64" spans="1:4">
      <c r="A64" s="7"/>
      <c r="B64" s="7"/>
      <c r="C64" s="8"/>
      <c r="D64" s="7"/>
    </row>
    <row r="65" spans="1:4">
      <c r="A65" s="7"/>
      <c r="B65" s="7"/>
      <c r="C65" s="8"/>
      <c r="D65" s="7"/>
    </row>
    <row r="66" spans="1:4">
      <c r="A66" s="7"/>
      <c r="B66" s="7"/>
      <c r="C66" s="8"/>
      <c r="D66" s="7"/>
    </row>
    <row r="67" spans="1:4">
      <c r="A67" s="7"/>
      <c r="B67" s="7"/>
      <c r="C67" s="8"/>
      <c r="D67" s="7"/>
    </row>
    <row r="68" spans="1:4">
      <c r="A68" s="7"/>
      <c r="B68" s="7"/>
      <c r="C68" s="8"/>
      <c r="D68" s="7"/>
    </row>
    <row r="69" spans="1:4">
      <c r="A69" s="7"/>
      <c r="B69" s="7"/>
      <c r="C69" s="8"/>
      <c r="D69" s="7"/>
    </row>
    <row r="70" spans="1:4">
      <c r="A70" s="7"/>
      <c r="B70" s="7"/>
      <c r="C70" s="8"/>
      <c r="D70" s="7"/>
    </row>
    <row r="71" spans="1:4">
      <c r="A71" s="7"/>
      <c r="B71" s="7"/>
      <c r="C71" s="8"/>
      <c r="D71" s="7"/>
    </row>
    <row r="72" spans="1:4">
      <c r="A72" s="7"/>
      <c r="B72" s="7"/>
      <c r="C72" s="8"/>
      <c r="D72" s="7"/>
    </row>
    <row r="73" spans="1:4">
      <c r="A73" s="7"/>
      <c r="B73" s="7"/>
      <c r="C73" s="8"/>
      <c r="D73" s="7"/>
    </row>
    <row r="74" spans="1:4">
      <c r="A74" s="7"/>
      <c r="B74" s="7"/>
      <c r="C74" s="8"/>
      <c r="D74" s="7"/>
    </row>
    <row r="75" spans="1:4">
      <c r="A75" s="7"/>
      <c r="B75" s="7"/>
      <c r="C75" s="8"/>
      <c r="D75" s="7"/>
    </row>
    <row r="76" spans="1:4">
      <c r="A76" s="7"/>
      <c r="B76" s="7"/>
      <c r="C76" s="8"/>
      <c r="D76" s="7"/>
    </row>
    <row r="77" spans="1:4">
      <c r="A77" s="7"/>
      <c r="B77" s="7"/>
      <c r="C77" s="6"/>
      <c r="D77" s="7"/>
    </row>
    <row r="78" spans="1:4">
      <c r="A78" s="7"/>
      <c r="B78" s="7"/>
      <c r="C78" s="8"/>
      <c r="D78" s="7"/>
    </row>
    <row r="79" spans="1:4">
      <c r="A79" s="7"/>
      <c r="B79" s="7"/>
      <c r="C79" s="8"/>
      <c r="D79" s="7"/>
    </row>
    <row r="80" spans="1:4">
      <c r="A80" s="7"/>
      <c r="B80" s="7"/>
      <c r="C80" s="8"/>
      <c r="D80" s="7"/>
    </row>
    <row r="81" spans="1:4">
      <c r="A81" s="7"/>
      <c r="B81" s="7"/>
      <c r="C81" s="8"/>
      <c r="D81" s="7"/>
    </row>
    <row r="82" spans="1:4">
      <c r="A82" s="7"/>
      <c r="B82" s="7"/>
      <c r="C82" s="8"/>
      <c r="D82" s="7"/>
    </row>
    <row r="83" spans="1:4">
      <c r="A83" s="7"/>
      <c r="B83" s="7"/>
      <c r="C83" s="8"/>
      <c r="D83" s="7"/>
    </row>
    <row r="84" spans="1:4">
      <c r="A84" s="7"/>
      <c r="B84" s="7"/>
      <c r="C84" s="8"/>
      <c r="D84" s="7"/>
    </row>
    <row r="85" spans="1:4">
      <c r="A85" s="7"/>
      <c r="B85" s="7"/>
      <c r="C85" s="8"/>
      <c r="D85" s="7"/>
    </row>
    <row r="86" spans="1:4">
      <c r="A86" s="7"/>
      <c r="B86" s="7"/>
      <c r="C86" s="8"/>
      <c r="D86" s="7"/>
    </row>
    <row r="87" spans="1:4">
      <c r="A87" s="7"/>
      <c r="B87" s="7"/>
      <c r="C87" s="8"/>
      <c r="D87" s="7"/>
    </row>
    <row r="88" spans="1:4">
      <c r="A88" s="7"/>
      <c r="B88" s="7"/>
      <c r="C88" s="8"/>
      <c r="D88" s="7"/>
    </row>
    <row r="89" spans="1:4">
      <c r="A89" s="7"/>
      <c r="B89" s="7"/>
      <c r="C89" s="8"/>
      <c r="D89" s="7"/>
    </row>
    <row r="90" spans="1:4">
      <c r="A90" s="7"/>
      <c r="B90" s="7"/>
      <c r="C90" s="8"/>
      <c r="D90" s="7"/>
    </row>
    <row r="91" spans="1:4">
      <c r="A91" s="7"/>
      <c r="B91" s="7"/>
      <c r="C91" s="8"/>
      <c r="D91" s="7"/>
    </row>
    <row r="92" spans="1:4">
      <c r="A92" s="7"/>
      <c r="B92" s="7"/>
      <c r="C92" s="8"/>
      <c r="D92" s="7"/>
    </row>
    <row r="93" spans="1:4">
      <c r="A93" s="7"/>
      <c r="B93" s="7"/>
      <c r="C93" s="6"/>
      <c r="D93" s="7"/>
    </row>
    <row r="94" spans="1:4">
      <c r="A94" s="7"/>
      <c r="B94" s="7"/>
      <c r="C94" s="8"/>
      <c r="D94" s="7"/>
    </row>
    <row r="95" spans="1:4">
      <c r="A95" s="7"/>
      <c r="B95" s="7"/>
      <c r="C95" s="8"/>
      <c r="D95" s="7"/>
    </row>
    <row r="96" spans="1:4">
      <c r="A96" s="7"/>
      <c r="B96" s="7"/>
      <c r="C96" s="8"/>
      <c r="D96" s="7"/>
    </row>
    <row r="97" spans="1:4">
      <c r="A97" s="7"/>
      <c r="B97" s="7"/>
      <c r="C97" s="8"/>
      <c r="D97" s="7"/>
    </row>
    <row r="98" spans="1:4">
      <c r="A98" s="7"/>
      <c r="B98" s="7"/>
      <c r="C98" s="8"/>
      <c r="D98" s="7"/>
    </row>
    <row r="99" spans="1:4">
      <c r="A99" s="7"/>
      <c r="B99" s="7"/>
      <c r="C99" s="8"/>
      <c r="D99" s="7"/>
    </row>
    <row r="100" spans="1:4">
      <c r="A100" s="7"/>
      <c r="B100" s="7"/>
      <c r="C100" s="8"/>
      <c r="D100" s="7"/>
    </row>
    <row r="101" spans="1:4">
      <c r="A101" s="7"/>
      <c r="B101" s="7"/>
      <c r="C101" s="18"/>
      <c r="D101" s="7"/>
    </row>
    <row r="102" spans="1:4">
      <c r="A102" s="7"/>
      <c r="B102" s="7"/>
      <c r="C102" s="8"/>
      <c r="D102" s="7"/>
    </row>
    <row r="103" spans="1:4">
      <c r="A103" s="7"/>
      <c r="B103" s="7"/>
      <c r="C103" s="8"/>
      <c r="D103" s="7"/>
    </row>
    <row r="104" spans="1:4">
      <c r="A104" s="7"/>
      <c r="B104" s="7"/>
      <c r="C104" s="8"/>
      <c r="D104" s="7"/>
    </row>
    <row r="105" spans="1:4">
      <c r="A105" s="7"/>
      <c r="B105" s="7"/>
      <c r="C105" s="8"/>
      <c r="D105" s="7"/>
    </row>
    <row r="106" spans="1:4">
      <c r="A106" s="7"/>
      <c r="B106" s="7"/>
      <c r="C106" s="8"/>
      <c r="D106" s="7"/>
    </row>
    <row r="107" spans="1:4">
      <c r="A107" s="7"/>
      <c r="B107" s="7"/>
      <c r="C107" s="8"/>
      <c r="D107" s="7"/>
    </row>
    <row r="108" spans="1:4">
      <c r="A108" s="7"/>
      <c r="B108" s="7"/>
      <c r="C108" s="8"/>
      <c r="D108" s="7"/>
    </row>
    <row r="109" spans="1:4">
      <c r="A109" s="7"/>
      <c r="B109" s="7"/>
      <c r="C109" s="8"/>
      <c r="D109" s="7"/>
    </row>
    <row r="110" spans="1:4">
      <c r="A110" s="7"/>
      <c r="B110" s="7"/>
      <c r="C110" s="8"/>
      <c r="D110" s="7"/>
    </row>
    <row r="111" spans="1:4">
      <c r="A111" s="7"/>
      <c r="B111" s="7"/>
      <c r="C111" s="8"/>
      <c r="D111" s="7"/>
    </row>
    <row r="112" spans="1:4">
      <c r="A112" s="7"/>
      <c r="B112" s="7"/>
      <c r="C112" s="8"/>
      <c r="D112" s="7"/>
    </row>
    <row r="113" spans="1:4">
      <c r="A113" s="7"/>
      <c r="B113" s="7"/>
      <c r="C113" s="8"/>
      <c r="D113" s="7"/>
    </row>
    <row r="114" spans="1:4">
      <c r="A114" s="7"/>
      <c r="B114" s="7"/>
      <c r="C114" s="8"/>
      <c r="D114" s="7"/>
    </row>
    <row r="115" spans="1:4">
      <c r="A115" s="7"/>
      <c r="B115" s="7"/>
      <c r="C115" s="8"/>
      <c r="D115" s="7"/>
    </row>
    <row r="116" spans="1:4">
      <c r="A116" s="7"/>
      <c r="B116" s="7"/>
      <c r="C116" s="8"/>
      <c r="D116" s="7"/>
    </row>
    <row r="117" spans="1:4">
      <c r="A117" s="7"/>
      <c r="B117" s="7"/>
      <c r="C117" s="8"/>
      <c r="D117" s="7"/>
    </row>
    <row r="118" spans="1:4">
      <c r="A118" s="7"/>
      <c r="B118" s="7"/>
      <c r="C118" s="8"/>
      <c r="D118" s="7"/>
    </row>
    <row r="119" spans="1:4">
      <c r="A119" s="7"/>
      <c r="B119" s="7"/>
      <c r="C119" s="8"/>
      <c r="D119" s="7"/>
    </row>
    <row r="120" spans="1:4">
      <c r="A120" s="7"/>
      <c r="B120" s="7"/>
      <c r="C120" s="8"/>
      <c r="D120" s="7"/>
    </row>
    <row r="121" spans="1:4">
      <c r="A121" s="7"/>
      <c r="B121" s="7"/>
      <c r="C121" s="8"/>
      <c r="D121" s="7"/>
    </row>
    <row r="122" spans="1:4">
      <c r="A122" s="7"/>
      <c r="B122" s="7"/>
      <c r="C122" s="8"/>
      <c r="D122" s="7"/>
    </row>
    <row r="123" spans="1:4">
      <c r="A123" s="7"/>
      <c r="B123" s="7"/>
      <c r="C123" s="8"/>
      <c r="D123" s="7"/>
    </row>
    <row r="124" spans="1:4">
      <c r="A124" s="7"/>
      <c r="B124" s="7"/>
      <c r="C124" s="8"/>
      <c r="D124" s="7"/>
    </row>
    <row r="125" spans="1:4">
      <c r="A125" s="7"/>
      <c r="B125" s="7"/>
      <c r="C125" s="8"/>
      <c r="D125" s="7"/>
    </row>
    <row r="126" spans="1:4">
      <c r="A126" s="7"/>
      <c r="B126" s="7"/>
      <c r="C126" s="8"/>
      <c r="D126" s="7"/>
    </row>
    <row r="127" spans="1:4">
      <c r="A127" s="7"/>
      <c r="B127" s="7"/>
      <c r="C127" s="8"/>
      <c r="D127" s="7"/>
    </row>
    <row r="128" spans="1:4">
      <c r="A128" s="7"/>
      <c r="B128" s="7"/>
      <c r="C128" s="8"/>
      <c r="D128" s="7"/>
    </row>
    <row r="129" spans="1:4">
      <c r="A129" s="7"/>
      <c r="B129" s="7"/>
      <c r="C129" s="8"/>
      <c r="D129" s="7"/>
    </row>
    <row r="130" spans="1:4">
      <c r="A130" s="7"/>
      <c r="B130" s="7"/>
      <c r="C130" s="8"/>
      <c r="D130" s="7"/>
    </row>
    <row r="131" spans="1:4">
      <c r="A131" s="7"/>
      <c r="B131" s="7"/>
      <c r="C131" s="8"/>
      <c r="D131" s="7"/>
    </row>
    <row r="132" spans="1:4">
      <c r="A132" s="7"/>
      <c r="B132" s="7"/>
      <c r="C132" s="8"/>
      <c r="D132" s="7"/>
    </row>
    <row r="133" spans="1:4">
      <c r="A133" s="7"/>
      <c r="B133" s="7"/>
      <c r="C133" s="8"/>
      <c r="D133" s="7"/>
    </row>
    <row r="134" spans="1:4">
      <c r="A134" s="7"/>
      <c r="B134" s="7"/>
      <c r="C134" s="8"/>
      <c r="D134" s="7"/>
    </row>
    <row r="135" spans="1:4">
      <c r="A135" s="7"/>
      <c r="B135" s="7"/>
      <c r="C135" s="8"/>
      <c r="D135" s="7"/>
    </row>
    <row r="136" spans="1:4">
      <c r="A136" s="7"/>
      <c r="B136" s="7"/>
      <c r="C136" s="8"/>
      <c r="D136" s="7"/>
    </row>
    <row r="137" spans="1:4">
      <c r="A137" s="7"/>
      <c r="B137" s="7"/>
      <c r="C137" s="8"/>
      <c r="D137" s="7"/>
    </row>
    <row r="138" spans="1:4">
      <c r="A138" s="7"/>
      <c r="B138" s="7"/>
      <c r="C138" s="8"/>
      <c r="D138" s="7"/>
    </row>
    <row r="139" spans="1:4">
      <c r="A139" s="7"/>
      <c r="B139" s="7"/>
      <c r="C139" s="8"/>
      <c r="D139" s="7"/>
    </row>
    <row r="140" spans="1:4">
      <c r="A140" s="7"/>
      <c r="B140" s="7"/>
      <c r="C140" s="8"/>
      <c r="D140" s="7"/>
    </row>
    <row r="141" spans="1:4">
      <c r="A141" s="7"/>
      <c r="B141" s="7"/>
      <c r="C141" s="8"/>
      <c r="D141" s="7"/>
    </row>
    <row r="142" spans="1:4">
      <c r="A142" s="7"/>
      <c r="B142" s="7"/>
      <c r="C142" s="8"/>
      <c r="D142" s="7"/>
    </row>
    <row r="143" spans="1:4">
      <c r="A143" s="7"/>
      <c r="B143" s="7"/>
      <c r="C143" s="8"/>
      <c r="D143" s="7"/>
    </row>
    <row r="144" spans="1:4">
      <c r="A144" s="7"/>
      <c r="B144" s="7"/>
      <c r="C144" s="8"/>
      <c r="D144" s="7"/>
    </row>
    <row r="145" spans="1:4">
      <c r="A145" s="7"/>
      <c r="B145" s="7"/>
      <c r="C145" s="8"/>
      <c r="D145" s="7"/>
    </row>
    <row r="146" spans="1:4">
      <c r="A146" s="7"/>
      <c r="B146" s="7"/>
      <c r="C146" s="8"/>
      <c r="D146" s="7"/>
    </row>
    <row r="147" spans="1:4">
      <c r="A147" s="7"/>
      <c r="B147" s="7"/>
      <c r="C147" s="8"/>
      <c r="D147" s="7"/>
    </row>
    <row r="148" spans="1:4">
      <c r="A148" s="7"/>
      <c r="B148" s="7"/>
      <c r="C148" s="8"/>
      <c r="D148" s="7"/>
    </row>
    <row r="149" spans="1:4">
      <c r="A149" s="7"/>
      <c r="B149" s="7"/>
      <c r="C149" s="8"/>
      <c r="D149" s="7"/>
    </row>
    <row r="150" spans="1:4">
      <c r="A150" s="7"/>
      <c r="B150" s="7"/>
      <c r="C150" s="8"/>
      <c r="D150" s="7"/>
    </row>
    <row r="151" spans="1:4">
      <c r="A151" s="7"/>
      <c r="B151" s="7"/>
      <c r="C151" s="8"/>
      <c r="D151" s="7"/>
    </row>
    <row r="152" spans="1:4">
      <c r="A152" s="7"/>
      <c r="B152" s="7"/>
      <c r="C152" s="8"/>
      <c r="D152" s="7"/>
    </row>
    <row r="153" spans="1:4">
      <c r="A153" s="7"/>
      <c r="B153" s="7"/>
      <c r="C153" s="8"/>
      <c r="D153" s="7"/>
    </row>
    <row r="154" spans="1:4">
      <c r="A154" s="7"/>
      <c r="B154" s="7"/>
      <c r="C154" s="8"/>
      <c r="D154" s="7"/>
    </row>
    <row r="155" spans="1:4">
      <c r="A155" s="7"/>
      <c r="B155" s="7"/>
      <c r="C155" s="8"/>
      <c r="D155" s="7"/>
    </row>
    <row r="156" spans="1:4">
      <c r="A156" s="7"/>
      <c r="B156" s="7"/>
      <c r="C156" s="8"/>
      <c r="D156" s="7"/>
    </row>
    <row r="157" spans="1:4">
      <c r="A157" s="7"/>
      <c r="B157" s="7"/>
      <c r="C157" s="8"/>
      <c r="D157" s="7"/>
    </row>
    <row r="158" spans="1:4">
      <c r="A158" s="7"/>
      <c r="B158" s="7"/>
      <c r="C158" s="8"/>
      <c r="D158" s="7"/>
    </row>
    <row r="159" spans="1:4">
      <c r="A159" s="7"/>
      <c r="B159" s="7"/>
      <c r="C159" s="8"/>
      <c r="D159" s="7"/>
    </row>
    <row r="160" spans="1:4">
      <c r="A160" s="7"/>
      <c r="B160" s="7"/>
      <c r="C160" s="8"/>
      <c r="D160" s="7"/>
    </row>
    <row r="161" spans="1:4">
      <c r="A161" s="7"/>
      <c r="B161" s="7"/>
      <c r="C161" s="8"/>
      <c r="D161" s="7"/>
    </row>
    <row r="162" spans="1:4">
      <c r="A162" s="7"/>
      <c r="B162" s="7"/>
      <c r="C162" s="8"/>
      <c r="D162" s="7"/>
    </row>
    <row r="163" spans="1:4">
      <c r="A163" s="7"/>
      <c r="B163" s="7"/>
      <c r="C163" s="8"/>
      <c r="D163" s="7"/>
    </row>
    <row r="164" spans="1:4">
      <c r="A164" s="7"/>
      <c r="B164" s="7"/>
      <c r="C164" s="8"/>
      <c r="D164" s="7"/>
    </row>
    <row r="165" spans="1:4">
      <c r="A165" s="7"/>
      <c r="B165" s="7"/>
      <c r="C165" s="8"/>
      <c r="D165" s="7"/>
    </row>
    <row r="166" spans="1:4">
      <c r="A166" s="7"/>
      <c r="B166" s="7"/>
      <c r="C166" s="8"/>
      <c r="D166" s="7"/>
    </row>
    <row r="167" spans="1:4">
      <c r="A167" s="7"/>
      <c r="B167" s="7"/>
      <c r="C167" s="8"/>
      <c r="D167" s="7"/>
    </row>
    <row r="168" spans="1:4">
      <c r="A168" s="7"/>
      <c r="B168" s="7"/>
      <c r="C168" s="8"/>
      <c r="D168" s="7"/>
    </row>
    <row r="169" spans="1:4">
      <c r="A169" s="7"/>
      <c r="B169" s="7"/>
      <c r="C169" s="8"/>
      <c r="D169" s="7"/>
    </row>
    <row r="170" spans="1:4">
      <c r="A170" s="7"/>
      <c r="B170" s="7"/>
      <c r="C170" s="8"/>
      <c r="D170" s="7"/>
    </row>
    <row r="171" spans="1:4">
      <c r="A171" s="7"/>
      <c r="B171" s="7"/>
      <c r="C171" s="8"/>
      <c r="D171" s="7"/>
    </row>
    <row r="172" spans="1:4">
      <c r="A172" s="7"/>
      <c r="B172" s="7"/>
      <c r="C172" s="8"/>
      <c r="D172" s="7"/>
    </row>
    <row r="173" spans="1:4">
      <c r="A173" s="7"/>
      <c r="B173" s="7"/>
      <c r="C173" s="8"/>
      <c r="D173" s="7"/>
    </row>
    <row r="174" spans="1:4">
      <c r="A174" s="7"/>
      <c r="B174" s="7"/>
      <c r="C174" s="8"/>
      <c r="D174" s="7"/>
    </row>
    <row r="175" spans="1:4">
      <c r="A175" s="7"/>
      <c r="B175" s="7"/>
      <c r="C175" s="8"/>
      <c r="D175" s="7"/>
    </row>
    <row r="176" spans="1:4">
      <c r="A176" s="7"/>
      <c r="B176" s="7"/>
      <c r="C176" s="8"/>
      <c r="D176" s="7"/>
    </row>
    <row r="177" spans="1:4">
      <c r="A177" s="7"/>
      <c r="B177" s="7"/>
      <c r="C177" s="8"/>
      <c r="D177" s="7"/>
    </row>
    <row r="178" spans="1:4">
      <c r="A178" s="7"/>
      <c r="B178" s="7"/>
      <c r="C178" s="8"/>
      <c r="D178" s="7"/>
    </row>
    <row r="179" spans="1:4">
      <c r="A179" s="7"/>
      <c r="B179" s="7"/>
      <c r="C179" s="8"/>
      <c r="D179" s="7"/>
    </row>
    <row r="180" spans="1:4">
      <c r="A180" s="7"/>
      <c r="B180" s="7"/>
      <c r="C180" s="8"/>
      <c r="D180" s="7"/>
    </row>
    <row r="181" spans="1:4">
      <c r="A181" s="7"/>
      <c r="B181" s="7"/>
      <c r="C181" s="8"/>
      <c r="D181" s="7"/>
    </row>
    <row r="182" spans="1:4">
      <c r="A182" s="7"/>
      <c r="B182" s="7"/>
      <c r="C182" s="8"/>
      <c r="D182" s="7"/>
    </row>
    <row r="183" spans="1:4">
      <c r="A183" s="7"/>
      <c r="B183" s="7"/>
      <c r="C183" s="8"/>
      <c r="D183" s="7"/>
    </row>
    <row r="184" spans="1:4">
      <c r="A184" s="7"/>
      <c r="B184" s="7"/>
      <c r="C184" s="8"/>
      <c r="D184" s="7"/>
    </row>
    <row r="185" spans="1:4">
      <c r="A185" s="7"/>
      <c r="B185" s="7"/>
      <c r="C185" s="8"/>
      <c r="D185" s="7"/>
    </row>
    <row r="186" spans="1:4">
      <c r="A186" s="7"/>
      <c r="B186" s="7"/>
      <c r="C186" s="8"/>
      <c r="D186" s="7"/>
    </row>
    <row r="187" spans="1:4">
      <c r="A187" s="7"/>
      <c r="B187" s="7"/>
      <c r="C187" s="8"/>
      <c r="D187" s="7"/>
    </row>
    <row r="188" spans="1:4">
      <c r="A188" s="7"/>
      <c r="B188" s="7"/>
      <c r="C188" s="8"/>
      <c r="D188" s="7"/>
    </row>
    <row r="189" spans="1:4">
      <c r="A189" s="7"/>
      <c r="B189" s="7"/>
      <c r="C189" s="8"/>
      <c r="D189" s="7"/>
    </row>
    <row r="190" spans="1:4">
      <c r="A190" s="7"/>
      <c r="B190" s="7"/>
      <c r="C190" s="8"/>
      <c r="D190" s="7"/>
    </row>
    <row r="191" spans="1:4">
      <c r="A191" s="7"/>
      <c r="B191" s="7"/>
      <c r="C191" s="8"/>
      <c r="D191" s="7"/>
    </row>
    <row r="192" spans="1:4">
      <c r="A192" s="7"/>
      <c r="B192" s="7"/>
      <c r="C192" s="8"/>
      <c r="D192" s="7"/>
    </row>
    <row r="193" spans="1:4">
      <c r="A193" s="7"/>
      <c r="B193" s="7"/>
      <c r="C193" s="8"/>
      <c r="D193" s="7"/>
    </row>
    <row r="194" spans="1:4">
      <c r="A194" s="7"/>
      <c r="B194" s="7"/>
      <c r="C194" s="8"/>
      <c r="D194" s="7"/>
    </row>
    <row r="195" spans="1:4">
      <c r="A195" s="7"/>
      <c r="B195" s="7"/>
      <c r="C195" s="8"/>
      <c r="D195" s="7"/>
    </row>
    <row r="196" spans="1:4">
      <c r="A196" s="7"/>
      <c r="B196" s="7"/>
      <c r="C196" s="8"/>
      <c r="D196" s="7"/>
    </row>
    <row r="197" spans="1:4">
      <c r="A197" s="7"/>
      <c r="B197" s="7"/>
      <c r="C197" s="8"/>
      <c r="D197" s="7"/>
    </row>
    <row r="198" spans="1:4">
      <c r="A198" s="7"/>
      <c r="B198" s="7"/>
      <c r="C198" s="8"/>
      <c r="D198" s="7"/>
    </row>
    <row r="199" spans="1:4">
      <c r="A199" s="7"/>
      <c r="B199" s="7"/>
      <c r="C199" s="8"/>
      <c r="D199" s="7"/>
    </row>
    <row r="200" spans="1:4">
      <c r="A200" s="7"/>
      <c r="B200" s="7"/>
      <c r="C200" s="8"/>
      <c r="D200" s="7"/>
    </row>
    <row r="201" spans="1:4">
      <c r="A201" s="7"/>
      <c r="B201" s="7"/>
      <c r="C201" s="8"/>
      <c r="D201" s="7"/>
    </row>
    <row r="202" spans="1:4">
      <c r="A202" s="7"/>
      <c r="B202" s="7"/>
      <c r="C202" s="8"/>
    </row>
    <row r="203" spans="1:4">
      <c r="A203" s="7"/>
      <c r="B203" s="7"/>
      <c r="C203" s="8"/>
    </row>
    <row r="204" spans="1:4">
      <c r="A204" s="7"/>
      <c r="B204" s="7"/>
      <c r="C204" s="8"/>
    </row>
    <row r="205" spans="1:4">
      <c r="A205" s="7"/>
      <c r="B205" s="7"/>
      <c r="C205" s="8"/>
    </row>
    <row r="206" spans="1:4">
      <c r="A206" s="7"/>
      <c r="B206" s="7"/>
      <c r="C206" s="8"/>
    </row>
    <row r="207" spans="1:4">
      <c r="A207" s="7"/>
      <c r="B207" s="7"/>
      <c r="C207" s="8"/>
    </row>
    <row r="208" spans="1:4">
      <c r="A208" s="7"/>
      <c r="B208" s="7"/>
      <c r="C208" s="8"/>
    </row>
    <row r="209" spans="1:3">
      <c r="A209" s="7"/>
      <c r="B209" s="7"/>
      <c r="C209" s="8"/>
    </row>
    <row r="210" spans="1:3">
      <c r="A210" s="7"/>
      <c r="B210" s="7"/>
      <c r="C210" s="8"/>
    </row>
    <row r="211" spans="1:3">
      <c r="A211" s="7"/>
      <c r="B211" s="7"/>
      <c r="C211" s="8"/>
    </row>
    <row r="212" spans="1:3">
      <c r="A212" s="7"/>
      <c r="B212" s="7"/>
      <c r="C212" s="8"/>
    </row>
    <row r="213" spans="1:3">
      <c r="A213" s="7"/>
      <c r="B213" s="7"/>
      <c r="C213" s="8"/>
    </row>
    <row r="214" spans="1:3">
      <c r="A214" s="7"/>
      <c r="B214" s="7"/>
      <c r="C214" s="8"/>
    </row>
    <row r="215" spans="1:3">
      <c r="A215" s="7"/>
      <c r="B215" s="7"/>
      <c r="C215" s="8"/>
    </row>
    <row r="216" spans="1:3">
      <c r="A216" s="7"/>
      <c r="B216" s="7"/>
      <c r="C216" s="8"/>
    </row>
    <row r="217" spans="1:3">
      <c r="A217" s="7"/>
      <c r="B217" s="7"/>
      <c r="C217" s="8"/>
    </row>
    <row r="218" spans="1:3">
      <c r="A218" s="7"/>
      <c r="B218" s="7"/>
      <c r="C218" s="8"/>
    </row>
    <row r="219" spans="1:3">
      <c r="A219" s="7"/>
      <c r="B219" s="7"/>
      <c r="C219" s="8"/>
    </row>
    <row r="220" spans="1:3">
      <c r="A220" s="7"/>
      <c r="B220" s="7"/>
      <c r="C220" s="8"/>
    </row>
    <row r="221" spans="1:3">
      <c r="A221" s="7"/>
      <c r="B221" s="7"/>
      <c r="C221" s="8"/>
    </row>
    <row r="222" spans="1:3">
      <c r="A222" s="7"/>
      <c r="B222" s="7"/>
      <c r="C222" s="8"/>
    </row>
    <row r="223" spans="1:3">
      <c r="A223" s="7"/>
      <c r="B223" s="7"/>
      <c r="C223" s="8"/>
    </row>
    <row r="224" spans="1:3">
      <c r="A224" s="7"/>
      <c r="B224" s="7"/>
      <c r="C224" s="8"/>
    </row>
    <row r="225" spans="1:3">
      <c r="A225" s="7"/>
      <c r="B225" s="7"/>
      <c r="C225" s="8"/>
    </row>
    <row r="226" spans="1:3">
      <c r="A226" s="7"/>
      <c r="B226" s="7"/>
      <c r="C226" s="8"/>
    </row>
    <row r="227" spans="1:3">
      <c r="A227" s="7"/>
      <c r="B227" s="7"/>
      <c r="C227" s="8"/>
    </row>
    <row r="228" spans="1:3">
      <c r="A228" s="7"/>
      <c r="B228" s="7"/>
      <c r="C228" s="8"/>
    </row>
    <row r="229" spans="1:3">
      <c r="A229" s="7"/>
      <c r="B229" s="7"/>
      <c r="C229" s="8"/>
    </row>
    <row r="230" spans="1:3">
      <c r="A230" s="7"/>
      <c r="B230" s="7"/>
      <c r="C230" s="8"/>
    </row>
    <row r="231" spans="1:3">
      <c r="A231" s="7"/>
      <c r="B231" s="7"/>
      <c r="C231" s="8"/>
    </row>
    <row r="232" spans="1:3">
      <c r="A232" s="7"/>
      <c r="B232" s="7"/>
      <c r="C232" s="8"/>
    </row>
    <row r="233" spans="1:3">
      <c r="A233" s="7"/>
      <c r="B233" s="7"/>
      <c r="C233" s="8"/>
    </row>
    <row r="234" spans="1:3">
      <c r="A234" s="7"/>
      <c r="B234" s="7"/>
      <c r="C234" s="8"/>
    </row>
    <row r="235" spans="1:3">
      <c r="A235" s="7"/>
      <c r="B235" s="7"/>
      <c r="C235" s="8"/>
    </row>
    <row r="236" spans="1:3">
      <c r="A236" s="7"/>
      <c r="B236" s="7"/>
      <c r="C236" s="8"/>
    </row>
    <row r="237" spans="1:3">
      <c r="A237" s="7"/>
      <c r="B237" s="7"/>
      <c r="C237" s="8"/>
    </row>
    <row r="238" spans="1:3">
      <c r="A238" s="7"/>
      <c r="B238" s="7"/>
      <c r="C238" s="8"/>
    </row>
    <row r="239" spans="1:3">
      <c r="A239" s="7"/>
      <c r="B239" s="7"/>
      <c r="C239" s="8"/>
    </row>
    <row r="240" spans="1:3">
      <c r="A240" s="7"/>
      <c r="B240" s="7"/>
      <c r="C240" s="8"/>
    </row>
    <row r="241" spans="1:3">
      <c r="A241" s="7"/>
      <c r="B241" s="7"/>
      <c r="C241" s="8"/>
    </row>
    <row r="242" spans="1:3">
      <c r="A242" s="7"/>
      <c r="B242" s="7"/>
      <c r="C242" s="8"/>
    </row>
    <row r="243" spans="1:3">
      <c r="A243" s="7"/>
      <c r="B243" s="7"/>
      <c r="C243" s="8"/>
    </row>
    <row r="244" spans="1:3">
      <c r="A244" s="7"/>
      <c r="B244" s="7"/>
      <c r="C244" s="8"/>
    </row>
    <row r="245" spans="1:3">
      <c r="A245" s="7"/>
      <c r="B245" s="7"/>
      <c r="C245" s="8"/>
    </row>
    <row r="246" spans="1:3">
      <c r="A246" s="7"/>
      <c r="B246" s="7"/>
      <c r="C246" s="8"/>
    </row>
    <row r="247" spans="1:3">
      <c r="A247" s="7"/>
      <c r="B247" s="7"/>
      <c r="C247" s="8"/>
    </row>
    <row r="248" spans="1:3">
      <c r="A248" s="7"/>
      <c r="B248" s="7"/>
      <c r="C248" s="8"/>
    </row>
    <row r="249" spans="1:3">
      <c r="A249" s="7"/>
      <c r="B249" s="7"/>
      <c r="C249" s="8"/>
    </row>
    <row r="250" spans="1:3">
      <c r="A250" s="7"/>
      <c r="B250" s="7"/>
      <c r="C250" s="8"/>
    </row>
    <row r="251" spans="1:3">
      <c r="A251" s="7"/>
      <c r="B251" s="7"/>
      <c r="C251" s="8"/>
    </row>
    <row r="252" spans="1:3">
      <c r="A252" s="7"/>
      <c r="B252" s="7"/>
      <c r="C252" s="8"/>
    </row>
    <row r="253" spans="1:3">
      <c r="A253" s="7"/>
      <c r="B253" s="7"/>
      <c r="C253" s="8"/>
    </row>
    <row r="254" spans="1:3">
      <c r="A254" s="7"/>
      <c r="B254" s="7"/>
      <c r="C254" s="8"/>
    </row>
    <row r="255" spans="1:3">
      <c r="A255" s="7"/>
      <c r="B255" s="7"/>
      <c r="C255" s="8"/>
    </row>
    <row r="256" spans="1:3">
      <c r="A256" s="7"/>
      <c r="B256" s="7"/>
      <c r="C256" s="8"/>
    </row>
    <row r="257" spans="1:3">
      <c r="A257" s="7"/>
      <c r="B257" s="7"/>
      <c r="C257" s="8"/>
    </row>
    <row r="258" spans="1:3">
      <c r="A258" s="7"/>
      <c r="B258" s="7"/>
      <c r="C258" s="8"/>
    </row>
    <row r="259" spans="1:3">
      <c r="A259" s="7"/>
      <c r="B259" s="7"/>
      <c r="C259" s="8"/>
    </row>
    <row r="260" spans="1:3">
      <c r="A260" s="7"/>
      <c r="B260" s="7"/>
      <c r="C260" s="8"/>
    </row>
    <row r="261" spans="1:3">
      <c r="A261" s="7"/>
      <c r="B261" s="7"/>
      <c r="C261" s="8"/>
    </row>
    <row r="262" spans="1:3">
      <c r="A262" s="7"/>
      <c r="B262" s="7"/>
      <c r="C262" s="8"/>
    </row>
    <row r="263" spans="1:3">
      <c r="A263" s="7"/>
      <c r="B263" s="7"/>
      <c r="C263" s="6"/>
    </row>
    <row r="264" spans="1:3">
      <c r="A264" s="7"/>
      <c r="B264" s="7"/>
      <c r="C264" s="6"/>
    </row>
    <row r="265" spans="1:3">
      <c r="A265" s="7"/>
      <c r="B265" s="7"/>
      <c r="C265" s="6"/>
    </row>
    <row r="266" spans="1:3">
      <c r="A266" s="7"/>
      <c r="B266" s="7"/>
      <c r="C266" s="8"/>
    </row>
    <row r="267" spans="1:3">
      <c r="A267" s="7"/>
      <c r="B267" s="7"/>
      <c r="C267" s="8"/>
    </row>
    <row r="268" spans="1:3">
      <c r="A268" s="7"/>
      <c r="B268" s="7"/>
      <c r="C268" s="8"/>
    </row>
    <row r="269" spans="1:3">
      <c r="A269" s="7"/>
      <c r="B269" s="7"/>
      <c r="C269" s="8"/>
    </row>
    <row r="270" spans="1:3">
      <c r="A270" s="7"/>
      <c r="B270" s="7"/>
      <c r="C270" s="8"/>
    </row>
    <row r="271" spans="1:3">
      <c r="A271" s="7"/>
      <c r="B271" s="7"/>
      <c r="C271" s="8"/>
    </row>
    <row r="272" spans="1:3">
      <c r="A272" s="7"/>
      <c r="B272" s="7"/>
      <c r="C272" s="8"/>
    </row>
    <row r="273" spans="1:3">
      <c r="A273" s="7"/>
      <c r="B273" s="7"/>
      <c r="C273" s="8"/>
    </row>
    <row r="274" spans="1:3">
      <c r="A274" s="7"/>
      <c r="B274" s="7"/>
      <c r="C274" s="8"/>
    </row>
    <row r="275" spans="1:3">
      <c r="A275" s="7"/>
      <c r="B275" s="7"/>
      <c r="C275" s="8"/>
    </row>
    <row r="276" spans="1:3">
      <c r="A276" s="7"/>
      <c r="B276" s="7"/>
      <c r="C276" s="8"/>
    </row>
    <row r="277" spans="1:3">
      <c r="A277" s="7"/>
      <c r="B277" s="7"/>
      <c r="C277" s="8"/>
    </row>
    <row r="278" spans="1:3">
      <c r="A278" s="7"/>
      <c r="B278" s="7"/>
      <c r="C278" s="8"/>
    </row>
    <row r="279" spans="1:3">
      <c r="A279" s="7"/>
      <c r="B279" s="7"/>
      <c r="C279" s="8"/>
    </row>
    <row r="280" spans="1:3">
      <c r="A280" s="7"/>
      <c r="B280" s="7"/>
      <c r="C280" s="8"/>
    </row>
    <row r="281" spans="1:3">
      <c r="A281" s="7"/>
      <c r="B281" s="7"/>
      <c r="C281" s="8"/>
    </row>
    <row r="282" spans="1:3">
      <c r="A282" s="7"/>
      <c r="B282" s="7"/>
      <c r="C282" s="8"/>
    </row>
    <row r="283" spans="1:3">
      <c r="A283" s="7"/>
      <c r="B283" s="7"/>
      <c r="C283" s="8"/>
    </row>
    <row r="284" spans="1:3">
      <c r="A284" s="29"/>
      <c r="B284" s="7"/>
      <c r="C284" s="8"/>
    </row>
    <row r="285" spans="1:3">
      <c r="A285" s="7"/>
      <c r="B285" s="7"/>
      <c r="C285" s="8"/>
    </row>
    <row r="286" spans="1:3">
      <c r="A286" s="4"/>
      <c r="B286" s="7"/>
      <c r="C286" s="6"/>
    </row>
    <row r="287" spans="1:3">
      <c r="A287" s="4"/>
      <c r="B287" s="7"/>
      <c r="C287" s="6"/>
    </row>
    <row r="288" spans="1:3">
      <c r="A288" s="4"/>
      <c r="B288" s="7"/>
      <c r="C288" s="6"/>
    </row>
    <row r="289" spans="1:3">
      <c r="A289" s="4"/>
      <c r="B289" s="7"/>
      <c r="C289" s="6"/>
    </row>
    <row r="290" spans="1:3">
      <c r="A290" s="4"/>
      <c r="B290" s="7"/>
      <c r="C290" s="6"/>
    </row>
    <row r="291" spans="1:3">
      <c r="A291" s="4"/>
      <c r="B291" s="7"/>
      <c r="C291" s="6"/>
    </row>
    <row r="292" spans="1:3">
      <c r="A292" s="4"/>
      <c r="B292" s="7"/>
      <c r="C292" s="6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4"/>
      <c r="B296" s="4"/>
      <c r="C296" s="30"/>
    </row>
    <row r="297" spans="1:3">
      <c r="A297" s="4"/>
      <c r="B297" s="4"/>
      <c r="C297" s="30"/>
    </row>
    <row r="298" spans="1:3">
      <c r="A298" s="4"/>
      <c r="B298" s="4"/>
      <c r="C298" s="30"/>
    </row>
    <row r="299" spans="1:3">
      <c r="A299" s="4"/>
      <c r="B299" s="4"/>
      <c r="C299" s="30"/>
    </row>
    <row r="300" spans="1:3">
      <c r="A300" s="4"/>
      <c r="B300" s="4"/>
      <c r="C300" s="30"/>
    </row>
    <row r="301" spans="1:3">
      <c r="A301" s="4"/>
      <c r="B301" s="4"/>
      <c r="C301" s="30"/>
    </row>
    <row r="302" spans="1:3">
      <c r="A302" s="4"/>
      <c r="B302" s="4"/>
      <c r="C302" s="30"/>
    </row>
    <row r="303" spans="1:3">
      <c r="A303" s="4"/>
      <c r="B303" s="4"/>
      <c r="C303" s="30"/>
    </row>
    <row r="304" spans="1:3">
      <c r="A304" s="4"/>
      <c r="B304" s="4"/>
      <c r="C304" s="30"/>
    </row>
    <row r="305" spans="1:3">
      <c r="A305" s="4"/>
      <c r="B305" s="4"/>
      <c r="C305" s="30"/>
    </row>
    <row r="306" spans="1:3">
      <c r="A306" s="4"/>
      <c r="B306" s="4"/>
      <c r="C306" s="30"/>
    </row>
    <row r="307" spans="1:3">
      <c r="A307" s="4"/>
      <c r="B307" s="4"/>
      <c r="C307" s="30"/>
    </row>
    <row r="308" spans="1:3">
      <c r="A308" s="4"/>
      <c r="B308" s="4"/>
      <c r="C308" s="30"/>
    </row>
    <row r="309" spans="1:3">
      <c r="A309" s="4"/>
      <c r="B309" s="4"/>
      <c r="C309" s="30"/>
    </row>
    <row r="310" spans="1:3">
      <c r="A310" s="4"/>
      <c r="B310" s="4"/>
      <c r="C310" s="30"/>
    </row>
    <row r="311" spans="1:3">
      <c r="A311" s="4"/>
      <c r="B311" s="4"/>
      <c r="C311" s="30"/>
    </row>
    <row r="312" spans="1:3">
      <c r="A312" s="4"/>
      <c r="B312" s="4"/>
      <c r="C312" s="30"/>
    </row>
    <row r="313" spans="1:3">
      <c r="A313" s="4"/>
      <c r="B313" s="4"/>
      <c r="C313" s="30"/>
    </row>
    <row r="314" spans="1:3">
      <c r="A314" s="4"/>
      <c r="B314" s="4"/>
      <c r="C314" s="30"/>
    </row>
    <row r="315" spans="1:3">
      <c r="A315" s="4"/>
      <c r="B315" s="4"/>
      <c r="C315" s="30"/>
    </row>
    <row r="316" spans="1:3">
      <c r="A316" s="4"/>
      <c r="B316" s="4"/>
      <c r="C316" s="30"/>
    </row>
    <row r="317" spans="1:3">
      <c r="A317" s="4"/>
      <c r="B317" s="4"/>
      <c r="C317" s="30"/>
    </row>
    <row r="318" spans="1:3">
      <c r="A318" s="4"/>
      <c r="B318" s="4"/>
      <c r="C318" s="30"/>
    </row>
    <row r="319" spans="1:3">
      <c r="A319" s="4"/>
      <c r="B319" s="4"/>
      <c r="C319" s="30"/>
    </row>
    <row r="320" spans="1:3">
      <c r="A320" s="4"/>
      <c r="B320" s="4"/>
      <c r="C320" s="30"/>
    </row>
    <row r="321" spans="1:3">
      <c r="A321" s="4"/>
      <c r="B321" s="4"/>
      <c r="C321" s="30"/>
    </row>
    <row r="322" spans="1:3">
      <c r="A322" s="4"/>
      <c r="B322" s="4"/>
      <c r="C322" s="30"/>
    </row>
    <row r="323" spans="1:3">
      <c r="A323" s="4"/>
      <c r="B323" s="4"/>
      <c r="C323" s="30"/>
    </row>
    <row r="324" spans="1:3">
      <c r="A324" s="4"/>
      <c r="B324" s="4"/>
      <c r="C324" s="30"/>
    </row>
    <row r="325" spans="1:3">
      <c r="A325" s="4"/>
      <c r="B325" s="4"/>
      <c r="C325" s="30"/>
    </row>
    <row r="326" spans="1:3">
      <c r="A326" s="4"/>
      <c r="B326" s="4"/>
      <c r="C326" s="30"/>
    </row>
    <row r="327" spans="1:3">
      <c r="A327" s="4"/>
      <c r="B327" s="4"/>
      <c r="C327" s="30"/>
    </row>
    <row r="328" spans="1:3">
      <c r="A328" s="4"/>
      <c r="B328" s="4"/>
      <c r="C328" s="30"/>
    </row>
    <row r="329" spans="1:3">
      <c r="A329" s="4"/>
      <c r="B329" s="4"/>
      <c r="C329" s="30"/>
    </row>
    <row r="330" spans="1:3">
      <c r="A330" s="4"/>
      <c r="B330" s="4"/>
      <c r="C330" s="30"/>
    </row>
    <row r="331" spans="1:3">
      <c r="A331" s="4"/>
      <c r="B331" s="4"/>
      <c r="C331" s="30"/>
    </row>
    <row r="332" spans="1:3">
      <c r="C332" s="30"/>
    </row>
    <row r="333" spans="1:3">
      <c r="C333" s="30"/>
    </row>
    <row r="334" spans="1:3">
      <c r="C334" s="30"/>
    </row>
    <row r="335" spans="1:3">
      <c r="C335" s="30"/>
    </row>
    <row r="336" spans="1:3">
      <c r="C336" s="30"/>
    </row>
    <row r="337" spans="3:3">
      <c r="C337" s="30"/>
    </row>
    <row r="338" spans="3:3">
      <c r="C338" s="30"/>
    </row>
    <row r="339" spans="3:3">
      <c r="C339" s="30"/>
    </row>
    <row r="340" spans="3:3">
      <c r="C340" s="30"/>
    </row>
    <row r="341" spans="3:3">
      <c r="C341" s="30"/>
    </row>
    <row r="342" spans="3:3">
      <c r="C342" s="30"/>
    </row>
    <row r="343" spans="3:3">
      <c r="C343" s="30"/>
    </row>
    <row r="344" spans="3:3">
      <c r="C344" s="30"/>
    </row>
    <row r="345" spans="3:3">
      <c r="C345" s="30"/>
    </row>
    <row r="346" spans="3:3">
      <c r="C346" s="30"/>
    </row>
    <row r="347" spans="3:3">
      <c r="C347" s="30"/>
    </row>
    <row r="348" spans="3:3">
      <c r="C348" s="30"/>
    </row>
    <row r="349" spans="3:3">
      <c r="C349" s="30"/>
    </row>
    <row r="350" spans="3:3">
      <c r="C350" s="30"/>
    </row>
    <row r="351" spans="3:3">
      <c r="C351" s="30"/>
    </row>
    <row r="352" spans="3:3">
      <c r="C352" s="30"/>
    </row>
    <row r="353" spans="3:3">
      <c r="C353" s="30"/>
    </row>
    <row r="354" spans="3:3">
      <c r="C354" s="30"/>
    </row>
    <row r="355" spans="3:3">
      <c r="C355" s="30"/>
    </row>
    <row r="356" spans="3:3">
      <c r="C356" s="30"/>
    </row>
    <row r="357" spans="3:3">
      <c r="C357" s="30"/>
    </row>
    <row r="358" spans="3:3">
      <c r="C358" s="30"/>
    </row>
    <row r="359" spans="3:3">
      <c r="C359" s="30"/>
    </row>
    <row r="360" spans="3:3">
      <c r="C360" s="30"/>
    </row>
    <row r="361" spans="3:3">
      <c r="C361" s="30"/>
    </row>
    <row r="362" spans="3:3">
      <c r="C362" s="30"/>
    </row>
    <row r="363" spans="3:3">
      <c r="C363" s="30"/>
    </row>
    <row r="364" spans="3:3">
      <c r="C364" s="30"/>
    </row>
    <row r="365" spans="3:3">
      <c r="C365" s="30"/>
    </row>
    <row r="366" spans="3:3">
      <c r="C366" s="30"/>
    </row>
    <row r="367" spans="3:3">
      <c r="C367" s="30"/>
    </row>
    <row r="368" spans="3:3">
      <c r="C368" s="30"/>
    </row>
    <row r="369" spans="3:3">
      <c r="C369" s="30"/>
    </row>
    <row r="370" spans="3:3">
      <c r="C370" s="30"/>
    </row>
    <row r="371" spans="3:3">
      <c r="C371" s="30"/>
    </row>
    <row r="372" spans="3:3">
      <c r="C372" s="30"/>
    </row>
    <row r="373" spans="3:3">
      <c r="C373" s="30"/>
    </row>
    <row r="374" spans="3:3">
      <c r="C374" s="30"/>
    </row>
    <row r="375" spans="3:3">
      <c r="C375" s="30"/>
    </row>
    <row r="376" spans="3:3">
      <c r="C376" s="30"/>
    </row>
    <row r="377" spans="3:3">
      <c r="C377" s="30"/>
    </row>
    <row r="378" spans="3:3">
      <c r="C378" s="30"/>
    </row>
    <row r="379" spans="3:3">
      <c r="C379" s="30"/>
    </row>
    <row r="380" spans="3:3">
      <c r="C380" s="30"/>
    </row>
    <row r="381" spans="3:3">
      <c r="C381" s="30"/>
    </row>
    <row r="382" spans="3:3">
      <c r="C382" s="30"/>
    </row>
    <row r="383" spans="3:3">
      <c r="C383" s="30"/>
    </row>
    <row r="384" spans="3:3">
      <c r="C384" s="30"/>
    </row>
    <row r="385" spans="3:3">
      <c r="C385" s="30"/>
    </row>
    <row r="386" spans="3:3">
      <c r="C386" s="30"/>
    </row>
    <row r="387" spans="3:3">
      <c r="C387" s="30"/>
    </row>
    <row r="388" spans="3:3">
      <c r="C388" s="30"/>
    </row>
    <row r="389" spans="3:3">
      <c r="C389" s="30"/>
    </row>
    <row r="390" spans="3:3">
      <c r="C390" s="30"/>
    </row>
    <row r="391" spans="3:3">
      <c r="C391" s="30"/>
    </row>
    <row r="392" spans="3:3">
      <c r="C392" s="30"/>
    </row>
    <row r="393" spans="3:3">
      <c r="C393" s="30"/>
    </row>
    <row r="394" spans="3:3">
      <c r="C394" s="30"/>
    </row>
    <row r="395" spans="3:3">
      <c r="C395" s="30"/>
    </row>
    <row r="396" spans="3:3">
      <c r="C396" s="30"/>
    </row>
    <row r="397" spans="3:3">
      <c r="C397" s="30"/>
    </row>
    <row r="398" spans="3:3">
      <c r="C398" s="30"/>
    </row>
    <row r="399" spans="3:3">
      <c r="C399" s="30"/>
    </row>
    <row r="400" spans="3:3">
      <c r="C400" s="30"/>
    </row>
    <row r="401" spans="3:3">
      <c r="C401" s="30"/>
    </row>
    <row r="402" spans="3:3">
      <c r="C402" s="30"/>
    </row>
    <row r="403" spans="3:3">
      <c r="C403" s="30"/>
    </row>
    <row r="404" spans="3:3">
      <c r="C404" s="30"/>
    </row>
    <row r="405" spans="3:3">
      <c r="C405" s="30"/>
    </row>
    <row r="406" spans="3:3">
      <c r="C406" s="30"/>
    </row>
    <row r="407" spans="3:3">
      <c r="C407" s="30"/>
    </row>
    <row r="408" spans="3:3">
      <c r="C408" s="30"/>
    </row>
    <row r="409" spans="3:3">
      <c r="C409" s="30"/>
    </row>
    <row r="410" spans="3:3">
      <c r="C410" s="30"/>
    </row>
    <row r="411" spans="3:3">
      <c r="C411" s="30"/>
    </row>
    <row r="412" spans="3:3">
      <c r="C412" s="30"/>
    </row>
    <row r="413" spans="3:3">
      <c r="C413" s="30"/>
    </row>
    <row r="414" spans="3:3">
      <c r="C414" s="30"/>
    </row>
    <row r="415" spans="3:3">
      <c r="C415" s="30"/>
    </row>
    <row r="416" spans="3:3">
      <c r="C416" s="30"/>
    </row>
    <row r="417" spans="3:3">
      <c r="C417" s="30"/>
    </row>
    <row r="418" spans="3:3">
      <c r="C418" s="30"/>
    </row>
    <row r="419" spans="3:3">
      <c r="C419" s="30"/>
    </row>
    <row r="420" spans="3:3">
      <c r="C420" s="30"/>
    </row>
    <row r="421" spans="3:3">
      <c r="C421" s="30"/>
    </row>
    <row r="422" spans="3:3">
      <c r="C422" s="30"/>
    </row>
    <row r="423" spans="3:3">
      <c r="C423" s="30"/>
    </row>
    <row r="424" spans="3:3">
      <c r="C424" s="30"/>
    </row>
    <row r="425" spans="3:3">
      <c r="C425" s="30"/>
    </row>
    <row r="426" spans="3:3">
      <c r="C426" s="30"/>
    </row>
    <row r="427" spans="3:3">
      <c r="C427" s="30"/>
    </row>
    <row r="428" spans="3:3">
      <c r="C428" s="30"/>
    </row>
    <row r="429" spans="3:3">
      <c r="C429" s="30"/>
    </row>
    <row r="430" spans="3:3">
      <c r="C430" s="30"/>
    </row>
    <row r="431" spans="3:3">
      <c r="C431" s="30"/>
    </row>
    <row r="432" spans="3:3">
      <c r="C432" s="30"/>
    </row>
    <row r="433" spans="3:3">
      <c r="C433" s="30"/>
    </row>
    <row r="434" spans="3:3">
      <c r="C434" s="30"/>
    </row>
    <row r="435" spans="3:3">
      <c r="C435" s="30"/>
    </row>
    <row r="436" spans="3:3">
      <c r="C436" s="30"/>
    </row>
    <row r="437" spans="3:3">
      <c r="C437" s="30"/>
    </row>
    <row r="438" spans="3:3">
      <c r="C438" s="30"/>
    </row>
    <row r="439" spans="3:3">
      <c r="C439" s="30"/>
    </row>
    <row r="440" spans="3:3">
      <c r="C440" s="30"/>
    </row>
    <row r="441" spans="3:3">
      <c r="C441" s="30"/>
    </row>
    <row r="442" spans="3:3">
      <c r="C442" s="30"/>
    </row>
    <row r="443" spans="3:3">
      <c r="C443" s="30"/>
    </row>
    <row r="444" spans="3:3">
      <c r="C444" s="30"/>
    </row>
    <row r="445" spans="3:3">
      <c r="C445" s="30"/>
    </row>
    <row r="446" spans="3:3">
      <c r="C446" s="30"/>
    </row>
    <row r="447" spans="3:3">
      <c r="C447" s="30"/>
    </row>
    <row r="448" spans="3:3">
      <c r="C448" s="30"/>
    </row>
    <row r="449" spans="3:3">
      <c r="C449" s="30"/>
    </row>
    <row r="450" spans="3:3">
      <c r="C450" s="30"/>
    </row>
    <row r="451" spans="3:3">
      <c r="C451" s="30"/>
    </row>
    <row r="452" spans="3:3">
      <c r="C452" s="30"/>
    </row>
    <row r="453" spans="3:3">
      <c r="C453" s="30"/>
    </row>
    <row r="454" spans="3:3">
      <c r="C454" s="30"/>
    </row>
    <row r="455" spans="3:3">
      <c r="C455" s="30"/>
    </row>
    <row r="456" spans="3:3">
      <c r="C456" s="30"/>
    </row>
    <row r="457" spans="3:3">
      <c r="C457" s="30"/>
    </row>
    <row r="458" spans="3:3">
      <c r="C458" s="30"/>
    </row>
    <row r="459" spans="3:3">
      <c r="C459" s="30"/>
    </row>
    <row r="460" spans="3:3">
      <c r="C460" s="30"/>
    </row>
    <row r="461" spans="3:3">
      <c r="C461" s="30"/>
    </row>
    <row r="462" spans="3:3">
      <c r="C462" s="30"/>
    </row>
    <row r="463" spans="3:3">
      <c r="C463" s="30"/>
    </row>
    <row r="464" spans="3:3">
      <c r="C464" s="30"/>
    </row>
    <row r="465" spans="3:3">
      <c r="C465" s="30"/>
    </row>
    <row r="466" spans="3:3">
      <c r="C466" s="30"/>
    </row>
    <row r="467" spans="3:3">
      <c r="C467" s="30"/>
    </row>
    <row r="468" spans="3:3">
      <c r="C468" s="30"/>
    </row>
    <row r="469" spans="3:3">
      <c r="C469" s="30"/>
    </row>
    <row r="470" spans="3:3">
      <c r="C470" s="30"/>
    </row>
    <row r="471" spans="3:3">
      <c r="C471" s="30"/>
    </row>
    <row r="472" spans="3:3">
      <c r="C472" s="30"/>
    </row>
    <row r="473" spans="3:3">
      <c r="C473" s="30"/>
    </row>
    <row r="474" spans="3:3">
      <c r="C474" s="30"/>
    </row>
    <row r="475" spans="3:3">
      <c r="C475" s="30"/>
    </row>
    <row r="476" spans="3:3">
      <c r="C476" s="30"/>
    </row>
    <row r="477" spans="3:3">
      <c r="C477" s="30"/>
    </row>
    <row r="478" spans="3:3">
      <c r="C478" s="30"/>
    </row>
    <row r="479" spans="3:3">
      <c r="C479" s="30"/>
    </row>
    <row r="480" spans="3:3">
      <c r="C480" s="30"/>
    </row>
    <row r="481" spans="3:3">
      <c r="C481" s="30"/>
    </row>
    <row r="482" spans="3:3">
      <c r="C482" s="30"/>
    </row>
    <row r="483" spans="3:3">
      <c r="C483" s="30"/>
    </row>
    <row r="484" spans="3:3">
      <c r="C484" s="30"/>
    </row>
    <row r="485" spans="3:3">
      <c r="C485" s="30"/>
    </row>
    <row r="486" spans="3:3">
      <c r="C486" s="30"/>
    </row>
    <row r="487" spans="3:3">
      <c r="C487" s="30"/>
    </row>
    <row r="488" spans="3:3">
      <c r="C488" s="30"/>
    </row>
    <row r="489" spans="3:3">
      <c r="C489" s="30"/>
    </row>
    <row r="490" spans="3:3">
      <c r="C490" s="30"/>
    </row>
    <row r="491" spans="3:3">
      <c r="C491" s="30"/>
    </row>
    <row r="492" spans="3:3">
      <c r="C492" s="30"/>
    </row>
    <row r="493" spans="3:3">
      <c r="C493" s="30"/>
    </row>
    <row r="494" spans="3:3">
      <c r="C494" s="30"/>
    </row>
    <row r="495" spans="3:3">
      <c r="C495" s="30"/>
    </row>
    <row r="496" spans="3:3">
      <c r="C496" s="30"/>
    </row>
    <row r="497" spans="3:3">
      <c r="C497" s="30"/>
    </row>
    <row r="498" spans="3:3">
      <c r="C498" s="30"/>
    </row>
    <row r="499" spans="3:3">
      <c r="C499" s="30"/>
    </row>
    <row r="500" spans="3:3">
      <c r="C500" s="30"/>
    </row>
    <row r="501" spans="3:3">
      <c r="C501" s="30"/>
    </row>
    <row r="502" spans="3:3">
      <c r="C502" s="30"/>
    </row>
    <row r="503" spans="3:3">
      <c r="C503" s="30"/>
    </row>
    <row r="504" spans="3:3">
      <c r="C504" s="30"/>
    </row>
    <row r="505" spans="3:3">
      <c r="C505" s="30"/>
    </row>
    <row r="506" spans="3:3">
      <c r="C506" s="30"/>
    </row>
    <row r="507" spans="3:3">
      <c r="C507" s="30"/>
    </row>
    <row r="508" spans="3:3">
      <c r="C508" s="30"/>
    </row>
    <row r="509" spans="3:3">
      <c r="C509" s="30"/>
    </row>
    <row r="510" spans="3:3">
      <c r="C510" s="30"/>
    </row>
    <row r="511" spans="3:3">
      <c r="C511" s="30"/>
    </row>
    <row r="512" spans="3:3">
      <c r="C512" s="30"/>
    </row>
    <row r="513" spans="3:3">
      <c r="C513" s="30"/>
    </row>
    <row r="514" spans="3:3">
      <c r="C514" s="30"/>
    </row>
    <row r="515" spans="3:3">
      <c r="C515" s="30"/>
    </row>
    <row r="516" spans="3:3">
      <c r="C516" s="30"/>
    </row>
    <row r="517" spans="3:3">
      <c r="C517" s="30"/>
    </row>
    <row r="518" spans="3:3">
      <c r="C518" s="30"/>
    </row>
    <row r="519" spans="3:3">
      <c r="C519" s="30"/>
    </row>
    <row r="520" spans="3:3">
      <c r="C520" s="30"/>
    </row>
    <row r="521" spans="3:3">
      <c r="C521" s="30"/>
    </row>
    <row r="522" spans="3:3">
      <c r="C522" s="30"/>
    </row>
    <row r="523" spans="3:3">
      <c r="C523" s="30"/>
    </row>
    <row r="524" spans="3:3">
      <c r="C524" s="30"/>
    </row>
    <row r="525" spans="3:3">
      <c r="C525" s="30"/>
    </row>
    <row r="526" spans="3:3">
      <c r="C526" s="30"/>
    </row>
    <row r="527" spans="3:3">
      <c r="C527" s="30"/>
    </row>
    <row r="528" spans="3:3">
      <c r="C528" s="30"/>
    </row>
    <row r="529" spans="3:3">
      <c r="C529" s="30"/>
    </row>
    <row r="530" spans="3:3">
      <c r="C530" s="30"/>
    </row>
    <row r="531" spans="3:3">
      <c r="C531" s="30"/>
    </row>
    <row r="532" spans="3:3">
      <c r="C532" s="30"/>
    </row>
    <row r="533" spans="3:3">
      <c r="C533" s="30"/>
    </row>
    <row r="534" spans="3:3">
      <c r="C534" s="30"/>
    </row>
    <row r="535" spans="3:3">
      <c r="C535" s="30"/>
    </row>
    <row r="536" spans="3:3">
      <c r="C536" s="30"/>
    </row>
    <row r="537" spans="3:3">
      <c r="C537" s="30"/>
    </row>
    <row r="538" spans="3:3">
      <c r="C538" s="30"/>
    </row>
    <row r="539" spans="3:3">
      <c r="C539" s="30"/>
    </row>
    <row r="540" spans="3:3">
      <c r="C540" s="30"/>
    </row>
    <row r="541" spans="3:3">
      <c r="C541" s="30"/>
    </row>
    <row r="542" spans="3:3">
      <c r="C542" s="30"/>
    </row>
    <row r="543" spans="3:3">
      <c r="C543" s="30"/>
    </row>
    <row r="544" spans="3:3">
      <c r="C544" s="30"/>
    </row>
    <row r="545" spans="3:3">
      <c r="C545" s="30"/>
    </row>
    <row r="546" spans="3:3">
      <c r="C546" s="30"/>
    </row>
    <row r="547" spans="3:3">
      <c r="C547" s="30"/>
    </row>
    <row r="548" spans="3:3">
      <c r="C548" s="30"/>
    </row>
    <row r="549" spans="3:3">
      <c r="C549" s="30"/>
    </row>
    <row r="550" spans="3:3">
      <c r="C550" s="30"/>
    </row>
    <row r="551" spans="3:3">
      <c r="C551" s="30"/>
    </row>
    <row r="552" spans="3:3">
      <c r="C552" s="30"/>
    </row>
    <row r="553" spans="3:3">
      <c r="C553" s="30"/>
    </row>
    <row r="554" spans="3:3">
      <c r="C554" s="30"/>
    </row>
    <row r="555" spans="3:3">
      <c r="C555" s="30"/>
    </row>
    <row r="556" spans="3:3">
      <c r="C556" s="30"/>
    </row>
    <row r="557" spans="3:3">
      <c r="C557" s="30"/>
    </row>
    <row r="558" spans="3:3">
      <c r="C558" s="30"/>
    </row>
    <row r="559" spans="3:3">
      <c r="C559" s="30"/>
    </row>
    <row r="560" spans="3:3">
      <c r="C560" s="30"/>
    </row>
    <row r="561" spans="3:3">
      <c r="C561" s="30"/>
    </row>
    <row r="562" spans="3:3">
      <c r="C562" s="30"/>
    </row>
    <row r="563" spans="3:3">
      <c r="C563" s="30"/>
    </row>
    <row r="564" spans="3:3">
      <c r="C564" s="30"/>
    </row>
    <row r="565" spans="3:3">
      <c r="C565" s="30"/>
    </row>
    <row r="566" spans="3:3">
      <c r="C566" s="30"/>
    </row>
    <row r="567" spans="3:3">
      <c r="C567" s="30"/>
    </row>
    <row r="568" spans="3:3">
      <c r="C568" s="30"/>
    </row>
    <row r="569" spans="3:3">
      <c r="C569" s="30"/>
    </row>
    <row r="570" spans="3:3">
      <c r="C570" s="30"/>
    </row>
    <row r="571" spans="3:3">
      <c r="C571" s="30"/>
    </row>
    <row r="572" spans="3:3">
      <c r="C572" s="30"/>
    </row>
    <row r="573" spans="3:3">
      <c r="C573" s="30"/>
    </row>
    <row r="574" spans="3:3">
      <c r="C574" s="30"/>
    </row>
    <row r="575" spans="3:3">
      <c r="C575" s="30"/>
    </row>
    <row r="576" spans="3:3">
      <c r="C576" s="30"/>
    </row>
    <row r="577" spans="3:3">
      <c r="C577" s="30"/>
    </row>
    <row r="578" spans="3:3">
      <c r="C578" s="30"/>
    </row>
    <row r="579" spans="3:3">
      <c r="C579" s="30"/>
    </row>
    <row r="580" spans="3:3">
      <c r="C580" s="30"/>
    </row>
    <row r="581" spans="3:3">
      <c r="C581" s="30"/>
    </row>
    <row r="582" spans="3:3">
      <c r="C582" s="30"/>
    </row>
    <row r="583" spans="3:3">
      <c r="C583" s="30"/>
    </row>
    <row r="584" spans="3:3">
      <c r="C584" s="30"/>
    </row>
    <row r="585" spans="3:3">
      <c r="C585" s="30"/>
    </row>
    <row r="586" spans="3:3">
      <c r="C586" s="30"/>
    </row>
    <row r="587" spans="3:3">
      <c r="C587" s="30"/>
    </row>
    <row r="588" spans="3:3">
      <c r="C588" s="30"/>
    </row>
    <row r="589" spans="3:3">
      <c r="C589" s="30"/>
    </row>
    <row r="590" spans="3:3">
      <c r="C590" s="30"/>
    </row>
    <row r="591" spans="3:3">
      <c r="C591" s="30"/>
    </row>
    <row r="592" spans="3:3">
      <c r="C592" s="30"/>
    </row>
    <row r="593" spans="3:3">
      <c r="C593" s="30"/>
    </row>
    <row r="594" spans="3:3">
      <c r="C594" s="30"/>
    </row>
    <row r="595" spans="3:3">
      <c r="C595" s="30"/>
    </row>
    <row r="596" spans="3:3">
      <c r="C596" s="30"/>
    </row>
    <row r="597" spans="3:3">
      <c r="C597" s="30"/>
    </row>
    <row r="598" spans="3:3">
      <c r="C598" s="30"/>
    </row>
    <row r="599" spans="3:3">
      <c r="C599" s="30"/>
    </row>
    <row r="600" spans="3:3">
      <c r="C600" s="30"/>
    </row>
    <row r="601" spans="3:3">
      <c r="C601" s="30"/>
    </row>
    <row r="602" spans="3:3">
      <c r="C602" s="30"/>
    </row>
    <row r="603" spans="3:3">
      <c r="C603" s="30"/>
    </row>
    <row r="604" spans="3:3">
      <c r="C604" s="30"/>
    </row>
    <row r="605" spans="3:3">
      <c r="C605" s="30"/>
    </row>
    <row r="606" spans="3:3">
      <c r="C606" s="30"/>
    </row>
    <row r="607" spans="3:3">
      <c r="C607" s="30"/>
    </row>
    <row r="608" spans="3:3">
      <c r="C608" s="30"/>
    </row>
    <row r="609" spans="3:3">
      <c r="C609" s="30"/>
    </row>
    <row r="610" spans="3:3">
      <c r="C610" s="30"/>
    </row>
    <row r="611" spans="3:3">
      <c r="C611" s="30"/>
    </row>
    <row r="612" spans="3:3">
      <c r="C612" s="30"/>
    </row>
    <row r="613" spans="3:3">
      <c r="C613" s="30"/>
    </row>
    <row r="614" spans="3:3">
      <c r="C614" s="30"/>
    </row>
    <row r="615" spans="3:3">
      <c r="C615" s="30"/>
    </row>
    <row r="616" spans="3:3">
      <c r="C616" s="30"/>
    </row>
    <row r="617" spans="3:3">
      <c r="C617" s="30"/>
    </row>
    <row r="618" spans="3:3">
      <c r="C618" s="30"/>
    </row>
    <row r="619" spans="3:3">
      <c r="C619" s="30"/>
    </row>
    <row r="620" spans="3:3">
      <c r="C620" s="30"/>
    </row>
    <row r="621" spans="3:3">
      <c r="C621" s="30"/>
    </row>
    <row r="622" spans="3:3">
      <c r="C622" s="30"/>
    </row>
    <row r="623" spans="3:3">
      <c r="C623" s="30"/>
    </row>
    <row r="624" spans="3:3">
      <c r="C624" s="30"/>
    </row>
    <row r="625" spans="3:3">
      <c r="C625" s="30"/>
    </row>
    <row r="626" spans="3:3">
      <c r="C626" s="30"/>
    </row>
    <row r="627" spans="3:3">
      <c r="C627" s="30"/>
    </row>
    <row r="628" spans="3:3">
      <c r="C628" s="30"/>
    </row>
    <row r="629" spans="3:3">
      <c r="C629" s="30"/>
    </row>
    <row r="630" spans="3:3">
      <c r="C630" s="30"/>
    </row>
    <row r="631" spans="3:3">
      <c r="C631" s="30"/>
    </row>
    <row r="632" spans="3:3">
      <c r="C632" s="30"/>
    </row>
    <row r="633" spans="3:3">
      <c r="C633" s="30"/>
    </row>
    <row r="634" spans="3:3">
      <c r="C634" s="30"/>
    </row>
    <row r="635" spans="3:3">
      <c r="C635" s="30"/>
    </row>
    <row r="636" spans="3:3">
      <c r="C636" s="30"/>
    </row>
    <row r="637" spans="3:3">
      <c r="C637" s="30"/>
    </row>
    <row r="638" spans="3:3">
      <c r="C638" s="30"/>
    </row>
    <row r="639" spans="3:3">
      <c r="C639" s="30"/>
    </row>
    <row r="640" spans="3:3">
      <c r="C640" s="30"/>
    </row>
    <row r="641" spans="3:3">
      <c r="C641" s="30"/>
    </row>
    <row r="642" spans="3:3">
      <c r="C642" s="30"/>
    </row>
    <row r="643" spans="3:3">
      <c r="C643" s="30"/>
    </row>
    <row r="644" spans="3:3">
      <c r="C644" s="30"/>
    </row>
    <row r="645" spans="3:3">
      <c r="C645" s="30"/>
    </row>
    <row r="646" spans="3:3">
      <c r="C646" s="30"/>
    </row>
    <row r="647" spans="3:3">
      <c r="C647" s="30"/>
    </row>
    <row r="648" spans="3:3">
      <c r="C648" s="30"/>
    </row>
    <row r="649" spans="3:3">
      <c r="C649" s="30"/>
    </row>
    <row r="650" spans="3:3">
      <c r="C650" s="30"/>
    </row>
    <row r="651" spans="3:3">
      <c r="C651" s="30"/>
    </row>
    <row r="652" spans="3:3">
      <c r="C652" s="30"/>
    </row>
    <row r="653" spans="3:3">
      <c r="C653" s="30"/>
    </row>
    <row r="654" spans="3:3">
      <c r="C654" s="30"/>
    </row>
    <row r="655" spans="3:3">
      <c r="C655" s="30"/>
    </row>
    <row r="656" spans="3:3">
      <c r="C656" s="30"/>
    </row>
    <row r="657" spans="3:3">
      <c r="C657" s="30"/>
    </row>
    <row r="658" spans="3:3">
      <c r="C658" s="30"/>
    </row>
    <row r="659" spans="3:3">
      <c r="C659" s="30"/>
    </row>
    <row r="660" spans="3:3">
      <c r="C660" s="30"/>
    </row>
    <row r="661" spans="3:3">
      <c r="C661" s="30"/>
    </row>
    <row r="662" spans="3:3">
      <c r="C662" s="30"/>
    </row>
    <row r="663" spans="3:3">
      <c r="C663" s="30"/>
    </row>
    <row r="664" spans="3:3">
      <c r="C664" s="30"/>
    </row>
    <row r="665" spans="3:3">
      <c r="C665" s="30"/>
    </row>
    <row r="666" spans="3:3">
      <c r="C666" s="30"/>
    </row>
    <row r="667" spans="3:3">
      <c r="C667" s="30"/>
    </row>
    <row r="668" spans="3:3">
      <c r="C668" s="30"/>
    </row>
    <row r="669" spans="3:3">
      <c r="C669" s="30"/>
    </row>
    <row r="670" spans="3:3">
      <c r="C670" s="30"/>
    </row>
    <row r="671" spans="3:3">
      <c r="C671" s="30"/>
    </row>
    <row r="672" spans="3:3">
      <c r="C672" s="30"/>
    </row>
    <row r="673" spans="3:3">
      <c r="C673" s="30"/>
    </row>
    <row r="674" spans="3:3">
      <c r="C674" s="30"/>
    </row>
    <row r="675" spans="3:3">
      <c r="C675" s="30"/>
    </row>
    <row r="676" spans="3:3">
      <c r="C676" s="30"/>
    </row>
    <row r="677" spans="3:3">
      <c r="C677" s="30"/>
    </row>
    <row r="678" spans="3:3">
      <c r="C678" s="30"/>
    </row>
    <row r="679" spans="3:3">
      <c r="C679" s="30"/>
    </row>
    <row r="680" spans="3:3">
      <c r="C680" s="30"/>
    </row>
    <row r="681" spans="3:3">
      <c r="C681" s="30"/>
    </row>
    <row r="682" spans="3:3">
      <c r="C682" s="30"/>
    </row>
    <row r="683" spans="3:3">
      <c r="C683" s="30"/>
    </row>
    <row r="684" spans="3:3">
      <c r="C684" s="30"/>
    </row>
    <row r="685" spans="3:3">
      <c r="C685" s="30"/>
    </row>
    <row r="686" spans="3:3">
      <c r="C686" s="30"/>
    </row>
    <row r="687" spans="3:3">
      <c r="C687" s="30"/>
    </row>
    <row r="688" spans="3:3">
      <c r="C688" s="30"/>
    </row>
    <row r="689" spans="3:3">
      <c r="C689" s="30"/>
    </row>
    <row r="690" spans="3:3">
      <c r="C690" s="30"/>
    </row>
    <row r="691" spans="3:3">
      <c r="C691" s="30"/>
    </row>
    <row r="692" spans="3:3">
      <c r="C692" s="30"/>
    </row>
    <row r="693" spans="3:3">
      <c r="C693" s="30"/>
    </row>
    <row r="694" spans="3:3">
      <c r="C694" s="30"/>
    </row>
    <row r="695" spans="3:3">
      <c r="C695" s="30"/>
    </row>
    <row r="696" spans="3:3">
      <c r="C696" s="30"/>
    </row>
    <row r="697" spans="3:3">
      <c r="C697" s="30"/>
    </row>
    <row r="698" spans="3:3">
      <c r="C698" s="30"/>
    </row>
    <row r="699" spans="3:3">
      <c r="C699" s="30"/>
    </row>
    <row r="700" spans="3:3">
      <c r="C700" s="30"/>
    </row>
    <row r="701" spans="3:3">
      <c r="C701" s="30"/>
    </row>
    <row r="702" spans="3:3">
      <c r="C702" s="30"/>
    </row>
    <row r="703" spans="3:3">
      <c r="C703" s="30"/>
    </row>
    <row r="704" spans="3:3">
      <c r="C704" s="30"/>
    </row>
    <row r="705" spans="3:3">
      <c r="C705" s="30"/>
    </row>
    <row r="706" spans="3:3">
      <c r="C706" s="30"/>
    </row>
    <row r="707" spans="3:3">
      <c r="C707" s="30"/>
    </row>
    <row r="708" spans="3:3">
      <c r="C708" s="30"/>
    </row>
    <row r="709" spans="3:3">
      <c r="C709" s="30"/>
    </row>
    <row r="710" spans="3:3">
      <c r="C710" s="30"/>
    </row>
    <row r="711" spans="3:3">
      <c r="C711" s="30"/>
    </row>
    <row r="712" spans="3:3">
      <c r="C712" s="30"/>
    </row>
    <row r="713" spans="3:3">
      <c r="C713" s="30"/>
    </row>
    <row r="714" spans="3:3">
      <c r="C714" s="30"/>
    </row>
    <row r="715" spans="3:3">
      <c r="C715" s="30"/>
    </row>
    <row r="716" spans="3:3">
      <c r="C716" s="30"/>
    </row>
    <row r="717" spans="3:3">
      <c r="C717" s="30"/>
    </row>
    <row r="718" spans="3:3">
      <c r="C718" s="30"/>
    </row>
    <row r="719" spans="3:3">
      <c r="C719" s="30"/>
    </row>
    <row r="720" spans="3:3">
      <c r="C720" s="30"/>
    </row>
    <row r="721" spans="3:3">
      <c r="C721" s="30"/>
    </row>
    <row r="722" spans="3:3">
      <c r="C722" s="30"/>
    </row>
    <row r="723" spans="3:3">
      <c r="C723" s="30"/>
    </row>
    <row r="724" spans="3:3">
      <c r="C724" s="30"/>
    </row>
    <row r="725" spans="3:3">
      <c r="C725" s="30"/>
    </row>
    <row r="726" spans="3:3">
      <c r="C726" s="30"/>
    </row>
    <row r="727" spans="3:3">
      <c r="C727" s="30"/>
    </row>
    <row r="728" spans="3:3">
      <c r="C728" s="30"/>
    </row>
    <row r="729" spans="3:3">
      <c r="C729" s="30"/>
    </row>
    <row r="730" spans="3:3">
      <c r="C730" s="30"/>
    </row>
    <row r="731" spans="3:3">
      <c r="C731" s="30"/>
    </row>
    <row r="732" spans="3:3">
      <c r="C732" s="30"/>
    </row>
    <row r="733" spans="3:3">
      <c r="C733" s="30"/>
    </row>
    <row r="734" spans="3:3">
      <c r="C734" s="30"/>
    </row>
    <row r="735" spans="3:3">
      <c r="C735" s="30"/>
    </row>
    <row r="736" spans="3:3">
      <c r="C736" s="30"/>
    </row>
    <row r="737" spans="3:3">
      <c r="C737" s="30"/>
    </row>
    <row r="738" spans="3:3">
      <c r="C738" s="30"/>
    </row>
    <row r="739" spans="3:3">
      <c r="C739" s="30"/>
    </row>
    <row r="740" spans="3:3">
      <c r="C740" s="30"/>
    </row>
    <row r="741" spans="3:3">
      <c r="C741" s="30"/>
    </row>
    <row r="742" spans="3:3">
      <c r="C742" s="30"/>
    </row>
    <row r="743" spans="3:3">
      <c r="C743" s="30"/>
    </row>
    <row r="744" spans="3:3">
      <c r="C744" s="30"/>
    </row>
    <row r="745" spans="3:3">
      <c r="C745" s="30"/>
    </row>
    <row r="746" spans="3:3">
      <c r="C746" s="30"/>
    </row>
    <row r="747" spans="3:3">
      <c r="C747" s="30"/>
    </row>
    <row r="748" spans="3:3">
      <c r="C748" s="30"/>
    </row>
    <row r="749" spans="3:3">
      <c r="C749" s="30"/>
    </row>
    <row r="750" spans="3:3">
      <c r="C750" s="30"/>
    </row>
    <row r="751" spans="3:3">
      <c r="C751" s="30"/>
    </row>
    <row r="752" spans="3:3">
      <c r="C752" s="30"/>
    </row>
    <row r="753" spans="3:3">
      <c r="C753" s="30"/>
    </row>
    <row r="754" spans="3:3">
      <c r="C754" s="30"/>
    </row>
    <row r="755" spans="3:3">
      <c r="C755" s="30"/>
    </row>
    <row r="756" spans="3:3">
      <c r="C756" s="30"/>
    </row>
    <row r="757" spans="3:3">
      <c r="C757" s="30"/>
    </row>
    <row r="758" spans="3:3">
      <c r="C758" s="30"/>
    </row>
    <row r="759" spans="3:3">
      <c r="C759" s="30"/>
    </row>
    <row r="760" spans="3:3">
      <c r="C760" s="30"/>
    </row>
    <row r="761" spans="3:3">
      <c r="C761" s="30"/>
    </row>
    <row r="762" spans="3:3">
      <c r="C762" s="30"/>
    </row>
    <row r="763" spans="3:3">
      <c r="C763" s="30"/>
    </row>
    <row r="764" spans="3:3">
      <c r="C764" s="30"/>
    </row>
    <row r="765" spans="3:3">
      <c r="C765" s="30"/>
    </row>
    <row r="766" spans="3:3">
      <c r="C766" s="30"/>
    </row>
    <row r="767" spans="3:3">
      <c r="C767" s="30"/>
    </row>
    <row r="768" spans="3:3">
      <c r="C768" s="30"/>
    </row>
    <row r="769" spans="3:3">
      <c r="C769" s="30"/>
    </row>
    <row r="770" spans="3:3">
      <c r="C770" s="30"/>
    </row>
    <row r="771" spans="3:3">
      <c r="C771" s="30"/>
    </row>
    <row r="772" spans="3:3">
      <c r="C772" s="30"/>
    </row>
    <row r="773" spans="3:3">
      <c r="C773" s="30"/>
    </row>
    <row r="774" spans="3:3">
      <c r="C774" s="30"/>
    </row>
    <row r="775" spans="3:3">
      <c r="C775" s="30"/>
    </row>
    <row r="776" spans="3:3">
      <c r="C776" s="30"/>
    </row>
    <row r="777" spans="3:3">
      <c r="C777" s="30"/>
    </row>
    <row r="778" spans="3:3">
      <c r="C778" s="30"/>
    </row>
    <row r="779" spans="3:3">
      <c r="C779" s="30"/>
    </row>
    <row r="780" spans="3:3">
      <c r="C780" s="30"/>
    </row>
    <row r="781" spans="3:3">
      <c r="C781" s="30"/>
    </row>
    <row r="782" spans="3:3">
      <c r="C782" s="30"/>
    </row>
    <row r="783" spans="3:3">
      <c r="C783" s="30"/>
    </row>
    <row r="784" spans="3:3">
      <c r="C784" s="30"/>
    </row>
    <row r="785" spans="3:3">
      <c r="C785" s="30"/>
    </row>
    <row r="786" spans="3:3">
      <c r="C786" s="30"/>
    </row>
    <row r="787" spans="3:3">
      <c r="C787" s="30"/>
    </row>
    <row r="788" spans="3:3">
      <c r="C788" s="30"/>
    </row>
    <row r="789" spans="3:3">
      <c r="C789" s="30"/>
    </row>
    <row r="790" spans="3:3">
      <c r="C790" s="30"/>
    </row>
    <row r="791" spans="3:3">
      <c r="C791" s="30"/>
    </row>
    <row r="792" spans="3:3">
      <c r="C792" s="30"/>
    </row>
    <row r="793" spans="3:3">
      <c r="C793" s="30"/>
    </row>
    <row r="794" spans="3:3">
      <c r="C794" s="30"/>
    </row>
    <row r="795" spans="3:3">
      <c r="C795" s="30"/>
    </row>
    <row r="796" spans="3:3">
      <c r="C796" s="30"/>
    </row>
    <row r="797" spans="3:3">
      <c r="C797" s="30"/>
    </row>
    <row r="798" spans="3:3">
      <c r="C798" s="30"/>
    </row>
    <row r="799" spans="3:3">
      <c r="C799" s="30"/>
    </row>
    <row r="800" spans="3:3">
      <c r="C800" s="30"/>
    </row>
    <row r="801" spans="3:3">
      <c r="C801" s="30"/>
    </row>
    <row r="802" spans="3:3">
      <c r="C802" s="30"/>
    </row>
    <row r="803" spans="3:3">
      <c r="C803" s="30"/>
    </row>
    <row r="804" spans="3:3">
      <c r="C804" s="30"/>
    </row>
    <row r="805" spans="3:3">
      <c r="C805" s="30"/>
    </row>
    <row r="806" spans="3:3">
      <c r="C806" s="30"/>
    </row>
    <row r="807" spans="3:3">
      <c r="C807" s="30"/>
    </row>
    <row r="808" spans="3:3">
      <c r="C808" s="30"/>
    </row>
    <row r="809" spans="3:3">
      <c r="C809" s="30"/>
    </row>
    <row r="810" spans="3:3">
      <c r="C810" s="30"/>
    </row>
    <row r="811" spans="3:3">
      <c r="C811" s="30"/>
    </row>
    <row r="812" spans="3:3">
      <c r="C812" s="30"/>
    </row>
    <row r="813" spans="3:3">
      <c r="C813" s="30"/>
    </row>
    <row r="814" spans="3:3">
      <c r="C814" s="30"/>
    </row>
    <row r="815" spans="3:3">
      <c r="C815" s="30"/>
    </row>
    <row r="816" spans="3:3">
      <c r="C816" s="30"/>
    </row>
    <row r="817" spans="3:3">
      <c r="C817" s="30"/>
    </row>
    <row r="818" spans="3:3">
      <c r="C818" s="30"/>
    </row>
    <row r="819" spans="3:3">
      <c r="C819" s="30"/>
    </row>
    <row r="820" spans="3:3">
      <c r="C820" s="30"/>
    </row>
    <row r="821" spans="3:3">
      <c r="C821" s="30"/>
    </row>
    <row r="822" spans="3:3">
      <c r="C822" s="30"/>
    </row>
    <row r="823" spans="3:3">
      <c r="C823" s="30"/>
    </row>
    <row r="824" spans="3:3">
      <c r="C824" s="30"/>
    </row>
    <row r="825" spans="3:3">
      <c r="C825" s="30"/>
    </row>
    <row r="826" spans="3:3">
      <c r="C826" s="30"/>
    </row>
    <row r="827" spans="3:3">
      <c r="C827" s="30"/>
    </row>
    <row r="828" spans="3:3">
      <c r="C828" s="30"/>
    </row>
    <row r="829" spans="3:3">
      <c r="C829" s="30"/>
    </row>
    <row r="830" spans="3:3">
      <c r="C830" s="30"/>
    </row>
    <row r="831" spans="3:3">
      <c r="C831" s="30"/>
    </row>
    <row r="832" spans="3:3">
      <c r="C832" s="30"/>
    </row>
    <row r="833" spans="3:3">
      <c r="C833" s="30"/>
    </row>
    <row r="834" spans="3:3">
      <c r="C834" s="30"/>
    </row>
    <row r="835" spans="3:3">
      <c r="C835" s="30"/>
    </row>
    <row r="836" spans="3:3">
      <c r="C836" s="30"/>
    </row>
    <row r="837" spans="3:3">
      <c r="C837" s="30"/>
    </row>
    <row r="838" spans="3:3">
      <c r="C838" s="30"/>
    </row>
    <row r="839" spans="3:3">
      <c r="C839" s="30"/>
    </row>
    <row r="840" spans="3:3">
      <c r="C840" s="30"/>
    </row>
    <row r="841" spans="3:3">
      <c r="C841" s="30"/>
    </row>
    <row r="842" spans="3:3">
      <c r="C842" s="30"/>
    </row>
    <row r="843" spans="3:3">
      <c r="C843" s="30"/>
    </row>
    <row r="844" spans="3:3">
      <c r="C844" s="30"/>
    </row>
    <row r="845" spans="3:3">
      <c r="C845" s="30"/>
    </row>
    <row r="846" spans="3:3">
      <c r="C846" s="30"/>
    </row>
    <row r="847" spans="3:3">
      <c r="C847" s="30"/>
    </row>
    <row r="848" spans="3:3">
      <c r="C848" s="30"/>
    </row>
    <row r="849" spans="3:3">
      <c r="C849" s="30"/>
    </row>
    <row r="850" spans="3:3">
      <c r="C850" s="30"/>
    </row>
    <row r="851" spans="3:3">
      <c r="C851" s="30"/>
    </row>
    <row r="852" spans="3:3">
      <c r="C852" s="30"/>
    </row>
    <row r="853" spans="3:3">
      <c r="C853" s="30"/>
    </row>
    <row r="854" spans="3:3">
      <c r="C854" s="30"/>
    </row>
    <row r="855" spans="3:3">
      <c r="C855" s="30"/>
    </row>
    <row r="856" spans="3:3">
      <c r="C856" s="30"/>
    </row>
    <row r="857" spans="3:3">
      <c r="C857" s="30"/>
    </row>
    <row r="858" spans="3:3">
      <c r="C858" s="30"/>
    </row>
    <row r="859" spans="3:3">
      <c r="C859" s="30"/>
    </row>
    <row r="860" spans="3:3">
      <c r="C860" s="30"/>
    </row>
    <row r="861" spans="3:3">
      <c r="C861" s="30"/>
    </row>
    <row r="862" spans="3:3">
      <c r="C862" s="30"/>
    </row>
    <row r="863" spans="3:3">
      <c r="C863" s="30"/>
    </row>
    <row r="864" spans="3:3">
      <c r="C864" s="30"/>
    </row>
    <row r="865" spans="3:3">
      <c r="C865" s="30"/>
    </row>
    <row r="866" spans="3:3">
      <c r="C866" s="30"/>
    </row>
    <row r="867" spans="3:3">
      <c r="C867" s="30"/>
    </row>
    <row r="868" spans="3:3">
      <c r="C868" s="30"/>
    </row>
    <row r="869" spans="3:3">
      <c r="C869" s="30"/>
    </row>
    <row r="870" spans="3:3">
      <c r="C870" s="30"/>
    </row>
    <row r="871" spans="3:3">
      <c r="C871" s="30"/>
    </row>
    <row r="872" spans="3:3">
      <c r="C872" s="30"/>
    </row>
    <row r="873" spans="3:3">
      <c r="C873" s="30"/>
    </row>
    <row r="874" spans="3:3">
      <c r="C874" s="30"/>
    </row>
    <row r="875" spans="3:3">
      <c r="C875" s="30"/>
    </row>
    <row r="876" spans="3:3">
      <c r="C876" s="30"/>
    </row>
    <row r="877" spans="3:3">
      <c r="C877" s="30"/>
    </row>
    <row r="878" spans="3:3">
      <c r="C878" s="30"/>
    </row>
    <row r="879" spans="3:3">
      <c r="C879" s="30"/>
    </row>
    <row r="880" spans="3:3">
      <c r="C880" s="30"/>
    </row>
    <row r="881" spans="3:3">
      <c r="C881" s="30"/>
    </row>
    <row r="882" spans="3:3">
      <c r="C882" s="30"/>
    </row>
    <row r="883" spans="3:3">
      <c r="C883" s="30"/>
    </row>
    <row r="884" spans="3:3">
      <c r="C884" s="30"/>
    </row>
    <row r="885" spans="3:3">
      <c r="C885" s="30"/>
    </row>
    <row r="886" spans="3:3">
      <c r="C886" s="30"/>
    </row>
    <row r="887" spans="3:3">
      <c r="C887" s="30"/>
    </row>
    <row r="888" spans="3:3">
      <c r="C888" s="30"/>
    </row>
    <row r="889" spans="3:3">
      <c r="C889" s="30"/>
    </row>
    <row r="890" spans="3:3">
      <c r="C890" s="30"/>
    </row>
    <row r="891" spans="3:3">
      <c r="C891" s="30"/>
    </row>
    <row r="892" spans="3:3">
      <c r="C892" s="30"/>
    </row>
    <row r="893" spans="3:3">
      <c r="C893" s="30"/>
    </row>
    <row r="894" spans="3:3">
      <c r="C894" s="30"/>
    </row>
    <row r="895" spans="3:3">
      <c r="C895" s="30"/>
    </row>
    <row r="896" spans="3:3">
      <c r="C896" s="30"/>
    </row>
    <row r="897" spans="3:3">
      <c r="C897" s="30"/>
    </row>
    <row r="898" spans="3:3">
      <c r="C898" s="30"/>
    </row>
    <row r="899" spans="3:3">
      <c r="C899" s="30"/>
    </row>
    <row r="900" spans="3:3">
      <c r="C900" s="30"/>
    </row>
    <row r="901" spans="3:3">
      <c r="C901" s="30"/>
    </row>
    <row r="902" spans="3:3">
      <c r="C902" s="30"/>
    </row>
    <row r="903" spans="3:3">
      <c r="C903" s="30"/>
    </row>
    <row r="904" spans="3:3">
      <c r="C904" s="30"/>
    </row>
    <row r="905" spans="3:3">
      <c r="C905" s="30"/>
    </row>
    <row r="906" spans="3:3">
      <c r="C906" s="30"/>
    </row>
    <row r="907" spans="3:3">
      <c r="C907" s="30"/>
    </row>
    <row r="908" spans="3:3">
      <c r="C908" s="30"/>
    </row>
    <row r="909" spans="3:3">
      <c r="C909" s="30"/>
    </row>
    <row r="910" spans="3:3">
      <c r="C910" s="30"/>
    </row>
    <row r="911" spans="3:3">
      <c r="C911" s="30"/>
    </row>
    <row r="912" spans="3:3">
      <c r="C912" s="30"/>
    </row>
    <row r="913" spans="3:3">
      <c r="C913" s="30"/>
    </row>
    <row r="914" spans="3:3">
      <c r="C914" s="30"/>
    </row>
    <row r="915" spans="3:3">
      <c r="C915" s="30"/>
    </row>
    <row r="916" spans="3:3">
      <c r="C916" s="30"/>
    </row>
    <row r="917" spans="3:3">
      <c r="C917" s="30"/>
    </row>
    <row r="918" spans="3:3">
      <c r="C918" s="30"/>
    </row>
    <row r="919" spans="3:3">
      <c r="C919" s="30"/>
    </row>
    <row r="920" spans="3:3">
      <c r="C920" s="30"/>
    </row>
    <row r="921" spans="3:3">
      <c r="C921" s="30"/>
    </row>
    <row r="922" spans="3:3">
      <c r="C922" s="30"/>
    </row>
    <row r="923" spans="3:3">
      <c r="C923" s="30"/>
    </row>
    <row r="924" spans="3:3">
      <c r="C924" s="30"/>
    </row>
    <row r="925" spans="3:3">
      <c r="C925" s="30"/>
    </row>
    <row r="926" spans="3:3">
      <c r="C926" s="30"/>
    </row>
    <row r="927" spans="3:3">
      <c r="C927" s="30"/>
    </row>
    <row r="928" spans="3:3">
      <c r="C928" s="30"/>
    </row>
    <row r="929" spans="3:3">
      <c r="C929" s="30"/>
    </row>
    <row r="930" spans="3:3">
      <c r="C930" s="30"/>
    </row>
    <row r="931" spans="3:3">
      <c r="C931" s="30"/>
    </row>
    <row r="932" spans="3:3">
      <c r="C932" s="30"/>
    </row>
    <row r="933" spans="3:3">
      <c r="C933" s="30"/>
    </row>
    <row r="934" spans="3:3">
      <c r="C934" s="30"/>
    </row>
    <row r="935" spans="3:3">
      <c r="C935" s="30"/>
    </row>
    <row r="936" spans="3:3">
      <c r="C936" s="30"/>
    </row>
    <row r="937" spans="3:3">
      <c r="C937" s="30"/>
    </row>
    <row r="938" spans="3:3">
      <c r="C938" s="30"/>
    </row>
    <row r="939" spans="3:3">
      <c r="C939" s="30"/>
    </row>
    <row r="940" spans="3:3">
      <c r="C940" s="30"/>
    </row>
    <row r="941" spans="3:3">
      <c r="C941" s="30"/>
    </row>
    <row r="942" spans="3:3">
      <c r="C942" s="30"/>
    </row>
    <row r="943" spans="3:3">
      <c r="C943" s="30"/>
    </row>
    <row r="944" spans="3:3">
      <c r="C944" s="30"/>
    </row>
    <row r="945" spans="3:3">
      <c r="C945" s="30"/>
    </row>
    <row r="946" spans="3:3">
      <c r="C946" s="30"/>
    </row>
    <row r="947" spans="3:3">
      <c r="C947" s="30"/>
    </row>
    <row r="948" spans="3:3">
      <c r="C948" s="30"/>
    </row>
    <row r="949" spans="3:3">
      <c r="C949" s="30"/>
    </row>
    <row r="950" spans="3:3">
      <c r="C950" s="30"/>
    </row>
    <row r="951" spans="3:3">
      <c r="C951" s="30"/>
    </row>
    <row r="952" spans="3:3">
      <c r="C952" s="30"/>
    </row>
    <row r="953" spans="3:3">
      <c r="C953" s="30"/>
    </row>
    <row r="954" spans="3:3">
      <c r="C954" s="30"/>
    </row>
    <row r="955" spans="3:3">
      <c r="C955" s="30"/>
    </row>
    <row r="956" spans="3:3">
      <c r="C956" s="30"/>
    </row>
    <row r="957" spans="3:3">
      <c r="C957" s="30"/>
    </row>
    <row r="958" spans="3:3">
      <c r="C958" s="30"/>
    </row>
    <row r="959" spans="3:3">
      <c r="C959" s="30"/>
    </row>
    <row r="960" spans="3:3">
      <c r="C960" s="30"/>
    </row>
    <row r="961" spans="3:3">
      <c r="C961" s="30"/>
    </row>
    <row r="962" spans="3:3">
      <c r="C962" s="30"/>
    </row>
    <row r="963" spans="3:3">
      <c r="C963" s="30"/>
    </row>
    <row r="964" spans="3:3">
      <c r="C964" s="30"/>
    </row>
    <row r="965" spans="3:3">
      <c r="C965" s="30"/>
    </row>
    <row r="966" spans="3:3">
      <c r="C966" s="30"/>
    </row>
    <row r="967" spans="3:3">
      <c r="C967" s="30"/>
    </row>
    <row r="968" spans="3:3">
      <c r="C968" s="30"/>
    </row>
    <row r="969" spans="3:3">
      <c r="C969" s="30"/>
    </row>
    <row r="970" spans="3:3">
      <c r="C970" s="30"/>
    </row>
    <row r="971" spans="3:3">
      <c r="C971" s="30"/>
    </row>
    <row r="972" spans="3:3">
      <c r="C972" s="30"/>
    </row>
    <row r="973" spans="3:3">
      <c r="C973" s="30"/>
    </row>
    <row r="974" spans="3:3">
      <c r="C974" s="30"/>
    </row>
    <row r="975" spans="3:3">
      <c r="C975" s="30"/>
    </row>
    <row r="976" spans="3:3">
      <c r="C976" s="30"/>
    </row>
    <row r="977" spans="3:3">
      <c r="C977" s="30"/>
    </row>
    <row r="978" spans="3:3">
      <c r="C978" s="30"/>
    </row>
    <row r="979" spans="3:3">
      <c r="C979" s="30"/>
    </row>
    <row r="980" spans="3:3">
      <c r="C980" s="30"/>
    </row>
    <row r="981" spans="3:3">
      <c r="C981" s="30"/>
    </row>
    <row r="982" spans="3:3">
      <c r="C982" s="30"/>
    </row>
    <row r="983" spans="3:3">
      <c r="C983" s="30"/>
    </row>
    <row r="984" spans="3:3">
      <c r="C984" s="30"/>
    </row>
    <row r="985" spans="3:3">
      <c r="C985" s="30"/>
    </row>
    <row r="986" spans="3:3">
      <c r="C986" s="30"/>
    </row>
    <row r="987" spans="3:3">
      <c r="C987" s="30"/>
    </row>
    <row r="988" spans="3:3">
      <c r="C988" s="30"/>
    </row>
    <row r="989" spans="3:3">
      <c r="C989" s="30"/>
    </row>
    <row r="990" spans="3:3">
      <c r="C990" s="30"/>
    </row>
    <row r="991" spans="3:3">
      <c r="C991" s="30"/>
    </row>
    <row r="992" spans="3:3">
      <c r="C992" s="30"/>
    </row>
    <row r="993" spans="3:3">
      <c r="C993" s="30"/>
    </row>
    <row r="994" spans="3:3">
      <c r="C994" s="30"/>
    </row>
    <row r="995" spans="3:3">
      <c r="C995" s="30"/>
    </row>
    <row r="996" spans="3:3">
      <c r="C996" s="30"/>
    </row>
    <row r="997" spans="3:3">
      <c r="C997" s="30"/>
    </row>
    <row r="998" spans="3:3">
      <c r="C998" s="30"/>
    </row>
    <row r="999" spans="3:3">
      <c r="C999" s="3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61"/>
  <sheetViews>
    <sheetView workbookViewId="0">
      <pane ySplit="1" topLeftCell="A2" activePane="bottomLeft" state="frozen"/>
      <selection pane="bottomLeft" sqref="A1:A1048576"/>
    </sheetView>
  </sheetViews>
  <sheetFormatPr baseColWidth="10" defaultColWidth="11.25" defaultRowHeight="15" customHeight="1"/>
  <cols>
    <col min="1" max="1" width="7.5" customWidth="1"/>
    <col min="2" max="2" width="39" customWidth="1"/>
    <col min="3" max="3" width="7.625" customWidth="1"/>
    <col min="4" max="4" width="6.5" customWidth="1"/>
    <col min="5" max="5" width="5.125" customWidth="1"/>
    <col min="6" max="6" width="4.75" customWidth="1"/>
    <col min="7" max="7" width="10.5" customWidth="1"/>
    <col min="8" max="8" width="16.5" customWidth="1"/>
    <col min="9" max="9" width="6.5" customWidth="1"/>
    <col min="10" max="10" width="10.375" customWidth="1"/>
    <col min="11" max="11" width="50.75" customWidth="1"/>
    <col min="12" max="12" width="12.25" customWidth="1"/>
  </cols>
  <sheetData>
    <row r="1" spans="1:26">
      <c r="A1" s="1" t="s">
        <v>0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16</v>
      </c>
      <c r="B2" s="4" t="s">
        <v>17</v>
      </c>
      <c r="C2" s="9">
        <v>4646.2</v>
      </c>
      <c r="D2" s="10" t="s">
        <v>19</v>
      </c>
      <c r="E2" s="4"/>
      <c r="F2" s="4"/>
      <c r="G2" s="4" t="s">
        <v>20</v>
      </c>
      <c r="H2" s="4" t="s">
        <v>21</v>
      </c>
      <c r="I2" s="4"/>
      <c r="J2" s="4" t="s">
        <v>22</v>
      </c>
      <c r="K2" s="4" t="s">
        <v>23</v>
      </c>
      <c r="L2" s="4" t="s">
        <v>24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">
        <v>25</v>
      </c>
      <c r="B3" s="4" t="s">
        <v>26</v>
      </c>
      <c r="C3" s="9">
        <v>1540.6</v>
      </c>
      <c r="D3" s="10" t="s">
        <v>27</v>
      </c>
      <c r="E3" s="4"/>
      <c r="F3" s="4"/>
      <c r="G3" s="4" t="s">
        <v>20</v>
      </c>
      <c r="H3" s="4" t="s">
        <v>21</v>
      </c>
      <c r="I3" s="4"/>
      <c r="J3" s="4" t="s">
        <v>28</v>
      </c>
      <c r="K3" s="4" t="s">
        <v>29</v>
      </c>
      <c r="L3" s="4" t="s">
        <v>24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30</v>
      </c>
      <c r="B4" s="4" t="s">
        <v>31</v>
      </c>
      <c r="C4" s="9">
        <v>7130</v>
      </c>
      <c r="D4" s="10" t="s">
        <v>32</v>
      </c>
      <c r="E4" s="4"/>
      <c r="F4" s="4"/>
      <c r="G4" s="4" t="s">
        <v>20</v>
      </c>
      <c r="H4" s="4" t="s">
        <v>21</v>
      </c>
      <c r="I4" s="4"/>
      <c r="J4" s="4" t="s">
        <v>33</v>
      </c>
      <c r="K4" s="4" t="s">
        <v>34</v>
      </c>
      <c r="L4" s="4" t="s">
        <v>24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35</v>
      </c>
      <c r="B5" s="4" t="s">
        <v>36</v>
      </c>
      <c r="C5" s="9">
        <v>3354</v>
      </c>
      <c r="D5" s="10" t="s">
        <v>37</v>
      </c>
      <c r="E5" s="4"/>
      <c r="F5" s="4"/>
      <c r="G5" s="4" t="s">
        <v>20</v>
      </c>
      <c r="H5" s="4" t="s">
        <v>21</v>
      </c>
      <c r="I5" s="4"/>
      <c r="J5" s="4" t="s">
        <v>38</v>
      </c>
      <c r="K5" s="4" t="s">
        <v>39</v>
      </c>
      <c r="L5" s="4" t="s">
        <v>24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40</v>
      </c>
      <c r="B6" s="4" t="s">
        <v>41</v>
      </c>
      <c r="C6" s="13">
        <v>13854</v>
      </c>
      <c r="D6" s="10" t="s">
        <v>42</v>
      </c>
      <c r="E6" s="4"/>
      <c r="F6" s="4"/>
      <c r="G6" s="4" t="s">
        <v>20</v>
      </c>
      <c r="H6" s="4" t="s">
        <v>21</v>
      </c>
      <c r="I6" s="4"/>
      <c r="J6" s="4" t="s">
        <v>43</v>
      </c>
      <c r="K6" s="4" t="s">
        <v>44</v>
      </c>
      <c r="L6" s="4" t="s">
        <v>24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45</v>
      </c>
      <c r="B7" s="4" t="s">
        <v>46</v>
      </c>
      <c r="C7" s="9">
        <v>905</v>
      </c>
      <c r="D7" s="10" t="s">
        <v>32</v>
      </c>
      <c r="E7" s="4"/>
      <c r="F7" s="4"/>
      <c r="G7" s="4" t="s">
        <v>20</v>
      </c>
      <c r="H7" s="4" t="s">
        <v>21</v>
      </c>
      <c r="I7" s="4"/>
      <c r="J7" s="4" t="s">
        <v>38</v>
      </c>
      <c r="K7" s="4" t="s">
        <v>39</v>
      </c>
      <c r="L7" s="4" t="s">
        <v>24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47</v>
      </c>
      <c r="B8" s="4" t="s">
        <v>48</v>
      </c>
      <c r="C8" s="13">
        <v>879</v>
      </c>
      <c r="D8" s="10" t="s">
        <v>27</v>
      </c>
      <c r="E8" s="4"/>
      <c r="F8" s="4"/>
      <c r="G8" s="4" t="s">
        <v>20</v>
      </c>
      <c r="H8" s="4" t="s">
        <v>21</v>
      </c>
      <c r="I8" s="4"/>
      <c r="J8" s="4" t="s">
        <v>38</v>
      </c>
      <c r="K8" s="4" t="s">
        <v>39</v>
      </c>
      <c r="L8" s="4" t="s">
        <v>24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49</v>
      </c>
      <c r="B9" s="4" t="s">
        <v>50</v>
      </c>
      <c r="C9" s="13">
        <v>879</v>
      </c>
      <c r="D9" s="10" t="s">
        <v>27</v>
      </c>
      <c r="E9" s="4"/>
      <c r="F9" s="4"/>
      <c r="G9" s="4" t="s">
        <v>20</v>
      </c>
      <c r="H9" s="4" t="s">
        <v>21</v>
      </c>
      <c r="I9" s="4"/>
      <c r="J9" s="4" t="s">
        <v>38</v>
      </c>
      <c r="K9" s="4" t="s">
        <v>39</v>
      </c>
      <c r="L9" s="4" t="s">
        <v>24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51</v>
      </c>
      <c r="B10" s="4" t="s">
        <v>52</v>
      </c>
      <c r="C10" s="9">
        <v>1050</v>
      </c>
      <c r="D10" s="10" t="s">
        <v>32</v>
      </c>
      <c r="E10" s="4"/>
      <c r="F10" s="4"/>
      <c r="G10" s="4" t="s">
        <v>20</v>
      </c>
      <c r="H10" s="4" t="s">
        <v>21</v>
      </c>
      <c r="I10" s="4"/>
      <c r="J10" s="4" t="s">
        <v>43</v>
      </c>
      <c r="K10" s="4" t="s">
        <v>44</v>
      </c>
      <c r="L10" s="4" t="s">
        <v>24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56</v>
      </c>
      <c r="B11" s="4" t="s">
        <v>58</v>
      </c>
      <c r="C11" s="13">
        <v>939.99850000000004</v>
      </c>
      <c r="D11" s="10" t="s">
        <v>32</v>
      </c>
      <c r="E11" s="4"/>
      <c r="F11" s="4"/>
      <c r="G11" s="4" t="s">
        <v>20</v>
      </c>
      <c r="H11" s="4" t="s">
        <v>21</v>
      </c>
      <c r="I11" s="4"/>
      <c r="J11" s="4" t="s">
        <v>62</v>
      </c>
      <c r="K11" s="4" t="s">
        <v>63</v>
      </c>
      <c r="L11" s="4" t="s">
        <v>24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 t="s">
        <v>66</v>
      </c>
      <c r="C12" s="13">
        <v>930</v>
      </c>
      <c r="D12" s="10" t="s">
        <v>32</v>
      </c>
      <c r="E12" s="4"/>
      <c r="F12" s="4"/>
      <c r="G12" s="4" t="s">
        <v>20</v>
      </c>
      <c r="H12" s="4" t="s">
        <v>21</v>
      </c>
      <c r="I12" s="4"/>
      <c r="J12" s="4"/>
      <c r="K12" s="4" t="s">
        <v>39</v>
      </c>
      <c r="L12" s="4" t="s">
        <v>24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67</v>
      </c>
      <c r="B13" s="4" t="s">
        <v>68</v>
      </c>
      <c r="C13" s="13">
        <v>1047</v>
      </c>
      <c r="D13" s="10" t="s">
        <v>32</v>
      </c>
      <c r="E13" s="4"/>
      <c r="F13" s="4"/>
      <c r="G13" s="4" t="s">
        <v>20</v>
      </c>
      <c r="H13" s="4" t="s">
        <v>21</v>
      </c>
      <c r="I13" s="4"/>
      <c r="J13" s="4" t="s">
        <v>62</v>
      </c>
      <c r="K13" s="4" t="s">
        <v>63</v>
      </c>
      <c r="L13" s="4" t="s">
        <v>24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">
        <v>69</v>
      </c>
      <c r="B14" s="4" t="s">
        <v>70</v>
      </c>
      <c r="C14" s="13">
        <v>12032</v>
      </c>
      <c r="D14" s="10" t="s">
        <v>27</v>
      </c>
      <c r="E14" s="4"/>
      <c r="F14" s="4"/>
      <c r="G14" s="4" t="s">
        <v>20</v>
      </c>
      <c r="H14" s="4" t="s">
        <v>21</v>
      </c>
      <c r="I14" s="4"/>
      <c r="J14" s="4" t="s">
        <v>62</v>
      </c>
      <c r="K14" s="4" t="s">
        <v>63</v>
      </c>
      <c r="L14" s="4" t="s">
        <v>24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 t="s">
        <v>71</v>
      </c>
      <c r="B15" s="4" t="s">
        <v>72</v>
      </c>
      <c r="C15" s="9">
        <v>4152</v>
      </c>
      <c r="D15" s="10" t="s">
        <v>27</v>
      </c>
      <c r="E15" s="4"/>
      <c r="F15" s="4"/>
      <c r="G15" s="4" t="s">
        <v>20</v>
      </c>
      <c r="H15" s="4" t="s">
        <v>21</v>
      </c>
      <c r="I15" s="4"/>
      <c r="J15" s="4" t="s">
        <v>43</v>
      </c>
      <c r="K15" s="4" t="s">
        <v>44</v>
      </c>
      <c r="L15" s="4" t="s">
        <v>24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 t="s">
        <v>73</v>
      </c>
      <c r="B16" s="4" t="s">
        <v>74</v>
      </c>
      <c r="C16" s="13">
        <v>6977.75</v>
      </c>
      <c r="D16" s="10" t="s">
        <v>32</v>
      </c>
      <c r="E16" s="4"/>
      <c r="F16" s="4"/>
      <c r="G16" s="4" t="s">
        <v>20</v>
      </c>
      <c r="H16" s="4" t="s">
        <v>21</v>
      </c>
      <c r="I16" s="4"/>
      <c r="J16" s="4" t="s">
        <v>75</v>
      </c>
      <c r="K16" s="4" t="s">
        <v>76</v>
      </c>
      <c r="L16" s="4" t="s">
        <v>24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 t="s">
        <v>77</v>
      </c>
      <c r="B17" s="4" t="s">
        <v>78</v>
      </c>
      <c r="C17" s="13">
        <v>8474</v>
      </c>
      <c r="D17" s="10" t="s">
        <v>32</v>
      </c>
      <c r="E17" s="4"/>
      <c r="F17" s="4"/>
      <c r="G17" s="4" t="s">
        <v>20</v>
      </c>
      <c r="H17" s="4" t="s">
        <v>21</v>
      </c>
      <c r="I17" s="4"/>
      <c r="J17" s="4" t="s">
        <v>75</v>
      </c>
      <c r="K17" s="4" t="s">
        <v>76</v>
      </c>
      <c r="L17" s="4" t="s">
        <v>24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 t="s">
        <v>79</v>
      </c>
      <c r="B18" s="4" t="s">
        <v>80</v>
      </c>
      <c r="C18" s="13">
        <v>4188</v>
      </c>
      <c r="D18" s="10" t="s">
        <v>32</v>
      </c>
      <c r="E18" s="4"/>
      <c r="F18" s="4"/>
      <c r="G18" s="4" t="s">
        <v>20</v>
      </c>
      <c r="H18" s="4" t="s">
        <v>21</v>
      </c>
      <c r="I18" s="4"/>
      <c r="J18" s="4" t="s">
        <v>81</v>
      </c>
      <c r="K18" s="4" t="s">
        <v>82</v>
      </c>
      <c r="L18" s="4" t="s">
        <v>24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s">
        <v>83</v>
      </c>
      <c r="B19" s="4" t="s">
        <v>84</v>
      </c>
      <c r="C19" s="13">
        <v>5250</v>
      </c>
      <c r="D19" s="10" t="s">
        <v>32</v>
      </c>
      <c r="E19" s="4"/>
      <c r="F19" s="4"/>
      <c r="G19" s="4" t="s">
        <v>20</v>
      </c>
      <c r="H19" s="4" t="s">
        <v>21</v>
      </c>
      <c r="I19" s="4"/>
      <c r="J19" s="4" t="s">
        <v>38</v>
      </c>
      <c r="K19" s="4" t="s">
        <v>39</v>
      </c>
      <c r="L19" s="4" t="s">
        <v>24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 t="s">
        <v>85</v>
      </c>
      <c r="B20" s="4" t="s">
        <v>86</v>
      </c>
      <c r="C20" s="13">
        <v>5437</v>
      </c>
      <c r="D20" s="10" t="s">
        <v>32</v>
      </c>
      <c r="E20" s="4"/>
      <c r="F20" s="4"/>
      <c r="G20" s="4" t="s">
        <v>20</v>
      </c>
      <c r="H20" s="4" t="s">
        <v>21</v>
      </c>
      <c r="I20" s="4"/>
      <c r="J20" s="4" t="s">
        <v>38</v>
      </c>
      <c r="K20" s="4" t="s">
        <v>39</v>
      </c>
      <c r="L20" s="4" t="s">
        <v>24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 t="s">
        <v>87</v>
      </c>
      <c r="B21" s="4" t="s">
        <v>88</v>
      </c>
      <c r="C21" s="13">
        <v>1000</v>
      </c>
      <c r="D21" s="10" t="s">
        <v>19</v>
      </c>
      <c r="E21" s="4"/>
      <c r="F21" s="4"/>
      <c r="G21" s="4" t="s">
        <v>20</v>
      </c>
      <c r="H21" s="4" t="s">
        <v>21</v>
      </c>
      <c r="I21" s="4"/>
      <c r="J21" s="4" t="s">
        <v>75</v>
      </c>
      <c r="K21" s="4" t="s">
        <v>76</v>
      </c>
      <c r="L21" s="4" t="s">
        <v>24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 t="s">
        <v>89</v>
      </c>
      <c r="B22" s="4" t="s">
        <v>90</v>
      </c>
      <c r="C22" s="9">
        <v>407</v>
      </c>
      <c r="D22" s="10" t="s">
        <v>27</v>
      </c>
      <c r="E22" s="4"/>
      <c r="F22" s="4"/>
      <c r="G22" s="4" t="s">
        <v>20</v>
      </c>
      <c r="H22" s="4" t="s">
        <v>21</v>
      </c>
      <c r="I22" s="4"/>
      <c r="J22" s="4" t="s">
        <v>38</v>
      </c>
      <c r="K22" s="4" t="s">
        <v>39</v>
      </c>
      <c r="L22" s="4" t="s">
        <v>24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 t="s">
        <v>91</v>
      </c>
      <c r="B23" s="4" t="s">
        <v>92</v>
      </c>
      <c r="C23" s="13">
        <v>399</v>
      </c>
      <c r="D23" s="10" t="s">
        <v>27</v>
      </c>
      <c r="E23" s="4"/>
      <c r="F23" s="4"/>
      <c r="G23" s="4" t="s">
        <v>20</v>
      </c>
      <c r="H23" s="4" t="s">
        <v>21</v>
      </c>
      <c r="I23" s="4"/>
      <c r="J23" s="4" t="s">
        <v>38</v>
      </c>
      <c r="K23" s="4" t="s">
        <v>39</v>
      </c>
      <c r="L23" s="4" t="s">
        <v>24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 t="s">
        <v>93</v>
      </c>
      <c r="B24" s="4" t="s">
        <v>94</v>
      </c>
      <c r="C24" s="13">
        <v>3500</v>
      </c>
      <c r="D24" s="10" t="s">
        <v>32</v>
      </c>
      <c r="E24" s="4"/>
      <c r="F24" s="4"/>
      <c r="G24" s="4" t="s">
        <v>20</v>
      </c>
      <c r="H24" s="4" t="s">
        <v>21</v>
      </c>
      <c r="I24" s="4"/>
      <c r="J24" s="4" t="s">
        <v>43</v>
      </c>
      <c r="K24" s="4" t="s">
        <v>44</v>
      </c>
      <c r="L24" s="4" t="s">
        <v>24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 t="s">
        <v>95</v>
      </c>
      <c r="B25" s="4" t="s">
        <v>96</v>
      </c>
      <c r="C25" s="13">
        <v>2291.25</v>
      </c>
      <c r="D25" s="10" t="s">
        <v>32</v>
      </c>
      <c r="E25" s="4"/>
      <c r="F25" s="4"/>
      <c r="G25" s="4" t="s">
        <v>20</v>
      </c>
      <c r="H25" s="4" t="s">
        <v>21</v>
      </c>
      <c r="I25" s="4"/>
      <c r="J25" s="4" t="s">
        <v>38</v>
      </c>
      <c r="K25" s="4" t="s">
        <v>39</v>
      </c>
      <c r="L25" s="4" t="s">
        <v>24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 t="s">
        <v>97</v>
      </c>
      <c r="B26" s="4" t="s">
        <v>98</v>
      </c>
      <c r="C26" s="13">
        <v>1638.6669999999999</v>
      </c>
      <c r="D26" s="10" t="s">
        <v>32</v>
      </c>
      <c r="E26" s="4"/>
      <c r="F26" s="4"/>
      <c r="G26" s="4" t="s">
        <v>20</v>
      </c>
      <c r="H26" s="4" t="s">
        <v>21</v>
      </c>
      <c r="I26" s="4"/>
      <c r="J26" s="4" t="s">
        <v>33</v>
      </c>
      <c r="K26" s="4" t="s">
        <v>34</v>
      </c>
      <c r="L26" s="4" t="s">
        <v>24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 t="s">
        <v>99</v>
      </c>
      <c r="B27" s="4" t="s">
        <v>100</v>
      </c>
      <c r="C27" s="13">
        <v>2360.6</v>
      </c>
      <c r="D27" s="10" t="s">
        <v>19</v>
      </c>
      <c r="E27" s="4"/>
      <c r="F27" s="4"/>
      <c r="G27" s="4" t="s">
        <v>20</v>
      </c>
      <c r="H27" s="4" t="s">
        <v>21</v>
      </c>
      <c r="I27" s="4"/>
      <c r="J27" s="4" t="s">
        <v>101</v>
      </c>
      <c r="K27" s="4" t="s">
        <v>102</v>
      </c>
      <c r="L27" s="4" t="s">
        <v>24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 t="s">
        <v>103</v>
      </c>
      <c r="C28" s="13">
        <v>3469</v>
      </c>
      <c r="D28" s="10" t="s">
        <v>19</v>
      </c>
      <c r="E28" s="4"/>
      <c r="F28" s="4"/>
      <c r="G28" s="4" t="s">
        <v>20</v>
      </c>
      <c r="H28" s="4" t="s">
        <v>21</v>
      </c>
      <c r="I28" s="4"/>
      <c r="J28" s="4" t="s">
        <v>101</v>
      </c>
      <c r="K28" s="4" t="s">
        <v>102</v>
      </c>
      <c r="L28" s="4" t="s">
        <v>24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 t="s">
        <v>104</v>
      </c>
      <c r="B29" s="4" t="s">
        <v>105</v>
      </c>
      <c r="C29" s="13">
        <v>2979</v>
      </c>
      <c r="D29" s="10" t="s">
        <v>19</v>
      </c>
      <c r="E29" s="4"/>
      <c r="F29" s="4"/>
      <c r="G29" s="4" t="s">
        <v>20</v>
      </c>
      <c r="H29" s="4" t="s">
        <v>21</v>
      </c>
      <c r="I29" s="4"/>
      <c r="J29" s="4" t="s">
        <v>101</v>
      </c>
      <c r="K29" s="4" t="s">
        <v>102</v>
      </c>
      <c r="L29" s="4" t="s">
        <v>24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 t="s">
        <v>106</v>
      </c>
      <c r="B30" s="4" t="s">
        <v>107</v>
      </c>
      <c r="C30" s="13">
        <v>138</v>
      </c>
      <c r="D30" s="10" t="s">
        <v>27</v>
      </c>
      <c r="E30" s="4"/>
      <c r="F30" s="4"/>
      <c r="G30" s="4" t="s">
        <v>20</v>
      </c>
      <c r="H30" s="4" t="s">
        <v>21</v>
      </c>
      <c r="I30" s="4"/>
      <c r="J30" s="4" t="s">
        <v>28</v>
      </c>
      <c r="K30" s="4" t="s">
        <v>29</v>
      </c>
      <c r="L30" s="4" t="s">
        <v>24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 t="s">
        <v>108</v>
      </c>
      <c r="B31" s="4" t="s">
        <v>109</v>
      </c>
      <c r="C31" s="13">
        <v>1550</v>
      </c>
      <c r="D31" s="10" t="s">
        <v>32</v>
      </c>
      <c r="E31" s="4"/>
      <c r="F31" s="4"/>
      <c r="G31" s="4" t="s">
        <v>20</v>
      </c>
      <c r="H31" s="4" t="s">
        <v>21</v>
      </c>
      <c r="I31" s="4"/>
      <c r="J31" s="4" t="s">
        <v>38</v>
      </c>
      <c r="K31" s="4" t="s">
        <v>39</v>
      </c>
      <c r="L31" s="4" t="s">
        <v>24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 t="s">
        <v>110</v>
      </c>
      <c r="B32" s="4" t="s">
        <v>111</v>
      </c>
      <c r="C32" s="13">
        <v>3831.8</v>
      </c>
      <c r="D32" s="10" t="s">
        <v>37</v>
      </c>
      <c r="E32" s="4"/>
      <c r="F32" s="4"/>
      <c r="G32" s="4" t="s">
        <v>20</v>
      </c>
      <c r="H32" s="4" t="s">
        <v>21</v>
      </c>
      <c r="I32" s="4"/>
      <c r="J32" s="4" t="s">
        <v>38</v>
      </c>
      <c r="K32" s="4" t="s">
        <v>39</v>
      </c>
      <c r="L32" s="4" t="s">
        <v>24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 t="s">
        <v>112</v>
      </c>
      <c r="B33" s="4" t="s">
        <v>113</v>
      </c>
      <c r="C33" s="9">
        <v>75280</v>
      </c>
      <c r="D33" s="10" t="s">
        <v>32</v>
      </c>
      <c r="E33" s="4"/>
      <c r="F33" s="4"/>
      <c r="G33" s="4" t="s">
        <v>20</v>
      </c>
      <c r="H33" s="4" t="s">
        <v>21</v>
      </c>
      <c r="I33" s="4"/>
      <c r="J33" s="4" t="s">
        <v>38</v>
      </c>
      <c r="K33" s="4" t="s">
        <v>39</v>
      </c>
      <c r="L33" s="4" t="s">
        <v>24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 t="s">
        <v>114</v>
      </c>
      <c r="B34" s="4" t="s">
        <v>115</v>
      </c>
      <c r="C34" s="9">
        <v>7079.1670000000004</v>
      </c>
      <c r="D34" s="10" t="s">
        <v>32</v>
      </c>
      <c r="E34" s="4"/>
      <c r="F34" s="4"/>
      <c r="G34" s="4" t="s">
        <v>20</v>
      </c>
      <c r="H34" s="4" t="s">
        <v>21</v>
      </c>
      <c r="I34" s="4"/>
      <c r="J34" s="4" t="s">
        <v>75</v>
      </c>
      <c r="K34" s="4" t="s">
        <v>76</v>
      </c>
      <c r="L34" s="4" t="s">
        <v>24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 t="s">
        <v>116</v>
      </c>
      <c r="B35" s="4" t="s">
        <v>117</v>
      </c>
      <c r="C35" s="9">
        <v>2118</v>
      </c>
      <c r="D35" s="10" t="s">
        <v>32</v>
      </c>
      <c r="E35" s="4"/>
      <c r="F35" s="4"/>
      <c r="G35" s="4" t="s">
        <v>20</v>
      </c>
      <c r="H35" s="4" t="s">
        <v>21</v>
      </c>
      <c r="I35" s="4"/>
      <c r="J35" s="4" t="s">
        <v>38</v>
      </c>
      <c r="K35" s="4" t="s">
        <v>39</v>
      </c>
      <c r="L35" s="4" t="s">
        <v>24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 t="s">
        <v>118</v>
      </c>
      <c r="B36" s="4" t="s">
        <v>119</v>
      </c>
      <c r="C36" s="9">
        <v>1711</v>
      </c>
      <c r="D36" s="10" t="s">
        <v>27</v>
      </c>
      <c r="E36" s="4"/>
      <c r="F36" s="4"/>
      <c r="G36" s="4" t="s">
        <v>20</v>
      </c>
      <c r="H36" s="4" t="s">
        <v>21</v>
      </c>
      <c r="I36" s="4"/>
      <c r="J36" s="4" t="s">
        <v>75</v>
      </c>
      <c r="K36" s="4" t="s">
        <v>76</v>
      </c>
      <c r="L36" s="4" t="s">
        <v>24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 t="s">
        <v>120</v>
      </c>
      <c r="B37" s="4" t="s">
        <v>121</v>
      </c>
      <c r="C37" s="9">
        <v>2995</v>
      </c>
      <c r="D37" s="10" t="s">
        <v>32</v>
      </c>
      <c r="E37" s="4"/>
      <c r="F37" s="4"/>
      <c r="G37" s="4" t="s">
        <v>20</v>
      </c>
      <c r="H37" s="4" t="s">
        <v>21</v>
      </c>
      <c r="I37" s="4"/>
      <c r="J37" s="4" t="s">
        <v>43</v>
      </c>
      <c r="K37" s="4" t="s">
        <v>44</v>
      </c>
      <c r="L37" s="4" t="s">
        <v>24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 t="s">
        <v>122</v>
      </c>
      <c r="B38" s="4" t="s">
        <v>123</v>
      </c>
      <c r="C38" s="9">
        <v>1582</v>
      </c>
      <c r="D38" s="10" t="s">
        <v>32</v>
      </c>
      <c r="E38" s="4"/>
      <c r="F38" s="4"/>
      <c r="G38" s="4" t="s">
        <v>20</v>
      </c>
      <c r="H38" s="4" t="s">
        <v>21</v>
      </c>
      <c r="I38" s="4"/>
      <c r="J38" s="4" t="s">
        <v>28</v>
      </c>
      <c r="K38" s="4" t="s">
        <v>29</v>
      </c>
      <c r="L38" s="4" t="s">
        <v>24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 t="s">
        <v>124</v>
      </c>
      <c r="B39" s="4" t="s">
        <v>125</v>
      </c>
      <c r="C39" s="9">
        <v>3989.3620000000001</v>
      </c>
      <c r="D39" s="10" t="s">
        <v>42</v>
      </c>
      <c r="E39" s="4"/>
      <c r="F39" s="4"/>
      <c r="G39" s="4" t="s">
        <v>20</v>
      </c>
      <c r="H39" s="4" t="s">
        <v>21</v>
      </c>
      <c r="I39" s="4"/>
      <c r="J39" s="4" t="s">
        <v>38</v>
      </c>
      <c r="K39" s="4" t="s">
        <v>39</v>
      </c>
      <c r="L39" s="4" t="s">
        <v>24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31" t="s">
        <v>126</v>
      </c>
      <c r="C40" s="13">
        <v>14958</v>
      </c>
      <c r="D40" s="10" t="s">
        <v>32</v>
      </c>
      <c r="E40" s="4"/>
      <c r="F40" s="4"/>
      <c r="G40" s="4" t="s">
        <v>20</v>
      </c>
      <c r="H40" s="4" t="s">
        <v>21</v>
      </c>
      <c r="I40" s="4"/>
      <c r="J40" s="4"/>
      <c r="K40" s="4" t="s">
        <v>39</v>
      </c>
      <c r="L40" s="4" t="s">
        <v>24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 t="s">
        <v>134</v>
      </c>
      <c r="B41" s="4" t="s">
        <v>135</v>
      </c>
      <c r="C41" s="13">
        <v>4117</v>
      </c>
      <c r="D41" s="10" t="s">
        <v>27</v>
      </c>
      <c r="E41" s="4"/>
      <c r="F41" s="4"/>
      <c r="G41" s="4" t="s">
        <v>20</v>
      </c>
      <c r="H41" s="4" t="s">
        <v>21</v>
      </c>
      <c r="I41" s="4"/>
      <c r="J41" s="4" t="s">
        <v>138</v>
      </c>
      <c r="K41" s="4" t="s">
        <v>139</v>
      </c>
      <c r="L41" s="4" t="s">
        <v>24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 t="s">
        <v>141</v>
      </c>
      <c r="B42" s="4" t="s">
        <v>143</v>
      </c>
      <c r="C42" s="13">
        <v>1336</v>
      </c>
      <c r="D42" s="10" t="s">
        <v>32</v>
      </c>
      <c r="E42" s="4"/>
      <c r="F42" s="4"/>
      <c r="G42" s="4" t="s">
        <v>20</v>
      </c>
      <c r="H42" s="4" t="s">
        <v>21</v>
      </c>
      <c r="I42" s="4"/>
      <c r="J42" s="4" t="s">
        <v>38</v>
      </c>
      <c r="K42" s="4" t="s">
        <v>39</v>
      </c>
      <c r="L42" s="4" t="s">
        <v>24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 t="s">
        <v>146</v>
      </c>
      <c r="B43" s="4" t="s">
        <v>147</v>
      </c>
      <c r="C43" s="13">
        <v>4812</v>
      </c>
      <c r="D43" s="10" t="s">
        <v>32</v>
      </c>
      <c r="E43" s="4"/>
      <c r="F43" s="4"/>
      <c r="G43" s="4" t="s">
        <v>20</v>
      </c>
      <c r="H43" s="4" t="s">
        <v>21</v>
      </c>
      <c r="I43" s="4"/>
      <c r="J43" s="4" t="s">
        <v>22</v>
      </c>
      <c r="K43" s="4" t="s">
        <v>23</v>
      </c>
      <c r="L43" s="4" t="s">
        <v>24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 t="s">
        <v>148</v>
      </c>
      <c r="B44" s="4" t="s">
        <v>149</v>
      </c>
      <c r="C44" s="13">
        <v>3850</v>
      </c>
      <c r="D44" s="10" t="s">
        <v>32</v>
      </c>
      <c r="E44" s="4"/>
      <c r="F44" s="4"/>
      <c r="G44" s="4" t="s">
        <v>20</v>
      </c>
      <c r="H44" s="4" t="s">
        <v>21</v>
      </c>
      <c r="I44" s="4"/>
      <c r="J44" s="4" t="s">
        <v>38</v>
      </c>
      <c r="K44" s="4" t="s">
        <v>39</v>
      </c>
      <c r="L44" s="4" t="s">
        <v>24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 t="s">
        <v>150</v>
      </c>
      <c r="B45" s="4" t="s">
        <v>151</v>
      </c>
      <c r="C45" s="9">
        <v>2719</v>
      </c>
      <c r="D45" s="10" t="s">
        <v>32</v>
      </c>
      <c r="E45" s="4"/>
      <c r="F45" s="4"/>
      <c r="G45" s="4" t="s">
        <v>20</v>
      </c>
      <c r="H45" s="4" t="s">
        <v>21</v>
      </c>
      <c r="I45" s="4"/>
      <c r="J45" s="4" t="s">
        <v>43</v>
      </c>
      <c r="K45" s="4" t="s">
        <v>44</v>
      </c>
      <c r="L45" s="4" t="s">
        <v>24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 t="s">
        <v>152</v>
      </c>
      <c r="C46" s="35">
        <v>14335</v>
      </c>
      <c r="D46" s="10" t="s">
        <v>32</v>
      </c>
      <c r="E46" s="4"/>
      <c r="F46" s="4"/>
      <c r="G46" s="4" t="s">
        <v>20</v>
      </c>
      <c r="H46" s="4" t="s">
        <v>21</v>
      </c>
      <c r="I46" s="4"/>
      <c r="J46" s="4" t="s">
        <v>38</v>
      </c>
      <c r="K46" s="4" t="s">
        <v>39</v>
      </c>
      <c r="L46" s="4" t="s">
        <v>24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 t="s">
        <v>153</v>
      </c>
      <c r="B47" s="4" t="s">
        <v>154</v>
      </c>
      <c r="C47" s="13">
        <v>11258</v>
      </c>
      <c r="D47" s="10" t="s">
        <v>27</v>
      </c>
      <c r="E47" s="4"/>
      <c r="F47" s="4"/>
      <c r="G47" s="4" t="s">
        <v>20</v>
      </c>
      <c r="H47" s="4" t="s">
        <v>21</v>
      </c>
      <c r="I47" s="4"/>
      <c r="J47" s="4" t="s">
        <v>38</v>
      </c>
      <c r="K47" s="4" t="s">
        <v>39</v>
      </c>
      <c r="L47" s="4" t="s">
        <v>24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 t="s">
        <v>155</v>
      </c>
      <c r="B48" s="4" t="s">
        <v>156</v>
      </c>
      <c r="C48" s="13">
        <v>3941.1408889999998</v>
      </c>
      <c r="D48" s="10" t="s">
        <v>32</v>
      </c>
      <c r="E48" s="4"/>
      <c r="F48" s="4"/>
      <c r="G48" s="4" t="s">
        <v>20</v>
      </c>
      <c r="H48" s="4" t="s">
        <v>21</v>
      </c>
      <c r="I48" s="4"/>
      <c r="J48" s="4" t="s">
        <v>81</v>
      </c>
      <c r="K48" s="4" t="s">
        <v>82</v>
      </c>
      <c r="L48" s="4" t="s">
        <v>24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 t="s">
        <v>157</v>
      </c>
      <c r="B49" s="4" t="s">
        <v>158</v>
      </c>
      <c r="C49" s="13">
        <v>1778</v>
      </c>
      <c r="D49" s="10" t="s">
        <v>32</v>
      </c>
      <c r="E49" s="4"/>
      <c r="F49" s="4"/>
      <c r="G49" s="4" t="s">
        <v>20</v>
      </c>
      <c r="H49" s="4" t="s">
        <v>21</v>
      </c>
      <c r="I49" s="4"/>
      <c r="J49" s="4" t="s">
        <v>38</v>
      </c>
      <c r="K49" s="4" t="s">
        <v>39</v>
      </c>
      <c r="L49" s="4" t="s">
        <v>24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 t="s">
        <v>159</v>
      </c>
      <c r="B50" s="4" t="s">
        <v>160</v>
      </c>
      <c r="C50" s="13">
        <v>680</v>
      </c>
      <c r="D50" s="10" t="s">
        <v>32</v>
      </c>
      <c r="E50" s="4"/>
      <c r="F50" s="4"/>
      <c r="G50" s="4" t="s">
        <v>20</v>
      </c>
      <c r="H50" s="4" t="s">
        <v>21</v>
      </c>
      <c r="I50" s="4"/>
      <c r="J50" s="4" t="s">
        <v>33</v>
      </c>
      <c r="K50" s="4" t="s">
        <v>34</v>
      </c>
      <c r="L50" s="4" t="s">
        <v>24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 t="s">
        <v>161</v>
      </c>
      <c r="B51" s="4" t="s">
        <v>162</v>
      </c>
      <c r="C51" s="13">
        <v>3760</v>
      </c>
      <c r="D51" s="10" t="s">
        <v>32</v>
      </c>
      <c r="E51" s="4"/>
      <c r="F51" s="4"/>
      <c r="G51" s="4" t="s">
        <v>20</v>
      </c>
      <c r="H51" s="4" t="s">
        <v>21</v>
      </c>
      <c r="I51" s="4"/>
      <c r="J51" s="4" t="s">
        <v>43</v>
      </c>
      <c r="K51" s="4" t="s">
        <v>44</v>
      </c>
      <c r="L51" s="4" t="s">
        <v>24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 t="s">
        <v>163</v>
      </c>
      <c r="B52" s="4" t="s">
        <v>164</v>
      </c>
      <c r="C52" s="13">
        <v>6456.9593050000003</v>
      </c>
      <c r="D52" s="10" t="s">
        <v>32</v>
      </c>
      <c r="E52" s="4"/>
      <c r="F52" s="4"/>
      <c r="G52" s="4" t="s">
        <v>20</v>
      </c>
      <c r="H52" s="4" t="s">
        <v>21</v>
      </c>
      <c r="I52" s="4"/>
      <c r="J52" s="4" t="s">
        <v>43</v>
      </c>
      <c r="K52" s="4" t="s">
        <v>44</v>
      </c>
      <c r="L52" s="4" t="s">
        <v>24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 t="s">
        <v>165</v>
      </c>
      <c r="B53" s="4" t="s">
        <v>166</v>
      </c>
      <c r="C53" s="13">
        <v>4742</v>
      </c>
      <c r="D53" s="10" t="s">
        <v>32</v>
      </c>
      <c r="E53" s="4"/>
      <c r="F53" s="4"/>
      <c r="G53" s="4" t="s">
        <v>20</v>
      </c>
      <c r="H53" s="4" t="s">
        <v>21</v>
      </c>
      <c r="I53" s="4"/>
      <c r="J53" s="4" t="s">
        <v>43</v>
      </c>
      <c r="K53" s="4" t="s">
        <v>44</v>
      </c>
      <c r="L53" s="4" t="s">
        <v>24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 t="s">
        <v>167</v>
      </c>
      <c r="B54" s="4" t="s">
        <v>168</v>
      </c>
      <c r="C54" s="13">
        <v>1779.375</v>
      </c>
      <c r="D54" s="10" t="s">
        <v>32</v>
      </c>
      <c r="E54" s="4"/>
      <c r="F54" s="4"/>
      <c r="G54" s="4" t="s">
        <v>20</v>
      </c>
      <c r="H54" s="4" t="s">
        <v>21</v>
      </c>
      <c r="I54" s="4"/>
      <c r="J54" s="4" t="s">
        <v>43</v>
      </c>
      <c r="K54" s="4" t="s">
        <v>44</v>
      </c>
      <c r="L54" s="4" t="s">
        <v>24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 t="s">
        <v>169</v>
      </c>
      <c r="B55" s="4" t="s">
        <v>170</v>
      </c>
      <c r="C55" s="9">
        <v>1968</v>
      </c>
      <c r="D55" s="10" t="s">
        <v>32</v>
      </c>
      <c r="E55" s="4"/>
      <c r="F55" s="4"/>
      <c r="G55" s="4" t="s">
        <v>20</v>
      </c>
      <c r="H55" s="4" t="s">
        <v>21</v>
      </c>
      <c r="I55" s="4"/>
      <c r="J55" s="4" t="s">
        <v>43</v>
      </c>
      <c r="K55" s="4" t="s">
        <v>44</v>
      </c>
      <c r="L55" s="4" t="s">
        <v>24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 t="s">
        <v>171</v>
      </c>
      <c r="B56" s="4" t="s">
        <v>172</v>
      </c>
      <c r="C56" s="9">
        <v>4816</v>
      </c>
      <c r="D56" s="10" t="s">
        <v>32</v>
      </c>
      <c r="E56" s="4"/>
      <c r="F56" s="4"/>
      <c r="G56" s="4" t="s">
        <v>20</v>
      </c>
      <c r="H56" s="4" t="s">
        <v>21</v>
      </c>
      <c r="I56" s="4"/>
      <c r="J56" s="4" t="s">
        <v>43</v>
      </c>
      <c r="K56" s="4" t="s">
        <v>44</v>
      </c>
      <c r="L56" s="4" t="s">
        <v>24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 t="s">
        <v>173</v>
      </c>
      <c r="C57" s="13">
        <v>4596</v>
      </c>
      <c r="D57" s="10" t="s">
        <v>32</v>
      </c>
      <c r="E57" s="4"/>
      <c r="F57" s="4"/>
      <c r="G57" s="4" t="s">
        <v>20</v>
      </c>
      <c r="H57" s="4" t="s">
        <v>21</v>
      </c>
      <c r="I57" s="4"/>
      <c r="J57" s="4" t="s">
        <v>38</v>
      </c>
      <c r="K57" s="4" t="s">
        <v>39</v>
      </c>
      <c r="L57" s="4" t="s">
        <v>24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 t="s">
        <v>174</v>
      </c>
      <c r="B58" s="4" t="s">
        <v>175</v>
      </c>
      <c r="C58" s="13">
        <v>7135.19</v>
      </c>
      <c r="D58" s="10" t="s">
        <v>27</v>
      </c>
      <c r="E58" s="4"/>
      <c r="F58" s="4"/>
      <c r="G58" s="4" t="s">
        <v>20</v>
      </c>
      <c r="H58" s="4" t="s">
        <v>21</v>
      </c>
      <c r="I58" s="4"/>
      <c r="J58" s="4" t="s">
        <v>38</v>
      </c>
      <c r="K58" s="4" t="s">
        <v>39</v>
      </c>
      <c r="L58" s="4" t="s">
        <v>24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 t="s">
        <v>176</v>
      </c>
      <c r="B59" s="4" t="s">
        <v>177</v>
      </c>
      <c r="C59" s="9">
        <v>290</v>
      </c>
      <c r="D59" s="10" t="s">
        <v>32</v>
      </c>
      <c r="E59" s="4"/>
      <c r="F59" s="4"/>
      <c r="G59" s="4" t="s">
        <v>20</v>
      </c>
      <c r="H59" s="4" t="s">
        <v>21</v>
      </c>
      <c r="I59" s="4"/>
      <c r="J59" s="4" t="s">
        <v>28</v>
      </c>
      <c r="K59" s="4" t="s">
        <v>29</v>
      </c>
      <c r="L59" s="4" t="s">
        <v>24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 t="s">
        <v>178</v>
      </c>
      <c r="B60" s="4" t="s">
        <v>179</v>
      </c>
      <c r="C60" s="9">
        <v>1587</v>
      </c>
      <c r="D60" s="10" t="s">
        <v>32</v>
      </c>
      <c r="E60" s="4"/>
      <c r="F60" s="4"/>
      <c r="G60" s="4" t="s">
        <v>20</v>
      </c>
      <c r="H60" s="4" t="s">
        <v>21</v>
      </c>
      <c r="I60" s="4"/>
      <c r="J60" s="4" t="s">
        <v>38</v>
      </c>
      <c r="K60" s="4" t="s">
        <v>39</v>
      </c>
      <c r="L60" s="4" t="s">
        <v>24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 t="s">
        <v>180</v>
      </c>
      <c r="B61" s="4" t="s">
        <v>181</v>
      </c>
      <c r="C61" s="13">
        <v>4035</v>
      </c>
      <c r="D61" s="10" t="s">
        <v>42</v>
      </c>
      <c r="E61" s="4"/>
      <c r="F61" s="4"/>
      <c r="G61" s="4" t="s">
        <v>20</v>
      </c>
      <c r="H61" s="4" t="s">
        <v>21</v>
      </c>
      <c r="I61" s="4"/>
      <c r="J61" s="4" t="s">
        <v>38</v>
      </c>
      <c r="K61" s="4" t="s">
        <v>39</v>
      </c>
      <c r="L61" s="4" t="s">
        <v>24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 t="s">
        <v>182</v>
      </c>
      <c r="B62" s="4" t="s">
        <v>183</v>
      </c>
      <c r="C62" s="13">
        <v>1625</v>
      </c>
      <c r="D62" s="10" t="s">
        <v>32</v>
      </c>
      <c r="E62" s="4"/>
      <c r="F62" s="4"/>
      <c r="G62" s="4" t="s">
        <v>20</v>
      </c>
      <c r="H62" s="4" t="s">
        <v>21</v>
      </c>
      <c r="I62" s="4"/>
      <c r="J62" s="4" t="s">
        <v>38</v>
      </c>
      <c r="K62" s="4" t="s">
        <v>39</v>
      </c>
      <c r="L62" s="4" t="s">
        <v>24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 t="s">
        <v>184</v>
      </c>
      <c r="B63" s="4" t="s">
        <v>185</v>
      </c>
      <c r="C63" s="13">
        <v>4874.3959999999997</v>
      </c>
      <c r="D63" s="10" t="s">
        <v>32</v>
      </c>
      <c r="E63" s="4"/>
      <c r="F63" s="4"/>
      <c r="G63" s="4" t="s">
        <v>20</v>
      </c>
      <c r="H63" s="4" t="s">
        <v>21</v>
      </c>
      <c r="I63" s="4"/>
      <c r="J63" s="4" t="s">
        <v>38</v>
      </c>
      <c r="K63" s="4" t="s">
        <v>39</v>
      </c>
      <c r="L63" s="4" t="s">
        <v>24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 t="s">
        <v>186</v>
      </c>
      <c r="B64" s="4" t="s">
        <v>187</v>
      </c>
      <c r="C64" s="9">
        <v>5550</v>
      </c>
      <c r="D64" s="10" t="s">
        <v>42</v>
      </c>
      <c r="E64" s="4"/>
      <c r="F64" s="4"/>
      <c r="G64" s="4" t="s">
        <v>20</v>
      </c>
      <c r="H64" s="4" t="s">
        <v>21</v>
      </c>
      <c r="I64" s="4"/>
      <c r="J64" s="4" t="s">
        <v>43</v>
      </c>
      <c r="K64" s="4" t="s">
        <v>44</v>
      </c>
      <c r="L64" s="4" t="s">
        <v>24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 t="s">
        <v>188</v>
      </c>
      <c r="B65" s="4" t="s">
        <v>189</v>
      </c>
      <c r="C65" s="13">
        <v>4164</v>
      </c>
      <c r="D65" s="10" t="s">
        <v>32</v>
      </c>
      <c r="E65" s="4"/>
      <c r="F65" s="4"/>
      <c r="G65" s="4" t="s">
        <v>20</v>
      </c>
      <c r="H65" s="4" t="s">
        <v>21</v>
      </c>
      <c r="I65" s="4"/>
      <c r="J65" s="4" t="s">
        <v>43</v>
      </c>
      <c r="K65" s="4" t="s">
        <v>44</v>
      </c>
      <c r="L65" s="4" t="s">
        <v>24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 t="s">
        <v>190</v>
      </c>
      <c r="B66" s="4" t="s">
        <v>191</v>
      </c>
      <c r="C66" s="13">
        <v>5441</v>
      </c>
      <c r="D66" s="10" t="s">
        <v>32</v>
      </c>
      <c r="E66" s="4"/>
      <c r="F66" s="4"/>
      <c r="G66" s="4" t="s">
        <v>20</v>
      </c>
      <c r="H66" s="4" t="s">
        <v>21</v>
      </c>
      <c r="I66" s="4"/>
      <c r="J66" s="4" t="s">
        <v>43</v>
      </c>
      <c r="K66" s="4" t="s">
        <v>44</v>
      </c>
      <c r="L66" s="4" t="s">
        <v>24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 t="s">
        <v>192</v>
      </c>
      <c r="B67" s="4" t="s">
        <v>193</v>
      </c>
      <c r="C67" s="13">
        <v>3444</v>
      </c>
      <c r="D67" s="10" t="s">
        <v>194</v>
      </c>
      <c r="E67" s="4"/>
      <c r="F67" s="4"/>
      <c r="G67" s="4" t="s">
        <v>20</v>
      </c>
      <c r="H67" s="4" t="s">
        <v>21</v>
      </c>
      <c r="I67" s="4"/>
      <c r="J67" s="4" t="s">
        <v>195</v>
      </c>
      <c r="K67" s="4" t="s">
        <v>196</v>
      </c>
      <c r="L67" s="4" t="s">
        <v>24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 t="s">
        <v>197</v>
      </c>
      <c r="B68" s="4" t="s">
        <v>198</v>
      </c>
      <c r="C68" s="13">
        <v>46.5</v>
      </c>
      <c r="D68" s="10" t="s">
        <v>27</v>
      </c>
      <c r="E68" s="4"/>
      <c r="F68" s="4"/>
      <c r="G68" s="4" t="s">
        <v>20</v>
      </c>
      <c r="H68" s="4" t="s">
        <v>21</v>
      </c>
      <c r="I68" s="4"/>
      <c r="J68" s="4" t="s">
        <v>138</v>
      </c>
      <c r="K68" s="4" t="s">
        <v>139</v>
      </c>
      <c r="L68" s="4" t="s">
        <v>24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 t="s">
        <v>199</v>
      </c>
      <c r="B69" s="4" t="s">
        <v>200</v>
      </c>
      <c r="C69" s="13">
        <v>9885</v>
      </c>
      <c r="D69" s="10" t="s">
        <v>27</v>
      </c>
      <c r="E69" s="4"/>
      <c r="F69" s="4"/>
      <c r="G69" s="4" t="s">
        <v>20</v>
      </c>
      <c r="H69" s="4" t="s">
        <v>21</v>
      </c>
      <c r="I69" s="4"/>
      <c r="J69" s="4" t="s">
        <v>38</v>
      </c>
      <c r="K69" s="4" t="s">
        <v>39</v>
      </c>
      <c r="L69" s="4" t="s">
        <v>24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 t="s">
        <v>201</v>
      </c>
      <c r="B70" s="4" t="s">
        <v>202</v>
      </c>
      <c r="C70" s="13">
        <v>31.25</v>
      </c>
      <c r="D70" s="10" t="s">
        <v>194</v>
      </c>
      <c r="E70" s="4"/>
      <c r="F70" s="4"/>
      <c r="G70" s="4" t="s">
        <v>20</v>
      </c>
      <c r="H70" s="4" t="s">
        <v>21</v>
      </c>
      <c r="I70" s="4"/>
      <c r="J70" s="4" t="s">
        <v>203</v>
      </c>
      <c r="K70" s="4" t="s">
        <v>18</v>
      </c>
      <c r="L70" s="4" t="s">
        <v>24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 t="s">
        <v>204</v>
      </c>
      <c r="B71" s="4" t="s">
        <v>205</v>
      </c>
      <c r="C71" s="13">
        <v>593</v>
      </c>
      <c r="D71" s="10" t="s">
        <v>27</v>
      </c>
      <c r="E71" s="4"/>
      <c r="F71" s="4"/>
      <c r="G71" s="4" t="s">
        <v>20</v>
      </c>
      <c r="H71" s="4" t="s">
        <v>21</v>
      </c>
      <c r="I71" s="4"/>
      <c r="J71" s="4" t="s">
        <v>206</v>
      </c>
      <c r="K71" s="4" t="s">
        <v>207</v>
      </c>
      <c r="L71" s="4" t="s">
        <v>24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 t="s">
        <v>208</v>
      </c>
      <c r="B72" s="4" t="s">
        <v>209</v>
      </c>
      <c r="C72" s="13">
        <v>2348.1999999999998</v>
      </c>
      <c r="D72" s="10" t="s">
        <v>27</v>
      </c>
      <c r="E72" s="4"/>
      <c r="F72" s="4"/>
      <c r="G72" s="4" t="s">
        <v>210</v>
      </c>
      <c r="H72" s="4" t="s">
        <v>127</v>
      </c>
      <c r="I72" s="4"/>
      <c r="J72" s="4" t="s">
        <v>211</v>
      </c>
      <c r="K72" s="4" t="s">
        <v>212</v>
      </c>
      <c r="L72" s="4" t="s">
        <v>24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 t="s">
        <v>213</v>
      </c>
      <c r="B73" s="4" t="s">
        <v>214</v>
      </c>
      <c r="C73" s="9">
        <v>39</v>
      </c>
      <c r="D73" s="10" t="s">
        <v>27</v>
      </c>
      <c r="E73" s="4"/>
      <c r="F73" s="4"/>
      <c r="G73" s="4" t="s">
        <v>210</v>
      </c>
      <c r="H73" s="4" t="s">
        <v>127</v>
      </c>
      <c r="I73" s="4"/>
      <c r="J73" s="4" t="s">
        <v>215</v>
      </c>
      <c r="K73" s="4" t="s">
        <v>216</v>
      </c>
      <c r="L73" s="4" t="s">
        <v>24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 t="s">
        <v>217</v>
      </c>
      <c r="B74" s="4" t="s">
        <v>218</v>
      </c>
      <c r="C74" s="9">
        <v>391.1</v>
      </c>
      <c r="D74" s="10" t="s">
        <v>27</v>
      </c>
      <c r="E74" s="4"/>
      <c r="F74" s="4"/>
      <c r="G74" s="4" t="s">
        <v>210</v>
      </c>
      <c r="H74" s="4" t="s">
        <v>127</v>
      </c>
      <c r="I74" s="4"/>
      <c r="J74" s="4" t="s">
        <v>62</v>
      </c>
      <c r="K74" s="4" t="s">
        <v>63</v>
      </c>
      <c r="L74" s="4" t="s">
        <v>24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 t="s">
        <v>220</v>
      </c>
      <c r="B75" s="4" t="s">
        <v>221</v>
      </c>
      <c r="C75" s="9">
        <v>74.8</v>
      </c>
      <c r="D75" s="10" t="s">
        <v>27</v>
      </c>
      <c r="E75" s="4"/>
      <c r="F75" s="4"/>
      <c r="G75" s="4" t="s">
        <v>210</v>
      </c>
      <c r="H75" s="4" t="s">
        <v>127</v>
      </c>
      <c r="I75" s="4"/>
      <c r="J75" s="4" t="s">
        <v>222</v>
      </c>
      <c r="K75" s="4" t="s">
        <v>223</v>
      </c>
      <c r="L75" s="4" t="s">
        <v>24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 t="s">
        <v>224</v>
      </c>
      <c r="B76" s="4" t="s">
        <v>225</v>
      </c>
      <c r="C76" s="13">
        <v>19328</v>
      </c>
      <c r="D76" s="10" t="s">
        <v>32</v>
      </c>
      <c r="E76" s="4"/>
      <c r="F76" s="4"/>
      <c r="G76" s="4" t="s">
        <v>210</v>
      </c>
      <c r="H76" s="4" t="s">
        <v>127</v>
      </c>
      <c r="I76" s="4"/>
      <c r="J76" s="4" t="s">
        <v>138</v>
      </c>
      <c r="K76" s="4" t="s">
        <v>139</v>
      </c>
      <c r="L76" s="4" t="s">
        <v>24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 t="s">
        <v>226</v>
      </c>
      <c r="B77" s="4" t="s">
        <v>227</v>
      </c>
      <c r="C77" s="9">
        <v>247</v>
      </c>
      <c r="D77" s="10" t="s">
        <v>19</v>
      </c>
      <c r="E77" s="4"/>
      <c r="F77" s="4"/>
      <c r="G77" s="4" t="s">
        <v>210</v>
      </c>
      <c r="H77" s="4" t="s">
        <v>127</v>
      </c>
      <c r="I77" s="4"/>
      <c r="J77" s="4" t="s">
        <v>62</v>
      </c>
      <c r="K77" s="4" t="s">
        <v>63</v>
      </c>
      <c r="L77" s="4" t="s">
        <v>24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 t="s">
        <v>228</v>
      </c>
      <c r="B78" s="4" t="s">
        <v>229</v>
      </c>
      <c r="C78" s="9">
        <v>1250</v>
      </c>
      <c r="D78" s="10" t="s">
        <v>19</v>
      </c>
      <c r="E78" s="4"/>
      <c r="F78" s="4"/>
      <c r="G78" s="4" t="s">
        <v>210</v>
      </c>
      <c r="H78" s="4" t="s">
        <v>127</v>
      </c>
      <c r="I78" s="4"/>
      <c r="J78" s="4" t="s">
        <v>230</v>
      </c>
      <c r="K78" s="4" t="s">
        <v>231</v>
      </c>
      <c r="L78" s="4" t="s">
        <v>24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 t="s">
        <v>232</v>
      </c>
      <c r="B79" s="4" t="s">
        <v>233</v>
      </c>
      <c r="C79" s="9">
        <v>658.8</v>
      </c>
      <c r="D79" s="10" t="s">
        <v>19</v>
      </c>
      <c r="E79" s="4"/>
      <c r="F79" s="4"/>
      <c r="G79" s="4" t="s">
        <v>210</v>
      </c>
      <c r="H79" s="4" t="s">
        <v>127</v>
      </c>
      <c r="I79" s="4"/>
      <c r="J79" s="4" t="s">
        <v>62</v>
      </c>
      <c r="K79" s="4" t="s">
        <v>63</v>
      </c>
      <c r="L79" s="4" t="s">
        <v>24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 t="s">
        <v>234</v>
      </c>
      <c r="B80" s="4" t="s">
        <v>235</v>
      </c>
      <c r="C80" s="9">
        <v>1250</v>
      </c>
      <c r="D80" s="10" t="s">
        <v>27</v>
      </c>
      <c r="E80" s="4"/>
      <c r="F80" s="4"/>
      <c r="G80" s="4" t="s">
        <v>210</v>
      </c>
      <c r="H80" s="4" t="s">
        <v>127</v>
      </c>
      <c r="I80" s="4"/>
      <c r="J80" s="4" t="s">
        <v>236</v>
      </c>
      <c r="K80" s="4" t="s">
        <v>237</v>
      </c>
      <c r="L80" s="4" t="s">
        <v>24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 t="s">
        <v>238</v>
      </c>
      <c r="B81" s="4" t="s">
        <v>239</v>
      </c>
      <c r="C81" s="13">
        <v>149</v>
      </c>
      <c r="D81" s="10" t="s">
        <v>27</v>
      </c>
      <c r="E81" s="4"/>
      <c r="F81" s="4"/>
      <c r="G81" s="4" t="s">
        <v>210</v>
      </c>
      <c r="H81" s="4" t="s">
        <v>127</v>
      </c>
      <c r="I81" s="4"/>
      <c r="J81" s="4" t="s">
        <v>62</v>
      </c>
      <c r="K81" s="4" t="s">
        <v>63</v>
      </c>
      <c r="L81" s="4" t="s">
        <v>24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 t="s">
        <v>241</v>
      </c>
      <c r="B82" s="4" t="s">
        <v>242</v>
      </c>
      <c r="C82" s="13">
        <v>495</v>
      </c>
      <c r="D82" s="10" t="s">
        <v>27</v>
      </c>
      <c r="E82" s="4"/>
      <c r="F82" s="4"/>
      <c r="G82" s="4" t="s">
        <v>210</v>
      </c>
      <c r="H82" s="4" t="s">
        <v>127</v>
      </c>
      <c r="I82" s="4"/>
      <c r="J82" s="4" t="s">
        <v>215</v>
      </c>
      <c r="K82" s="4" t="s">
        <v>216</v>
      </c>
      <c r="L82" s="4" t="s">
        <v>24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 t="s">
        <v>243</v>
      </c>
      <c r="B83" s="4" t="s">
        <v>244</v>
      </c>
      <c r="C83" s="13">
        <v>495</v>
      </c>
      <c r="D83" s="10" t="s">
        <v>27</v>
      </c>
      <c r="E83" s="4"/>
      <c r="F83" s="4"/>
      <c r="G83" s="4" t="s">
        <v>210</v>
      </c>
      <c r="H83" s="4" t="s">
        <v>127</v>
      </c>
      <c r="I83" s="4"/>
      <c r="J83" s="4" t="s">
        <v>222</v>
      </c>
      <c r="K83" s="4" t="s">
        <v>223</v>
      </c>
      <c r="L83" s="4" t="s">
        <v>24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 t="s">
        <v>245</v>
      </c>
      <c r="B84" s="4" t="s">
        <v>246</v>
      </c>
      <c r="C84" s="13">
        <v>450</v>
      </c>
      <c r="D84" s="10" t="s">
        <v>27</v>
      </c>
      <c r="E84" s="4"/>
      <c r="F84" s="4"/>
      <c r="G84" s="4" t="s">
        <v>210</v>
      </c>
      <c r="H84" s="4" t="s">
        <v>127</v>
      </c>
      <c r="I84" s="4"/>
      <c r="J84" s="4" t="s">
        <v>230</v>
      </c>
      <c r="K84" s="4" t="s">
        <v>231</v>
      </c>
      <c r="L84" s="4" t="s">
        <v>24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 t="s">
        <v>247</v>
      </c>
      <c r="B85" s="4" t="s">
        <v>248</v>
      </c>
      <c r="C85" s="13">
        <v>3649.902</v>
      </c>
      <c r="D85" s="10" t="s">
        <v>27</v>
      </c>
      <c r="E85" s="4"/>
      <c r="F85" s="4"/>
      <c r="G85" s="4" t="s">
        <v>210</v>
      </c>
      <c r="H85" s="4" t="s">
        <v>127</v>
      </c>
      <c r="I85" s="4"/>
      <c r="J85" s="4" t="s">
        <v>62</v>
      </c>
      <c r="K85" s="4" t="s">
        <v>63</v>
      </c>
      <c r="L85" s="4" t="s">
        <v>24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 t="s">
        <v>249</v>
      </c>
      <c r="B86" s="4" t="s">
        <v>250</v>
      </c>
      <c r="C86" s="13">
        <v>3650</v>
      </c>
      <c r="D86" s="10" t="s">
        <v>27</v>
      </c>
      <c r="E86" s="4"/>
      <c r="F86" s="4"/>
      <c r="G86" s="4" t="s">
        <v>210</v>
      </c>
      <c r="H86" s="4" t="s">
        <v>127</v>
      </c>
      <c r="I86" s="4"/>
      <c r="J86" s="4" t="s">
        <v>62</v>
      </c>
      <c r="K86" s="4" t="s">
        <v>63</v>
      </c>
      <c r="L86" s="4" t="s">
        <v>24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 t="s">
        <v>251</v>
      </c>
      <c r="B87" s="4" t="s">
        <v>252</v>
      </c>
      <c r="C87" s="13">
        <v>3650</v>
      </c>
      <c r="D87" s="10" t="s">
        <v>194</v>
      </c>
      <c r="E87" s="4"/>
      <c r="F87" s="4"/>
      <c r="G87" s="4" t="s">
        <v>210</v>
      </c>
      <c r="H87" s="4" t="s">
        <v>127</v>
      </c>
      <c r="I87" s="4"/>
      <c r="J87" s="4" t="s">
        <v>222</v>
      </c>
      <c r="K87" s="4" t="s">
        <v>223</v>
      </c>
      <c r="L87" s="4" t="s">
        <v>24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 t="s">
        <v>253</v>
      </c>
      <c r="B88" s="4" t="s">
        <v>254</v>
      </c>
      <c r="C88" s="13">
        <v>880</v>
      </c>
      <c r="D88" s="10" t="s">
        <v>19</v>
      </c>
      <c r="E88" s="4"/>
      <c r="F88" s="4"/>
      <c r="G88" s="4" t="s">
        <v>210</v>
      </c>
      <c r="H88" s="4" t="s">
        <v>127</v>
      </c>
      <c r="I88" s="4"/>
      <c r="J88" s="4" t="s">
        <v>138</v>
      </c>
      <c r="K88" s="4" t="s">
        <v>139</v>
      </c>
      <c r="L88" s="4" t="s">
        <v>24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 t="s">
        <v>255</v>
      </c>
      <c r="B89" s="4" t="s">
        <v>256</v>
      </c>
      <c r="C89" s="9">
        <v>381.6</v>
      </c>
      <c r="D89" s="10" t="s">
        <v>19</v>
      </c>
      <c r="E89" s="4"/>
      <c r="F89" s="4"/>
      <c r="G89" s="4" t="s">
        <v>210</v>
      </c>
      <c r="H89" s="4" t="s">
        <v>127</v>
      </c>
      <c r="I89" s="4"/>
      <c r="J89" s="4" t="s">
        <v>257</v>
      </c>
      <c r="K89" s="4" t="s">
        <v>258</v>
      </c>
      <c r="L89" s="4" t="s">
        <v>24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 t="s">
        <v>259</v>
      </c>
      <c r="B90" s="4" t="s">
        <v>260</v>
      </c>
      <c r="C90" s="9">
        <v>1522</v>
      </c>
      <c r="D90" s="10" t="s">
        <v>27</v>
      </c>
      <c r="E90" s="4"/>
      <c r="F90" s="4"/>
      <c r="G90" s="4" t="s">
        <v>210</v>
      </c>
      <c r="H90" s="4" t="s">
        <v>127</v>
      </c>
      <c r="I90" s="4"/>
      <c r="J90" s="4" t="s">
        <v>230</v>
      </c>
      <c r="K90" s="4" t="s">
        <v>231</v>
      </c>
      <c r="L90" s="4" t="s">
        <v>24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 t="s">
        <v>261</v>
      </c>
      <c r="B91" s="4" t="s">
        <v>262</v>
      </c>
      <c r="C91" s="13">
        <v>284.11604940000001</v>
      </c>
      <c r="D91" s="10" t="s">
        <v>19</v>
      </c>
      <c r="E91" s="4"/>
      <c r="F91" s="4"/>
      <c r="G91" s="4" t="s">
        <v>210</v>
      </c>
      <c r="H91" s="4" t="s">
        <v>127</v>
      </c>
      <c r="I91" s="4"/>
      <c r="J91" s="4" t="s">
        <v>257</v>
      </c>
      <c r="K91" s="4" t="s">
        <v>258</v>
      </c>
      <c r="L91" s="4" t="s">
        <v>24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 t="s">
        <v>263</v>
      </c>
      <c r="B92" s="4" t="s">
        <v>264</v>
      </c>
      <c r="C92" s="13">
        <v>696.4</v>
      </c>
      <c r="D92" s="10" t="s">
        <v>19</v>
      </c>
      <c r="E92" s="4"/>
      <c r="F92" s="4"/>
      <c r="G92" s="4" t="s">
        <v>210</v>
      </c>
      <c r="H92" s="4" t="s">
        <v>127</v>
      </c>
      <c r="I92" s="4"/>
      <c r="J92" s="4" t="s">
        <v>138</v>
      </c>
      <c r="K92" s="4" t="s">
        <v>139</v>
      </c>
      <c r="L92" s="4" t="s">
        <v>24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 t="s">
        <v>265</v>
      </c>
      <c r="B93" s="4" t="s">
        <v>266</v>
      </c>
      <c r="C93" s="13">
        <v>893</v>
      </c>
      <c r="D93" s="10" t="s">
        <v>27</v>
      </c>
      <c r="E93" s="4"/>
      <c r="F93" s="4"/>
      <c r="G93" s="4" t="s">
        <v>210</v>
      </c>
      <c r="H93" s="4" t="s">
        <v>127</v>
      </c>
      <c r="I93" s="4"/>
      <c r="J93" s="4" t="s">
        <v>138</v>
      </c>
      <c r="K93" s="4" t="s">
        <v>139</v>
      </c>
      <c r="L93" s="4" t="s">
        <v>24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 t="s">
        <v>267</v>
      </c>
      <c r="B94" s="4" t="s">
        <v>268</v>
      </c>
      <c r="C94" s="13">
        <v>2428</v>
      </c>
      <c r="D94" s="10" t="s">
        <v>27</v>
      </c>
      <c r="E94" s="4"/>
      <c r="F94" s="4"/>
      <c r="G94" s="4" t="s">
        <v>210</v>
      </c>
      <c r="H94" s="4" t="s">
        <v>127</v>
      </c>
      <c r="I94" s="4"/>
      <c r="J94" s="4" t="s">
        <v>138</v>
      </c>
      <c r="K94" s="4" t="s">
        <v>139</v>
      </c>
      <c r="L94" s="4" t="s">
        <v>24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 t="s">
        <v>269</v>
      </c>
      <c r="B95" s="4" t="s">
        <v>270</v>
      </c>
      <c r="C95" s="13">
        <v>1529</v>
      </c>
      <c r="D95" s="10" t="s">
        <v>27</v>
      </c>
      <c r="E95" s="4"/>
      <c r="F95" s="4"/>
      <c r="G95" s="4" t="s">
        <v>210</v>
      </c>
      <c r="H95" s="4" t="s">
        <v>127</v>
      </c>
      <c r="I95" s="4"/>
      <c r="J95" s="4" t="s">
        <v>236</v>
      </c>
      <c r="K95" s="4" t="s">
        <v>237</v>
      </c>
      <c r="L95" s="4" t="s">
        <v>24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 t="s">
        <v>271</v>
      </c>
      <c r="B96" s="4" t="s">
        <v>272</v>
      </c>
      <c r="C96" s="13">
        <v>1350</v>
      </c>
      <c r="D96" s="10" t="s">
        <v>27</v>
      </c>
      <c r="E96" s="4"/>
      <c r="F96" s="4"/>
      <c r="G96" s="4" t="s">
        <v>210</v>
      </c>
      <c r="H96" s="4" t="s">
        <v>127</v>
      </c>
      <c r="I96" s="4"/>
      <c r="J96" s="4" t="s">
        <v>236</v>
      </c>
      <c r="K96" s="4" t="s">
        <v>237</v>
      </c>
      <c r="L96" s="4" t="s">
        <v>24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 t="s">
        <v>273</v>
      </c>
      <c r="B97" s="4" t="s">
        <v>274</v>
      </c>
      <c r="C97" s="9">
        <v>2735</v>
      </c>
      <c r="D97" s="10" t="s">
        <v>27</v>
      </c>
      <c r="E97" s="4"/>
      <c r="F97" s="4"/>
      <c r="G97" s="4" t="s">
        <v>210</v>
      </c>
      <c r="H97" s="4" t="s">
        <v>127</v>
      </c>
      <c r="I97" s="4"/>
      <c r="J97" s="4" t="s">
        <v>62</v>
      </c>
      <c r="K97" s="4" t="s">
        <v>63</v>
      </c>
      <c r="L97" s="4" t="s">
        <v>24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 t="s">
        <v>275</v>
      </c>
      <c r="B98" s="4" t="s">
        <v>276</v>
      </c>
      <c r="C98" s="13">
        <v>1165</v>
      </c>
      <c r="D98" s="10" t="s">
        <v>27</v>
      </c>
      <c r="E98" s="4"/>
      <c r="F98" s="4"/>
      <c r="G98" s="4" t="s">
        <v>210</v>
      </c>
      <c r="H98" s="4" t="s">
        <v>127</v>
      </c>
      <c r="I98" s="4"/>
      <c r="J98" s="4" t="s">
        <v>62</v>
      </c>
      <c r="K98" s="4" t="s">
        <v>63</v>
      </c>
      <c r="L98" s="4" t="s">
        <v>24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 t="s">
        <v>277</v>
      </c>
      <c r="B99" s="4" t="s">
        <v>278</v>
      </c>
      <c r="C99" s="13">
        <v>650</v>
      </c>
      <c r="D99" s="10" t="s">
        <v>27</v>
      </c>
      <c r="E99" s="4"/>
      <c r="F99" s="4"/>
      <c r="G99" s="4" t="s">
        <v>210</v>
      </c>
      <c r="H99" s="4" t="s">
        <v>127</v>
      </c>
      <c r="I99" s="4"/>
      <c r="J99" s="4" t="s">
        <v>279</v>
      </c>
      <c r="K99" s="4" t="s">
        <v>280</v>
      </c>
      <c r="L99" s="4" t="s">
        <v>24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 t="s">
        <v>281</v>
      </c>
      <c r="B100" s="4" t="s">
        <v>282</v>
      </c>
      <c r="C100" s="13">
        <v>185</v>
      </c>
      <c r="D100" s="10" t="s">
        <v>27</v>
      </c>
      <c r="E100" s="4"/>
      <c r="F100" s="4"/>
      <c r="G100" s="4" t="s">
        <v>210</v>
      </c>
      <c r="H100" s="4" t="s">
        <v>127</v>
      </c>
      <c r="I100" s="4"/>
      <c r="J100" s="4" t="s">
        <v>283</v>
      </c>
      <c r="K100" s="4" t="s">
        <v>284</v>
      </c>
      <c r="L100" s="4" t="s">
        <v>24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 t="s">
        <v>285</v>
      </c>
      <c r="B101" s="4" t="s">
        <v>286</v>
      </c>
      <c r="C101" s="13">
        <v>1676.25</v>
      </c>
      <c r="D101" s="10" t="s">
        <v>27</v>
      </c>
      <c r="E101" s="4"/>
      <c r="F101" s="4"/>
      <c r="G101" s="4" t="s">
        <v>210</v>
      </c>
      <c r="H101" s="4" t="s">
        <v>127</v>
      </c>
      <c r="I101" s="4"/>
      <c r="J101" s="4" t="s">
        <v>138</v>
      </c>
      <c r="K101" s="4" t="s">
        <v>139</v>
      </c>
      <c r="L101" s="4" t="s">
        <v>24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 t="s">
        <v>287</v>
      </c>
      <c r="B102" s="4" t="s">
        <v>288</v>
      </c>
      <c r="C102" s="13">
        <v>409.88889999999998</v>
      </c>
      <c r="D102" s="10" t="s">
        <v>27</v>
      </c>
      <c r="E102" s="4"/>
      <c r="F102" s="4"/>
      <c r="G102" s="4" t="s">
        <v>210</v>
      </c>
      <c r="H102" s="4" t="s">
        <v>127</v>
      </c>
      <c r="I102" s="4"/>
      <c r="J102" s="4" t="s">
        <v>203</v>
      </c>
      <c r="K102" s="4" t="s">
        <v>18</v>
      </c>
      <c r="L102" s="4" t="s">
        <v>24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 t="s">
        <v>289</v>
      </c>
      <c r="B103" s="4" t="s">
        <v>290</v>
      </c>
      <c r="C103" s="13">
        <v>27731</v>
      </c>
      <c r="D103" s="10" t="s">
        <v>27</v>
      </c>
      <c r="E103" s="4"/>
      <c r="F103" s="4"/>
      <c r="G103" s="4" t="s">
        <v>210</v>
      </c>
      <c r="H103" s="4" t="s">
        <v>127</v>
      </c>
      <c r="I103" s="4"/>
      <c r="J103" s="4" t="s">
        <v>138</v>
      </c>
      <c r="K103" s="4" t="s">
        <v>139</v>
      </c>
      <c r="L103" s="4" t="s">
        <v>24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 t="s">
        <v>291</v>
      </c>
      <c r="B104" s="4" t="s">
        <v>292</v>
      </c>
      <c r="C104" s="13">
        <v>789</v>
      </c>
      <c r="D104" s="10" t="s">
        <v>27</v>
      </c>
      <c r="E104" s="4"/>
      <c r="F104" s="4"/>
      <c r="G104" s="4" t="s">
        <v>210</v>
      </c>
      <c r="H104" s="4" t="s">
        <v>127</v>
      </c>
      <c r="I104" s="4"/>
      <c r="J104" s="4" t="s">
        <v>236</v>
      </c>
      <c r="K104" s="4" t="s">
        <v>237</v>
      </c>
      <c r="L104" s="4" t="s">
        <v>24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 t="s">
        <v>293</v>
      </c>
      <c r="B105" s="4" t="s">
        <v>294</v>
      </c>
      <c r="C105" s="13">
        <v>890</v>
      </c>
      <c r="D105" s="10" t="s">
        <v>27</v>
      </c>
      <c r="E105" s="4"/>
      <c r="F105" s="4"/>
      <c r="G105" s="4" t="s">
        <v>210</v>
      </c>
      <c r="H105" s="4" t="s">
        <v>127</v>
      </c>
      <c r="I105" s="4"/>
      <c r="J105" s="4" t="s">
        <v>295</v>
      </c>
      <c r="K105" s="4" t="s">
        <v>296</v>
      </c>
      <c r="L105" s="4" t="s">
        <v>24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 t="s">
        <v>297</v>
      </c>
      <c r="B106" s="4" t="s">
        <v>298</v>
      </c>
      <c r="C106" s="13">
        <v>351.45830000000001</v>
      </c>
      <c r="D106" s="10" t="s">
        <v>27</v>
      </c>
      <c r="E106" s="4"/>
      <c r="F106" s="4"/>
      <c r="G106" s="4" t="s">
        <v>299</v>
      </c>
      <c r="H106" s="4" t="s">
        <v>128</v>
      </c>
      <c r="I106" s="4"/>
      <c r="J106" s="4" t="s">
        <v>138</v>
      </c>
      <c r="K106" s="4" t="s">
        <v>139</v>
      </c>
      <c r="L106" s="4" t="s">
        <v>24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 t="s">
        <v>300</v>
      </c>
      <c r="B107" s="4" t="s">
        <v>301</v>
      </c>
      <c r="C107" s="13">
        <v>351.45830000000001</v>
      </c>
      <c r="D107" s="10" t="s">
        <v>27</v>
      </c>
      <c r="E107" s="4"/>
      <c r="F107" s="4"/>
      <c r="G107" s="4" t="s">
        <v>299</v>
      </c>
      <c r="H107" s="4" t="s">
        <v>128</v>
      </c>
      <c r="I107" s="4"/>
      <c r="J107" s="4" t="s">
        <v>138</v>
      </c>
      <c r="K107" s="4" t="s">
        <v>139</v>
      </c>
      <c r="L107" s="4" t="s">
        <v>24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 t="s">
        <v>302</v>
      </c>
      <c r="B108" s="4" t="s">
        <v>303</v>
      </c>
      <c r="C108" s="13">
        <v>1005.389</v>
      </c>
      <c r="D108" s="10" t="s">
        <v>27</v>
      </c>
      <c r="E108" s="4"/>
      <c r="F108" s="4"/>
      <c r="G108" s="4" t="s">
        <v>299</v>
      </c>
      <c r="H108" s="4" t="s">
        <v>128</v>
      </c>
      <c r="I108" s="4"/>
      <c r="J108" s="4" t="s">
        <v>203</v>
      </c>
      <c r="K108" s="4" t="s">
        <v>18</v>
      </c>
      <c r="L108" s="4" t="s">
        <v>24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 t="s">
        <v>304</v>
      </c>
      <c r="B109" s="4" t="s">
        <v>305</v>
      </c>
      <c r="C109" s="9">
        <v>612.7396</v>
      </c>
      <c r="D109" s="10" t="s">
        <v>27</v>
      </c>
      <c r="E109" s="4"/>
      <c r="F109" s="4"/>
      <c r="G109" s="4" t="s">
        <v>299</v>
      </c>
      <c r="H109" s="4" t="s">
        <v>128</v>
      </c>
      <c r="I109" s="4"/>
      <c r="J109" s="4" t="s">
        <v>138</v>
      </c>
      <c r="K109" s="4" t="s">
        <v>139</v>
      </c>
      <c r="L109" s="4" t="s">
        <v>24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 t="s">
        <v>306</v>
      </c>
      <c r="B110" s="4" t="s">
        <v>307</v>
      </c>
      <c r="C110" s="9">
        <v>606.58130000000006</v>
      </c>
      <c r="D110" s="10" t="s">
        <v>27</v>
      </c>
      <c r="E110" s="4"/>
      <c r="F110" s="4"/>
      <c r="G110" s="4" t="s">
        <v>299</v>
      </c>
      <c r="H110" s="4" t="s">
        <v>128</v>
      </c>
      <c r="I110" s="4"/>
      <c r="J110" s="4" t="s">
        <v>138</v>
      </c>
      <c r="K110" s="4" t="s">
        <v>139</v>
      </c>
      <c r="L110" s="4" t="s">
        <v>24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 t="s">
        <v>308</v>
      </c>
      <c r="B111" s="4" t="s">
        <v>309</v>
      </c>
      <c r="C111" s="13">
        <v>20079</v>
      </c>
      <c r="D111" s="10" t="s">
        <v>27</v>
      </c>
      <c r="E111" s="4"/>
      <c r="F111" s="4"/>
      <c r="G111" s="4" t="s">
        <v>299</v>
      </c>
      <c r="H111" s="4" t="s">
        <v>128</v>
      </c>
      <c r="I111" s="4"/>
      <c r="J111" s="4" t="s">
        <v>310</v>
      </c>
      <c r="K111" s="4" t="s">
        <v>311</v>
      </c>
      <c r="L111" s="4" t="s">
        <v>24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 t="s">
        <v>312</v>
      </c>
      <c r="B112" s="4" t="s">
        <v>313</v>
      </c>
      <c r="C112" s="9">
        <v>612.71500000000003</v>
      </c>
      <c r="D112" s="10" t="s">
        <v>27</v>
      </c>
      <c r="E112" s="4"/>
      <c r="F112" s="4"/>
      <c r="G112" s="4" t="s">
        <v>299</v>
      </c>
      <c r="H112" s="4" t="s">
        <v>128</v>
      </c>
      <c r="I112" s="4"/>
      <c r="J112" s="4" t="s">
        <v>138</v>
      </c>
      <c r="K112" s="4" t="s">
        <v>139</v>
      </c>
      <c r="L112" s="135" t="s">
        <v>314</v>
      </c>
      <c r="M112" s="13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 t="s">
        <v>315</v>
      </c>
      <c r="B113" s="4" t="s">
        <v>316</v>
      </c>
      <c r="C113" s="9">
        <v>546.22730000000001</v>
      </c>
      <c r="D113" s="10" t="s">
        <v>37</v>
      </c>
      <c r="E113" s="4"/>
      <c r="F113" s="4"/>
      <c r="G113" s="4" t="s">
        <v>299</v>
      </c>
      <c r="H113" s="4" t="s">
        <v>128</v>
      </c>
      <c r="I113" s="4"/>
      <c r="J113" s="4" t="s">
        <v>138</v>
      </c>
      <c r="K113" s="4" t="s">
        <v>139</v>
      </c>
      <c r="L113" s="4" t="s">
        <v>24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 t="s">
        <v>317</v>
      </c>
      <c r="B114" s="4" t="s">
        <v>318</v>
      </c>
      <c r="C114" s="9">
        <v>420</v>
      </c>
      <c r="D114" s="10" t="s">
        <v>32</v>
      </c>
      <c r="E114" s="4"/>
      <c r="F114" s="4"/>
      <c r="G114" s="4" t="s">
        <v>299</v>
      </c>
      <c r="H114" s="4" t="s">
        <v>128</v>
      </c>
      <c r="I114" s="4"/>
      <c r="J114" s="4" t="s">
        <v>138</v>
      </c>
      <c r="K114" s="4" t="s">
        <v>139</v>
      </c>
      <c r="L114" s="4" t="s">
        <v>24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 t="s">
        <v>319</v>
      </c>
      <c r="B115" s="4" t="s">
        <v>320</v>
      </c>
      <c r="C115" s="13">
        <v>889</v>
      </c>
      <c r="D115" s="10" t="s">
        <v>27</v>
      </c>
      <c r="E115" s="4"/>
      <c r="F115" s="4"/>
      <c r="G115" s="4" t="s">
        <v>299</v>
      </c>
      <c r="H115" s="4" t="s">
        <v>128</v>
      </c>
      <c r="I115" s="4"/>
      <c r="J115" s="4" t="s">
        <v>321</v>
      </c>
      <c r="K115" s="4" t="s">
        <v>240</v>
      </c>
      <c r="L115" s="4" t="s">
        <v>24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 t="s">
        <v>322</v>
      </c>
      <c r="B116" s="4" t="s">
        <v>323</v>
      </c>
      <c r="C116" s="13">
        <v>518</v>
      </c>
      <c r="D116" s="10" t="s">
        <v>27</v>
      </c>
      <c r="E116" s="4"/>
      <c r="F116" s="4"/>
      <c r="G116" s="4" t="s">
        <v>299</v>
      </c>
      <c r="H116" s="4" t="s">
        <v>128</v>
      </c>
      <c r="I116" s="4"/>
      <c r="J116" s="4" t="s">
        <v>321</v>
      </c>
      <c r="K116" s="4" t="s">
        <v>240</v>
      </c>
      <c r="L116" s="4" t="s">
        <v>24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 t="s">
        <v>324</v>
      </c>
      <c r="B117" s="4" t="s">
        <v>325</v>
      </c>
      <c r="C117" s="13">
        <v>493</v>
      </c>
      <c r="D117" s="10" t="s">
        <v>27</v>
      </c>
      <c r="E117" s="4"/>
      <c r="F117" s="4"/>
      <c r="G117" s="4" t="s">
        <v>299</v>
      </c>
      <c r="H117" s="4" t="s">
        <v>128</v>
      </c>
      <c r="I117" s="4"/>
      <c r="J117" s="4" t="s">
        <v>321</v>
      </c>
      <c r="K117" s="4" t="s">
        <v>240</v>
      </c>
      <c r="L117" s="4" t="s">
        <v>24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 t="s">
        <v>326</v>
      </c>
      <c r="B118" s="4" t="s">
        <v>327</v>
      </c>
      <c r="C118" s="13">
        <v>356</v>
      </c>
      <c r="D118" s="10" t="s">
        <v>27</v>
      </c>
      <c r="E118" s="4"/>
      <c r="F118" s="4"/>
      <c r="G118" s="4" t="s">
        <v>299</v>
      </c>
      <c r="H118" s="4" t="s">
        <v>128</v>
      </c>
      <c r="I118" s="4"/>
      <c r="J118" s="4" t="s">
        <v>321</v>
      </c>
      <c r="K118" s="4" t="s">
        <v>240</v>
      </c>
      <c r="L118" s="4" t="s">
        <v>24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 t="s">
        <v>328</v>
      </c>
      <c r="B119" s="4" t="s">
        <v>329</v>
      </c>
      <c r="C119" s="13">
        <v>858</v>
      </c>
      <c r="D119" s="10" t="s">
        <v>27</v>
      </c>
      <c r="E119" s="4"/>
      <c r="F119" s="4"/>
      <c r="G119" s="4" t="s">
        <v>299</v>
      </c>
      <c r="H119" s="4" t="s">
        <v>128</v>
      </c>
      <c r="I119" s="4"/>
      <c r="J119" s="4" t="s">
        <v>321</v>
      </c>
      <c r="K119" s="4" t="s">
        <v>240</v>
      </c>
      <c r="L119" s="4" t="s">
        <v>24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 t="s">
        <v>330</v>
      </c>
      <c r="B120" s="4" t="s">
        <v>331</v>
      </c>
      <c r="C120" s="13">
        <v>500</v>
      </c>
      <c r="D120" s="10" t="s">
        <v>27</v>
      </c>
      <c r="E120" s="4"/>
      <c r="F120" s="4"/>
      <c r="G120" s="4" t="s">
        <v>299</v>
      </c>
      <c r="H120" s="4" t="s">
        <v>128</v>
      </c>
      <c r="I120" s="4"/>
      <c r="J120" s="4" t="s">
        <v>321</v>
      </c>
      <c r="K120" s="4" t="s">
        <v>240</v>
      </c>
      <c r="L120" s="4" t="s">
        <v>24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 t="s">
        <v>332</v>
      </c>
      <c r="B121" s="4" t="s">
        <v>333</v>
      </c>
      <c r="C121" s="13">
        <v>444</v>
      </c>
      <c r="D121" s="10" t="s">
        <v>27</v>
      </c>
      <c r="E121" s="4"/>
      <c r="F121" s="4"/>
      <c r="G121" s="4" t="s">
        <v>299</v>
      </c>
      <c r="H121" s="4" t="s">
        <v>128</v>
      </c>
      <c r="I121" s="4"/>
      <c r="J121" s="4" t="s">
        <v>321</v>
      </c>
      <c r="K121" s="4" t="s">
        <v>240</v>
      </c>
      <c r="L121" s="4" t="s">
        <v>24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 t="s">
        <v>334</v>
      </c>
      <c r="B122" s="4" t="s">
        <v>335</v>
      </c>
      <c r="C122" s="13">
        <v>259</v>
      </c>
      <c r="D122" s="10" t="s">
        <v>27</v>
      </c>
      <c r="E122" s="4"/>
      <c r="F122" s="4"/>
      <c r="G122" s="4" t="s">
        <v>299</v>
      </c>
      <c r="H122" s="4" t="s">
        <v>128</v>
      </c>
      <c r="I122" s="4"/>
      <c r="J122" s="4" t="s">
        <v>321</v>
      </c>
      <c r="K122" s="4" t="s">
        <v>240</v>
      </c>
      <c r="L122" s="4" t="s">
        <v>24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 t="s">
        <v>336</v>
      </c>
      <c r="B123" s="4" t="s">
        <v>337</v>
      </c>
      <c r="C123" s="13">
        <v>193</v>
      </c>
      <c r="D123" s="10" t="s">
        <v>27</v>
      </c>
      <c r="E123" s="4"/>
      <c r="F123" s="4"/>
      <c r="G123" s="4" t="s">
        <v>299</v>
      </c>
      <c r="H123" s="4" t="s">
        <v>128</v>
      </c>
      <c r="I123" s="4"/>
      <c r="J123" s="4" t="s">
        <v>321</v>
      </c>
      <c r="K123" s="4" t="s">
        <v>240</v>
      </c>
      <c r="L123" s="4" t="s">
        <v>24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 t="s">
        <v>338</v>
      </c>
      <c r="B124" s="4" t="s">
        <v>339</v>
      </c>
      <c r="C124" s="13">
        <v>178</v>
      </c>
      <c r="D124" s="10" t="s">
        <v>27</v>
      </c>
      <c r="E124" s="4"/>
      <c r="F124" s="4"/>
      <c r="G124" s="4" t="s">
        <v>299</v>
      </c>
      <c r="H124" s="4" t="s">
        <v>128</v>
      </c>
      <c r="I124" s="4"/>
      <c r="J124" s="4" t="s">
        <v>321</v>
      </c>
      <c r="K124" s="4" t="s">
        <v>240</v>
      </c>
      <c r="L124" s="4" t="s">
        <v>24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 t="s">
        <v>340</v>
      </c>
      <c r="C125" s="13">
        <v>910</v>
      </c>
      <c r="D125" s="10" t="s">
        <v>27</v>
      </c>
      <c r="E125" s="4"/>
      <c r="F125" s="4"/>
      <c r="G125" s="4" t="s">
        <v>299</v>
      </c>
      <c r="H125" s="4" t="s">
        <v>128</v>
      </c>
      <c r="I125" s="4"/>
      <c r="J125" s="4" t="s">
        <v>321</v>
      </c>
      <c r="K125" s="4" t="s">
        <v>240</v>
      </c>
      <c r="L125" s="4" t="s">
        <v>24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 t="s">
        <v>341</v>
      </c>
      <c r="B126" s="4" t="s">
        <v>342</v>
      </c>
      <c r="C126" s="9">
        <v>5290</v>
      </c>
      <c r="D126" s="10" t="s">
        <v>32</v>
      </c>
      <c r="E126" s="4"/>
      <c r="F126" s="4"/>
      <c r="G126" s="4" t="s">
        <v>299</v>
      </c>
      <c r="H126" s="4" t="s">
        <v>128</v>
      </c>
      <c r="I126" s="4"/>
      <c r="J126" s="4" t="s">
        <v>138</v>
      </c>
      <c r="K126" s="4" t="s">
        <v>139</v>
      </c>
      <c r="L126" s="4" t="s">
        <v>24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 t="s">
        <v>343</v>
      </c>
      <c r="B127" s="4" t="s">
        <v>344</v>
      </c>
      <c r="C127" s="9">
        <v>6800</v>
      </c>
      <c r="D127" s="10" t="s">
        <v>32</v>
      </c>
      <c r="E127" s="4"/>
      <c r="F127" s="4"/>
      <c r="G127" s="4" t="s">
        <v>299</v>
      </c>
      <c r="H127" s="4" t="s">
        <v>128</v>
      </c>
      <c r="I127" s="4"/>
      <c r="J127" s="4" t="s">
        <v>138</v>
      </c>
      <c r="K127" s="4" t="s">
        <v>139</v>
      </c>
      <c r="L127" s="4" t="s">
        <v>24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 t="s">
        <v>345</v>
      </c>
      <c r="B128" s="4" t="s">
        <v>346</v>
      </c>
      <c r="C128" s="9">
        <v>2950</v>
      </c>
      <c r="D128" s="10" t="s">
        <v>32</v>
      </c>
      <c r="E128" s="4"/>
      <c r="F128" s="4"/>
      <c r="G128" s="4" t="s">
        <v>299</v>
      </c>
      <c r="H128" s="4" t="s">
        <v>128</v>
      </c>
      <c r="I128" s="4"/>
      <c r="J128" s="4" t="s">
        <v>138</v>
      </c>
      <c r="K128" s="4" t="s">
        <v>139</v>
      </c>
      <c r="L128" s="4" t="s">
        <v>24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 t="s">
        <v>347</v>
      </c>
      <c r="B129" s="4" t="s">
        <v>348</v>
      </c>
      <c r="C129" s="9">
        <v>4490</v>
      </c>
      <c r="D129" s="10" t="s">
        <v>32</v>
      </c>
      <c r="E129" s="4"/>
      <c r="F129" s="4"/>
      <c r="G129" s="4" t="s">
        <v>299</v>
      </c>
      <c r="H129" s="4" t="s">
        <v>128</v>
      </c>
      <c r="I129" s="4"/>
      <c r="J129" s="4" t="s">
        <v>138</v>
      </c>
      <c r="K129" s="4" t="s">
        <v>139</v>
      </c>
      <c r="L129" s="4" t="s">
        <v>24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 t="s">
        <v>349</v>
      </c>
      <c r="B130" s="4" t="s">
        <v>350</v>
      </c>
      <c r="C130" s="9">
        <v>5590</v>
      </c>
      <c r="D130" s="10" t="s">
        <v>32</v>
      </c>
      <c r="E130" s="4"/>
      <c r="F130" s="4"/>
      <c r="G130" s="4" t="s">
        <v>299</v>
      </c>
      <c r="H130" s="4" t="s">
        <v>128</v>
      </c>
      <c r="I130" s="4"/>
      <c r="J130" s="4" t="s">
        <v>310</v>
      </c>
      <c r="K130" s="4" t="s">
        <v>311</v>
      </c>
      <c r="L130" s="4" t="s">
        <v>24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 t="s">
        <v>351</v>
      </c>
      <c r="B131" s="4" t="s">
        <v>352</v>
      </c>
      <c r="C131" s="9">
        <v>5990</v>
      </c>
      <c r="D131" s="10" t="s">
        <v>32</v>
      </c>
      <c r="E131" s="4"/>
      <c r="F131" s="4"/>
      <c r="G131" s="4" t="s">
        <v>299</v>
      </c>
      <c r="H131" s="4" t="s">
        <v>128</v>
      </c>
      <c r="I131" s="4"/>
      <c r="J131" s="4" t="s">
        <v>138</v>
      </c>
      <c r="K131" s="4" t="s">
        <v>139</v>
      </c>
      <c r="L131" s="4" t="s">
        <v>24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 t="s">
        <v>353</v>
      </c>
      <c r="B132" s="4" t="s">
        <v>354</v>
      </c>
      <c r="C132" s="9">
        <v>3100</v>
      </c>
      <c r="D132" s="10" t="s">
        <v>32</v>
      </c>
      <c r="E132" s="4"/>
      <c r="F132" s="4"/>
      <c r="G132" s="4" t="s">
        <v>299</v>
      </c>
      <c r="H132" s="4" t="s">
        <v>128</v>
      </c>
      <c r="I132" s="4"/>
      <c r="J132" s="4" t="s">
        <v>138</v>
      </c>
      <c r="K132" s="4" t="s">
        <v>139</v>
      </c>
      <c r="L132" s="4" t="s">
        <v>24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 t="s">
        <v>355</v>
      </c>
      <c r="B133" s="4" t="s">
        <v>356</v>
      </c>
      <c r="C133" s="13">
        <v>4715</v>
      </c>
      <c r="D133" s="10" t="s">
        <v>32</v>
      </c>
      <c r="E133" s="4"/>
      <c r="F133" s="4"/>
      <c r="G133" s="4" t="s">
        <v>299</v>
      </c>
      <c r="H133" s="4" t="s">
        <v>128</v>
      </c>
      <c r="I133" s="4"/>
      <c r="J133" s="4" t="s">
        <v>321</v>
      </c>
      <c r="K133" s="4" t="s">
        <v>139</v>
      </c>
      <c r="L133" s="4" t="s">
        <v>24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 t="s">
        <v>357</v>
      </c>
      <c r="B134" s="4" t="s">
        <v>358</v>
      </c>
      <c r="C134" s="9">
        <v>3600</v>
      </c>
      <c r="D134" s="10" t="s">
        <v>32</v>
      </c>
      <c r="E134" s="4"/>
      <c r="F134" s="4"/>
      <c r="G134" s="4" t="s">
        <v>299</v>
      </c>
      <c r="H134" s="4" t="s">
        <v>128</v>
      </c>
      <c r="I134" s="4"/>
      <c r="J134" s="4" t="s">
        <v>138</v>
      </c>
      <c r="K134" s="4" t="s">
        <v>139</v>
      </c>
      <c r="L134" s="4" t="s">
        <v>24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 t="s">
        <v>359</v>
      </c>
      <c r="B135" s="4" t="s">
        <v>360</v>
      </c>
      <c r="C135" s="13">
        <v>606.55830000000003</v>
      </c>
      <c r="D135" s="10" t="s">
        <v>27</v>
      </c>
      <c r="E135" s="4"/>
      <c r="F135" s="4"/>
      <c r="G135" s="4" t="s">
        <v>299</v>
      </c>
      <c r="H135" s="4" t="s">
        <v>128</v>
      </c>
      <c r="I135" s="4"/>
      <c r="J135" s="4" t="s">
        <v>138</v>
      </c>
      <c r="K135" s="4" t="s">
        <v>139</v>
      </c>
      <c r="L135" s="4" t="s">
        <v>24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 t="s">
        <v>361</v>
      </c>
      <c r="B136" s="4" t="s">
        <v>362</v>
      </c>
      <c r="C136" s="13">
        <v>606.55830000000003</v>
      </c>
      <c r="D136" s="10" t="s">
        <v>27</v>
      </c>
      <c r="E136" s="4"/>
      <c r="F136" s="4"/>
      <c r="G136" s="4" t="s">
        <v>299</v>
      </c>
      <c r="H136" s="4" t="s">
        <v>128</v>
      </c>
      <c r="I136" s="4"/>
      <c r="J136" s="4" t="s">
        <v>138</v>
      </c>
      <c r="K136" s="4" t="s">
        <v>139</v>
      </c>
      <c r="L136" s="4" t="s">
        <v>24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 t="s">
        <v>363</v>
      </c>
      <c r="B137" s="4" t="s">
        <v>364</v>
      </c>
      <c r="C137" s="13">
        <v>519.9</v>
      </c>
      <c r="D137" s="10" t="s">
        <v>194</v>
      </c>
      <c r="E137" s="4"/>
      <c r="F137" s="4"/>
      <c r="G137" s="4"/>
      <c r="H137" s="4" t="s">
        <v>129</v>
      </c>
      <c r="I137" s="4"/>
      <c r="J137" s="4" t="s">
        <v>138</v>
      </c>
      <c r="K137" s="4" t="s">
        <v>139</v>
      </c>
      <c r="L137" s="4" t="s">
        <v>24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 t="s">
        <v>365</v>
      </c>
      <c r="B138" s="4" t="s">
        <v>366</v>
      </c>
      <c r="C138" s="13">
        <v>18705</v>
      </c>
      <c r="D138" s="10" t="s">
        <v>32</v>
      </c>
      <c r="E138" s="4"/>
      <c r="F138" s="4"/>
      <c r="G138" s="4"/>
      <c r="H138" s="4" t="s">
        <v>129</v>
      </c>
      <c r="I138" s="4"/>
      <c r="J138" s="4" t="s">
        <v>138</v>
      </c>
      <c r="K138" s="4" t="s">
        <v>139</v>
      </c>
      <c r="L138" s="4" t="s">
        <v>24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 t="s">
        <v>367</v>
      </c>
      <c r="B139" s="4" t="s">
        <v>368</v>
      </c>
      <c r="C139" s="9">
        <v>21250</v>
      </c>
      <c r="D139" s="10" t="s">
        <v>42</v>
      </c>
      <c r="E139" s="4"/>
      <c r="F139" s="4"/>
      <c r="G139" s="4"/>
      <c r="H139" s="4" t="s">
        <v>129</v>
      </c>
      <c r="I139" s="4"/>
      <c r="J139" s="4" t="s">
        <v>138</v>
      </c>
      <c r="K139" s="4" t="s">
        <v>139</v>
      </c>
      <c r="L139" s="4" t="s">
        <v>24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 t="s">
        <v>369</v>
      </c>
      <c r="B140" s="4" t="s">
        <v>370</v>
      </c>
      <c r="C140" s="9">
        <v>13991.5</v>
      </c>
      <c r="D140" s="10" t="s">
        <v>32</v>
      </c>
      <c r="E140" s="4"/>
      <c r="F140" s="4"/>
      <c r="G140" s="4"/>
      <c r="H140" s="4" t="s">
        <v>129</v>
      </c>
      <c r="I140" s="4"/>
      <c r="J140" s="4" t="s">
        <v>138</v>
      </c>
      <c r="K140" s="4" t="s">
        <v>139</v>
      </c>
      <c r="L140" s="4" t="s">
        <v>24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 t="s">
        <v>371</v>
      </c>
      <c r="B141" s="4" t="s">
        <v>372</v>
      </c>
      <c r="C141" s="9">
        <v>3360</v>
      </c>
      <c r="D141" s="10" t="s">
        <v>194</v>
      </c>
      <c r="E141" s="4"/>
      <c r="F141" s="4"/>
      <c r="G141" s="4"/>
      <c r="H141" s="4" t="s">
        <v>129</v>
      </c>
      <c r="I141" s="4"/>
      <c r="J141" s="4" t="s">
        <v>138</v>
      </c>
      <c r="K141" s="4" t="s">
        <v>139</v>
      </c>
      <c r="L141" s="4" t="s">
        <v>24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 t="s">
        <v>373</v>
      </c>
      <c r="B142" s="4" t="s">
        <v>374</v>
      </c>
      <c r="C142" s="9">
        <v>1512.7329999999999</v>
      </c>
      <c r="D142" s="10" t="s">
        <v>42</v>
      </c>
      <c r="E142" s="4"/>
      <c r="F142" s="4"/>
      <c r="G142" s="4"/>
      <c r="H142" s="4" t="s">
        <v>129</v>
      </c>
      <c r="I142" s="4"/>
      <c r="J142" s="4" t="s">
        <v>138</v>
      </c>
      <c r="K142" s="4" t="s">
        <v>139</v>
      </c>
      <c r="L142" s="4" t="s">
        <v>24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 t="s">
        <v>375</v>
      </c>
      <c r="C143" s="4">
        <v>133333</v>
      </c>
      <c r="D143" s="10" t="s">
        <v>32</v>
      </c>
      <c r="E143" s="4"/>
      <c r="F143" s="4"/>
      <c r="G143" s="4"/>
      <c r="H143" s="4" t="s">
        <v>129</v>
      </c>
      <c r="I143" s="4"/>
      <c r="J143" s="4" t="s">
        <v>138</v>
      </c>
      <c r="K143" s="4" t="s">
        <v>139</v>
      </c>
      <c r="L143" s="4" t="s">
        <v>24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 t="s">
        <v>376</v>
      </c>
      <c r="C144" s="13">
        <v>14958</v>
      </c>
      <c r="D144" s="10" t="s">
        <v>32</v>
      </c>
      <c r="E144" s="4"/>
      <c r="F144" s="4"/>
      <c r="G144" s="4"/>
      <c r="H144" s="4" t="s">
        <v>129</v>
      </c>
      <c r="I144" s="4"/>
      <c r="J144" s="4" t="s">
        <v>138</v>
      </c>
      <c r="K144" s="4" t="s">
        <v>139</v>
      </c>
      <c r="L144" s="4" t="s">
        <v>24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 t="s">
        <v>377</v>
      </c>
      <c r="B145" s="4" t="s">
        <v>378</v>
      </c>
      <c r="C145" s="9">
        <v>14565.33</v>
      </c>
      <c r="D145" s="10" t="s">
        <v>194</v>
      </c>
      <c r="E145" s="4"/>
      <c r="F145" s="4"/>
      <c r="G145" s="4"/>
      <c r="H145" s="4" t="s">
        <v>129</v>
      </c>
      <c r="I145" s="4"/>
      <c r="J145" s="4" t="s">
        <v>138</v>
      </c>
      <c r="K145" s="4" t="s">
        <v>139</v>
      </c>
      <c r="L145" s="4" t="s">
        <v>24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 t="s">
        <v>379</v>
      </c>
      <c r="B146" s="4" t="s">
        <v>380</v>
      </c>
      <c r="C146" s="9">
        <v>14565.33</v>
      </c>
      <c r="D146" s="10" t="s">
        <v>194</v>
      </c>
      <c r="E146" s="4"/>
      <c r="F146" s="4"/>
      <c r="G146" s="4"/>
      <c r="H146" s="4" t="s">
        <v>129</v>
      </c>
      <c r="I146" s="4"/>
      <c r="J146" s="4" t="s">
        <v>138</v>
      </c>
      <c r="K146" s="4" t="s">
        <v>139</v>
      </c>
      <c r="L146" s="4" t="s">
        <v>24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 t="s">
        <v>381</v>
      </c>
      <c r="B147" s="4" t="s">
        <v>382</v>
      </c>
      <c r="C147" s="9">
        <v>14565.33</v>
      </c>
      <c r="D147" s="10" t="s">
        <v>194</v>
      </c>
      <c r="E147" s="4"/>
      <c r="F147" s="4"/>
      <c r="G147" s="4"/>
      <c r="H147" s="4" t="s">
        <v>129</v>
      </c>
      <c r="I147" s="4"/>
      <c r="J147" s="4" t="s">
        <v>138</v>
      </c>
      <c r="K147" s="4" t="s">
        <v>139</v>
      </c>
      <c r="L147" s="4" t="s">
        <v>24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 t="s">
        <v>383</v>
      </c>
      <c r="B148" s="4" t="s">
        <v>384</v>
      </c>
      <c r="C148" s="9">
        <v>14565.33</v>
      </c>
      <c r="D148" s="10" t="s">
        <v>27</v>
      </c>
      <c r="E148" s="4"/>
      <c r="F148" s="4"/>
      <c r="G148" s="4"/>
      <c r="H148" s="4" t="s">
        <v>129</v>
      </c>
      <c r="I148" s="4"/>
      <c r="J148" s="4" t="s">
        <v>138</v>
      </c>
      <c r="K148" s="4" t="s">
        <v>139</v>
      </c>
      <c r="L148" s="4" t="s">
        <v>24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 t="s">
        <v>385</v>
      </c>
      <c r="B149" s="4" t="s">
        <v>386</v>
      </c>
      <c r="C149" s="9">
        <v>16000</v>
      </c>
      <c r="D149" s="10" t="s">
        <v>27</v>
      </c>
      <c r="E149" s="4"/>
      <c r="F149" s="4"/>
      <c r="G149" s="4"/>
      <c r="H149" s="4" t="s">
        <v>129</v>
      </c>
      <c r="I149" s="4"/>
      <c r="J149" s="4" t="s">
        <v>138</v>
      </c>
      <c r="K149" s="4" t="s">
        <v>139</v>
      </c>
      <c r="L149" s="4" t="s">
        <v>24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 t="s">
        <v>387</v>
      </c>
      <c r="B150" s="4" t="s">
        <v>388</v>
      </c>
      <c r="C150" s="9">
        <v>14565.33</v>
      </c>
      <c r="D150" s="10" t="s">
        <v>27</v>
      </c>
      <c r="E150" s="4"/>
      <c r="F150" s="4"/>
      <c r="G150" s="4"/>
      <c r="H150" s="4" t="s">
        <v>129</v>
      </c>
      <c r="I150" s="4"/>
      <c r="J150" s="4" t="s">
        <v>138</v>
      </c>
      <c r="K150" s="4" t="s">
        <v>139</v>
      </c>
      <c r="L150" s="4" t="s">
        <v>24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 t="s">
        <v>389</v>
      </c>
      <c r="B151" s="4" t="s">
        <v>390</v>
      </c>
      <c r="C151" s="9">
        <v>14565.33</v>
      </c>
      <c r="D151" s="10" t="s">
        <v>27</v>
      </c>
      <c r="E151" s="4"/>
      <c r="F151" s="4"/>
      <c r="G151" s="4"/>
      <c r="H151" s="4" t="s">
        <v>129</v>
      </c>
      <c r="I151" s="4"/>
      <c r="J151" s="4" t="s">
        <v>138</v>
      </c>
      <c r="K151" s="4" t="s">
        <v>139</v>
      </c>
      <c r="L151" s="4" t="s">
        <v>24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 t="s">
        <v>391</v>
      </c>
      <c r="B152" s="4" t="s">
        <v>392</v>
      </c>
      <c r="C152" s="9">
        <v>14565.33</v>
      </c>
      <c r="D152" s="10" t="s">
        <v>27</v>
      </c>
      <c r="E152" s="4"/>
      <c r="F152" s="4"/>
      <c r="G152" s="4"/>
      <c r="H152" s="4" t="s">
        <v>129</v>
      </c>
      <c r="I152" s="4"/>
      <c r="J152" s="4" t="s">
        <v>138</v>
      </c>
      <c r="K152" s="4" t="s">
        <v>139</v>
      </c>
      <c r="L152" s="4" t="s">
        <v>24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 t="s">
        <v>393</v>
      </c>
      <c r="C153" s="9">
        <v>6656.0129999999999</v>
      </c>
      <c r="D153" s="10" t="s">
        <v>32</v>
      </c>
      <c r="E153" s="4"/>
      <c r="F153" s="4"/>
      <c r="G153" s="4" t="s">
        <v>394</v>
      </c>
      <c r="H153" s="4" t="s">
        <v>130</v>
      </c>
      <c r="I153" s="4"/>
      <c r="J153" s="4" t="s">
        <v>33</v>
      </c>
      <c r="K153" s="4" t="s">
        <v>34</v>
      </c>
      <c r="L153" s="4" t="s">
        <v>24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 t="s">
        <v>395</v>
      </c>
      <c r="B154" s="4" t="s">
        <v>396</v>
      </c>
      <c r="C154" s="13">
        <v>3552.6667000000002</v>
      </c>
      <c r="D154" s="10" t="s">
        <v>32</v>
      </c>
      <c r="E154" s="4"/>
      <c r="F154" s="4"/>
      <c r="G154" s="4" t="s">
        <v>394</v>
      </c>
      <c r="H154" s="4" t="s">
        <v>130</v>
      </c>
      <c r="I154" s="4"/>
      <c r="J154" s="4" t="s">
        <v>33</v>
      </c>
      <c r="K154" s="4" t="s">
        <v>34</v>
      </c>
      <c r="L154" s="4" t="s">
        <v>24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 t="s">
        <v>397</v>
      </c>
      <c r="C155" s="13">
        <v>3623</v>
      </c>
      <c r="D155" s="10" t="s">
        <v>32</v>
      </c>
      <c r="E155" s="4"/>
      <c r="F155" s="4"/>
      <c r="G155" s="4" t="s">
        <v>394</v>
      </c>
      <c r="H155" s="4" t="s">
        <v>130</v>
      </c>
      <c r="I155" s="4"/>
      <c r="J155" s="4" t="s">
        <v>33</v>
      </c>
      <c r="K155" s="4" t="s">
        <v>34</v>
      </c>
      <c r="L155" s="4" t="s">
        <v>24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 t="s">
        <v>398</v>
      </c>
      <c r="B156" s="4" t="s">
        <v>399</v>
      </c>
      <c r="C156" s="9">
        <v>5034.1670000000004</v>
      </c>
      <c r="D156" s="10" t="s">
        <v>27</v>
      </c>
      <c r="E156" s="4"/>
      <c r="F156" s="4"/>
      <c r="G156" s="4" t="s">
        <v>394</v>
      </c>
      <c r="H156" s="4" t="s">
        <v>130</v>
      </c>
      <c r="I156" s="4"/>
      <c r="J156" s="4" t="s">
        <v>400</v>
      </c>
      <c r="K156" s="4" t="s">
        <v>401</v>
      </c>
      <c r="L156" s="4" t="s">
        <v>24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 t="s">
        <v>402</v>
      </c>
      <c r="B157" s="4" t="s">
        <v>403</v>
      </c>
      <c r="C157" s="9">
        <v>18875</v>
      </c>
      <c r="D157" s="10" t="s">
        <v>32</v>
      </c>
      <c r="E157" s="4"/>
      <c r="F157" s="4"/>
      <c r="G157" s="4" t="s">
        <v>394</v>
      </c>
      <c r="H157" s="4" t="s">
        <v>130</v>
      </c>
      <c r="I157" s="4"/>
      <c r="J157" s="4" t="s">
        <v>33</v>
      </c>
      <c r="K157" s="4" t="s">
        <v>34</v>
      </c>
      <c r="L157" s="4" t="s">
        <v>24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 t="s">
        <v>404</v>
      </c>
      <c r="B158" s="4" t="s">
        <v>405</v>
      </c>
      <c r="C158" s="9">
        <v>9042.9449999999997</v>
      </c>
      <c r="D158" s="10" t="s">
        <v>32</v>
      </c>
      <c r="E158" s="4"/>
      <c r="F158" s="4"/>
      <c r="G158" s="4" t="s">
        <v>394</v>
      </c>
      <c r="H158" s="4" t="s">
        <v>130</v>
      </c>
      <c r="I158" s="4"/>
      <c r="J158" s="4" t="s">
        <v>33</v>
      </c>
      <c r="K158" s="4" t="s">
        <v>34</v>
      </c>
      <c r="L158" s="4" t="s">
        <v>24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 t="s">
        <v>406</v>
      </c>
      <c r="B159" s="4" t="s">
        <v>407</v>
      </c>
      <c r="C159" s="9">
        <v>7650</v>
      </c>
      <c r="D159" s="10" t="s">
        <v>32</v>
      </c>
      <c r="E159" s="4"/>
      <c r="F159" s="4"/>
      <c r="G159" s="4" t="s">
        <v>394</v>
      </c>
      <c r="H159" s="4" t="s">
        <v>130</v>
      </c>
      <c r="I159" s="4"/>
      <c r="J159" s="4" t="s">
        <v>33</v>
      </c>
      <c r="K159" s="4" t="s">
        <v>34</v>
      </c>
      <c r="L159" s="4" t="s">
        <v>24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 t="s">
        <v>408</v>
      </c>
      <c r="B160" s="4" t="s">
        <v>409</v>
      </c>
      <c r="C160" s="9">
        <v>3376.4169999999999</v>
      </c>
      <c r="D160" s="10" t="s">
        <v>32</v>
      </c>
      <c r="E160" s="4"/>
      <c r="F160" s="4"/>
      <c r="G160" s="4" t="s">
        <v>394</v>
      </c>
      <c r="H160" s="4" t="s">
        <v>130</v>
      </c>
      <c r="I160" s="4"/>
      <c r="J160" s="4" t="s">
        <v>33</v>
      </c>
      <c r="K160" s="4" t="s">
        <v>34</v>
      </c>
      <c r="L160" s="4" t="s">
        <v>24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 t="s">
        <v>410</v>
      </c>
      <c r="B161" s="4" t="s">
        <v>411</v>
      </c>
      <c r="C161" s="9">
        <v>2941.0039999999999</v>
      </c>
      <c r="D161" s="10" t="s">
        <v>32</v>
      </c>
      <c r="E161" s="4"/>
      <c r="F161" s="4"/>
      <c r="G161" s="4" t="s">
        <v>394</v>
      </c>
      <c r="H161" s="4" t="s">
        <v>130</v>
      </c>
      <c r="I161" s="4"/>
      <c r="J161" s="4" t="s">
        <v>33</v>
      </c>
      <c r="K161" s="4" t="s">
        <v>34</v>
      </c>
      <c r="L161" s="4" t="s">
        <v>24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 t="s">
        <v>412</v>
      </c>
      <c r="B162" s="4" t="s">
        <v>413</v>
      </c>
      <c r="C162" s="9">
        <v>8993.75</v>
      </c>
      <c r="D162" s="10" t="s">
        <v>32</v>
      </c>
      <c r="E162" s="4"/>
      <c r="F162" s="4"/>
      <c r="G162" s="4" t="s">
        <v>394</v>
      </c>
      <c r="H162" s="4" t="s">
        <v>130</v>
      </c>
      <c r="I162" s="4"/>
      <c r="J162" s="4" t="s">
        <v>33</v>
      </c>
      <c r="K162" s="4" t="s">
        <v>34</v>
      </c>
      <c r="L162" s="4" t="s">
        <v>24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 t="s">
        <v>414</v>
      </c>
      <c r="B163" s="4" t="s">
        <v>415</v>
      </c>
      <c r="C163" s="9">
        <v>3187.5</v>
      </c>
      <c r="D163" s="10" t="s">
        <v>32</v>
      </c>
      <c r="E163" s="4"/>
      <c r="F163" s="4"/>
      <c r="G163" s="4" t="s">
        <v>394</v>
      </c>
      <c r="H163" s="4" t="s">
        <v>130</v>
      </c>
      <c r="I163" s="4"/>
      <c r="J163" s="4" t="s">
        <v>33</v>
      </c>
      <c r="K163" s="4" t="s">
        <v>34</v>
      </c>
      <c r="L163" s="4" t="s">
        <v>24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 t="s">
        <v>416</v>
      </c>
      <c r="B164" s="4" t="s">
        <v>417</v>
      </c>
      <c r="C164" s="13">
        <v>7970</v>
      </c>
      <c r="D164" s="10" t="s">
        <v>32</v>
      </c>
      <c r="E164" s="4"/>
      <c r="F164" s="4"/>
      <c r="G164" s="4" t="s">
        <v>394</v>
      </c>
      <c r="H164" s="4" t="s">
        <v>130</v>
      </c>
      <c r="I164" s="4"/>
      <c r="J164" s="4" t="s">
        <v>33</v>
      </c>
      <c r="K164" s="4" t="s">
        <v>34</v>
      </c>
      <c r="L164" s="4" t="s">
        <v>24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 t="s">
        <v>418</v>
      </c>
      <c r="B165" s="4" t="s">
        <v>419</v>
      </c>
      <c r="C165" s="9">
        <v>8366.1769999999997</v>
      </c>
      <c r="D165" s="10" t="s">
        <v>32</v>
      </c>
      <c r="E165" s="4"/>
      <c r="F165" s="4"/>
      <c r="G165" s="4" t="s">
        <v>394</v>
      </c>
      <c r="H165" s="4" t="s">
        <v>130</v>
      </c>
      <c r="I165" s="4"/>
      <c r="J165" s="4" t="s">
        <v>33</v>
      </c>
      <c r="K165" s="4" t="s">
        <v>34</v>
      </c>
      <c r="L165" s="4" t="s">
        <v>24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 t="s">
        <v>420</v>
      </c>
      <c r="B166" s="4" t="s">
        <v>421</v>
      </c>
      <c r="C166" s="9">
        <v>1826.6669999999999</v>
      </c>
      <c r="D166" s="10" t="s">
        <v>32</v>
      </c>
      <c r="E166" s="4"/>
      <c r="F166" s="4"/>
      <c r="G166" s="4" t="s">
        <v>394</v>
      </c>
      <c r="H166" s="4" t="s">
        <v>130</v>
      </c>
      <c r="I166" s="4"/>
      <c r="J166" s="4" t="s">
        <v>33</v>
      </c>
      <c r="K166" s="4" t="s">
        <v>34</v>
      </c>
      <c r="L166" s="4" t="s">
        <v>24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 t="s">
        <v>422</v>
      </c>
      <c r="B167" s="4" t="s">
        <v>423</v>
      </c>
      <c r="C167" s="9">
        <v>9796.7780000000002</v>
      </c>
      <c r="D167" s="10" t="s">
        <v>27</v>
      </c>
      <c r="E167" s="4"/>
      <c r="F167" s="4"/>
      <c r="G167" s="4" t="s">
        <v>424</v>
      </c>
      <c r="H167" s="4" t="s">
        <v>131</v>
      </c>
      <c r="I167" s="4"/>
      <c r="J167" s="4" t="s">
        <v>310</v>
      </c>
      <c r="K167" s="4" t="s">
        <v>311</v>
      </c>
      <c r="L167" s="4" t="s">
        <v>24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 t="s">
        <v>425</v>
      </c>
      <c r="B168" s="4" t="s">
        <v>426</v>
      </c>
      <c r="C168" s="9">
        <v>579</v>
      </c>
      <c r="D168" s="10" t="s">
        <v>27</v>
      </c>
      <c r="E168" s="4"/>
      <c r="F168" s="4"/>
      <c r="G168" s="4" t="s">
        <v>424</v>
      </c>
      <c r="H168" s="4" t="s">
        <v>131</v>
      </c>
      <c r="I168" s="4"/>
      <c r="J168" s="4" t="s">
        <v>138</v>
      </c>
      <c r="K168" s="4" t="s">
        <v>139</v>
      </c>
      <c r="L168" s="4" t="s">
        <v>24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 t="s">
        <v>427</v>
      </c>
      <c r="B169" s="4" t="s">
        <v>428</v>
      </c>
      <c r="C169" s="9">
        <v>27.703959999999999</v>
      </c>
      <c r="D169" s="10" t="s">
        <v>27</v>
      </c>
      <c r="E169" s="4"/>
      <c r="F169" s="4"/>
      <c r="G169" s="4" t="s">
        <v>424</v>
      </c>
      <c r="H169" s="4" t="s">
        <v>131</v>
      </c>
      <c r="I169" s="4"/>
      <c r="J169" s="4" t="s">
        <v>138</v>
      </c>
      <c r="K169" s="4" t="s">
        <v>139</v>
      </c>
      <c r="L169" s="4" t="s">
        <v>24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 t="s">
        <v>429</v>
      </c>
      <c r="C170" s="9">
        <v>24.65</v>
      </c>
      <c r="D170" s="10" t="s">
        <v>27</v>
      </c>
      <c r="E170" s="4"/>
      <c r="F170" s="4"/>
      <c r="G170" s="4" t="s">
        <v>424</v>
      </c>
      <c r="H170" s="4" t="s">
        <v>131</v>
      </c>
      <c r="I170" s="4"/>
      <c r="J170" s="4" t="s">
        <v>43</v>
      </c>
      <c r="K170" s="4" t="s">
        <v>44</v>
      </c>
      <c r="L170" s="4" t="s">
        <v>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 t="s">
        <v>430</v>
      </c>
      <c r="B171" s="4" t="s">
        <v>431</v>
      </c>
      <c r="C171" s="9">
        <v>16.05048</v>
      </c>
      <c r="D171" s="10" t="s">
        <v>27</v>
      </c>
      <c r="E171" s="4"/>
      <c r="F171" s="4"/>
      <c r="G171" s="4" t="s">
        <v>424</v>
      </c>
      <c r="H171" s="4" t="s">
        <v>131</v>
      </c>
      <c r="I171" s="4"/>
      <c r="J171" s="4" t="s">
        <v>43</v>
      </c>
      <c r="K171" s="4" t="s">
        <v>44</v>
      </c>
      <c r="L171" s="4" t="s">
        <v>24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 t="s">
        <v>432</v>
      </c>
      <c r="B172" s="4" t="s">
        <v>433</v>
      </c>
      <c r="C172" s="13">
        <v>19.763300000000001</v>
      </c>
      <c r="D172" s="10" t="s">
        <v>27</v>
      </c>
      <c r="E172" s="4"/>
      <c r="F172" s="4"/>
      <c r="G172" s="4" t="s">
        <v>424</v>
      </c>
      <c r="H172" s="4" t="s">
        <v>131</v>
      </c>
      <c r="I172" s="4"/>
      <c r="J172" s="4" t="s">
        <v>43</v>
      </c>
      <c r="K172" s="4" t="s">
        <v>44</v>
      </c>
      <c r="L172" s="4" t="s">
        <v>24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 t="s">
        <v>434</v>
      </c>
      <c r="B173" s="4" t="s">
        <v>435</v>
      </c>
      <c r="C173" s="13">
        <v>15.05</v>
      </c>
      <c r="D173" s="10" t="s">
        <v>27</v>
      </c>
      <c r="E173" s="4"/>
      <c r="F173" s="4"/>
      <c r="G173" s="4" t="s">
        <v>424</v>
      </c>
      <c r="H173" s="4" t="s">
        <v>131</v>
      </c>
      <c r="I173" s="4"/>
      <c r="J173" s="4" t="s">
        <v>43</v>
      </c>
      <c r="K173" s="4" t="s">
        <v>44</v>
      </c>
      <c r="L173" s="4" t="s">
        <v>24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 t="s">
        <v>436</v>
      </c>
      <c r="B174" s="4" t="s">
        <v>437</v>
      </c>
      <c r="C174" s="58">
        <v>20</v>
      </c>
      <c r="D174" s="10" t="s">
        <v>27</v>
      </c>
      <c r="E174" s="4"/>
      <c r="F174" s="4"/>
      <c r="G174" s="4" t="s">
        <v>424</v>
      </c>
      <c r="H174" s="4" t="s">
        <v>131</v>
      </c>
      <c r="I174" s="4"/>
      <c r="J174" s="4" t="s">
        <v>43</v>
      </c>
      <c r="K174" s="4" t="s">
        <v>44</v>
      </c>
      <c r="L174" s="4" t="s">
        <v>24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 t="s">
        <v>438</v>
      </c>
      <c r="B175" s="4" t="s">
        <v>439</v>
      </c>
      <c r="C175" s="9">
        <v>20.97</v>
      </c>
      <c r="D175" s="10" t="s">
        <v>194</v>
      </c>
      <c r="E175" s="4"/>
      <c r="F175" s="4"/>
      <c r="G175" s="4" t="s">
        <v>424</v>
      </c>
      <c r="H175" s="4" t="s">
        <v>131</v>
      </c>
      <c r="I175" s="4"/>
      <c r="J175" s="4" t="s">
        <v>138</v>
      </c>
      <c r="K175" s="4" t="s">
        <v>139</v>
      </c>
      <c r="L175" s="4" t="s">
        <v>24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 t="s">
        <v>440</v>
      </c>
      <c r="B176" s="4" t="s">
        <v>441</v>
      </c>
      <c r="C176" s="9">
        <v>167.04</v>
      </c>
      <c r="D176" s="10" t="s">
        <v>27</v>
      </c>
      <c r="E176" s="4"/>
      <c r="F176" s="4"/>
      <c r="G176" s="4" t="s">
        <v>424</v>
      </c>
      <c r="H176" s="4" t="s">
        <v>131</v>
      </c>
      <c r="I176" s="4"/>
      <c r="J176" s="4" t="s">
        <v>43</v>
      </c>
      <c r="K176" s="4" t="s">
        <v>44</v>
      </c>
      <c r="L176" s="4" t="s">
        <v>24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 t="s">
        <v>442</v>
      </c>
      <c r="B177" s="4" t="s">
        <v>443</v>
      </c>
      <c r="C177" s="9">
        <v>104.5035903</v>
      </c>
      <c r="D177" s="10" t="s">
        <v>27</v>
      </c>
      <c r="E177" s="4"/>
      <c r="F177" s="4"/>
      <c r="G177" s="4" t="s">
        <v>424</v>
      </c>
      <c r="H177" s="4" t="s">
        <v>131</v>
      </c>
      <c r="I177" s="4"/>
      <c r="J177" s="4" t="s">
        <v>43</v>
      </c>
      <c r="K177" s="4" t="s">
        <v>44</v>
      </c>
      <c r="L177" s="4" t="s">
        <v>24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 t="s">
        <v>444</v>
      </c>
      <c r="B178" s="4" t="s">
        <v>445</v>
      </c>
      <c r="C178" s="13">
        <v>6</v>
      </c>
      <c r="D178" s="10" t="s">
        <v>27</v>
      </c>
      <c r="E178" s="4"/>
      <c r="F178" s="4"/>
      <c r="G178" s="4" t="s">
        <v>424</v>
      </c>
      <c r="H178" s="4" t="s">
        <v>131</v>
      </c>
      <c r="I178" s="4"/>
      <c r="J178" s="4" t="s">
        <v>138</v>
      </c>
      <c r="K178" s="4" t="s">
        <v>139</v>
      </c>
      <c r="L178" s="4" t="s">
        <v>24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 t="s">
        <v>446</v>
      </c>
      <c r="B179" s="4" t="s">
        <v>447</v>
      </c>
      <c r="C179" s="9">
        <v>101.16200000000001</v>
      </c>
      <c r="D179" s="10" t="s">
        <v>27</v>
      </c>
      <c r="E179" s="4"/>
      <c r="F179" s="4"/>
      <c r="G179" s="4" t="s">
        <v>424</v>
      </c>
      <c r="H179" s="4" t="s">
        <v>131</v>
      </c>
      <c r="I179" s="4"/>
      <c r="J179" s="4" t="s">
        <v>138</v>
      </c>
      <c r="K179" s="4" t="s">
        <v>139</v>
      </c>
      <c r="L179" s="4" t="s">
        <v>24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 t="s">
        <v>448</v>
      </c>
      <c r="B180" s="4" t="s">
        <v>449</v>
      </c>
      <c r="C180" s="9">
        <v>140.49</v>
      </c>
      <c r="D180" s="10" t="s">
        <v>27</v>
      </c>
      <c r="E180" s="4"/>
      <c r="F180" s="4"/>
      <c r="G180" s="4" t="s">
        <v>424</v>
      </c>
      <c r="H180" s="4" t="s">
        <v>131</v>
      </c>
      <c r="I180" s="4"/>
      <c r="J180" s="4" t="s">
        <v>138</v>
      </c>
      <c r="K180" s="4" t="s">
        <v>139</v>
      </c>
      <c r="L180" s="4" t="s">
        <v>24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 t="s">
        <v>450</v>
      </c>
      <c r="B181" s="4" t="s">
        <v>451</v>
      </c>
      <c r="C181" s="13">
        <v>34647</v>
      </c>
      <c r="D181" s="10" t="s">
        <v>27</v>
      </c>
      <c r="E181" s="4"/>
      <c r="F181" s="4"/>
      <c r="G181" s="4" t="s">
        <v>424</v>
      </c>
      <c r="H181" s="4" t="s">
        <v>131</v>
      </c>
      <c r="I181" s="4"/>
      <c r="J181" s="4" t="s">
        <v>43</v>
      </c>
      <c r="K181" s="4" t="s">
        <v>44</v>
      </c>
      <c r="L181" s="4" t="s">
        <v>24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 t="s">
        <v>452</v>
      </c>
      <c r="B182" s="4" t="s">
        <v>453</v>
      </c>
      <c r="C182" s="13">
        <v>17850</v>
      </c>
      <c r="D182" s="10" t="s">
        <v>27</v>
      </c>
      <c r="E182" s="4"/>
      <c r="F182" s="4"/>
      <c r="G182" s="4" t="s">
        <v>424</v>
      </c>
      <c r="H182" s="4" t="s">
        <v>131</v>
      </c>
      <c r="I182" s="4"/>
      <c r="J182" s="4" t="s">
        <v>222</v>
      </c>
      <c r="K182" s="4" t="s">
        <v>223</v>
      </c>
      <c r="L182" s="4" t="s">
        <v>24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 t="s">
        <v>454</v>
      </c>
      <c r="B183" s="4" t="s">
        <v>455</v>
      </c>
      <c r="C183" s="9">
        <v>8.0351976500000006</v>
      </c>
      <c r="D183" s="10" t="s">
        <v>27</v>
      </c>
      <c r="E183" s="4"/>
      <c r="F183" s="4"/>
      <c r="G183" s="4" t="s">
        <v>424</v>
      </c>
      <c r="H183" s="4" t="s">
        <v>131</v>
      </c>
      <c r="I183" s="4"/>
      <c r="J183" s="4" t="s">
        <v>138</v>
      </c>
      <c r="K183" s="4" t="s">
        <v>139</v>
      </c>
      <c r="L183" s="4" t="s">
        <v>24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 t="s">
        <v>456</v>
      </c>
      <c r="B184" s="4" t="s">
        <v>457</v>
      </c>
      <c r="C184" s="9">
        <v>117.6467001</v>
      </c>
      <c r="D184" s="10" t="s">
        <v>27</v>
      </c>
      <c r="E184" s="4"/>
      <c r="F184" s="4"/>
      <c r="G184" s="4" t="s">
        <v>424</v>
      </c>
      <c r="H184" s="4" t="s">
        <v>131</v>
      </c>
      <c r="I184" s="4"/>
      <c r="J184" s="4" t="s">
        <v>206</v>
      </c>
      <c r="K184" s="4" t="s">
        <v>207</v>
      </c>
      <c r="L184" s="4" t="s">
        <v>24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 t="s">
        <v>458</v>
      </c>
      <c r="B185" s="4" t="s">
        <v>459</v>
      </c>
      <c r="C185" s="9">
        <v>128</v>
      </c>
      <c r="D185" s="10" t="s">
        <v>27</v>
      </c>
      <c r="E185" s="4"/>
      <c r="F185" s="4"/>
      <c r="G185" s="4" t="s">
        <v>424</v>
      </c>
      <c r="H185" s="4" t="s">
        <v>131</v>
      </c>
      <c r="I185" s="4"/>
      <c r="J185" s="4" t="s">
        <v>138</v>
      </c>
      <c r="K185" s="4" t="s">
        <v>139</v>
      </c>
      <c r="L185" s="4" t="s">
        <v>24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 t="s">
        <v>460</v>
      </c>
      <c r="B186" s="4" t="s">
        <v>461</v>
      </c>
      <c r="C186" s="9">
        <v>155</v>
      </c>
      <c r="D186" s="10" t="s">
        <v>194</v>
      </c>
      <c r="E186" s="4"/>
      <c r="F186" s="4"/>
      <c r="G186" s="4" t="s">
        <v>424</v>
      </c>
      <c r="H186" s="4" t="s">
        <v>131</v>
      </c>
      <c r="I186" s="4"/>
      <c r="J186" s="4" t="s">
        <v>138</v>
      </c>
      <c r="K186" s="4" t="s">
        <v>139</v>
      </c>
      <c r="L186" s="4" t="s">
        <v>24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 t="s">
        <v>462</v>
      </c>
      <c r="B187" s="4" t="s">
        <v>463</v>
      </c>
      <c r="C187" s="13">
        <v>152.5</v>
      </c>
      <c r="D187" s="10" t="s">
        <v>27</v>
      </c>
      <c r="E187" s="4"/>
      <c r="F187" s="4"/>
      <c r="G187" s="4" t="s">
        <v>424</v>
      </c>
      <c r="H187" s="4" t="s">
        <v>131</v>
      </c>
      <c r="I187" s="4"/>
      <c r="J187" s="4" t="s">
        <v>43</v>
      </c>
      <c r="K187" s="4" t="s">
        <v>44</v>
      </c>
      <c r="L187" s="4" t="s">
        <v>24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 t="s">
        <v>464</v>
      </c>
      <c r="B188" s="4" t="s">
        <v>465</v>
      </c>
      <c r="C188" s="13">
        <v>399.96</v>
      </c>
      <c r="D188" s="10" t="s">
        <v>27</v>
      </c>
      <c r="E188" s="4"/>
      <c r="F188" s="4"/>
      <c r="G188" s="4" t="s">
        <v>424</v>
      </c>
      <c r="H188" s="4" t="s">
        <v>131</v>
      </c>
      <c r="I188" s="4"/>
      <c r="J188" s="4" t="s">
        <v>138</v>
      </c>
      <c r="K188" s="4" t="s">
        <v>139</v>
      </c>
      <c r="L188" s="4" t="s">
        <v>24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 t="s">
        <v>466</v>
      </c>
      <c r="B189" s="4" t="s">
        <v>467</v>
      </c>
      <c r="C189" s="9">
        <v>165.33500000000001</v>
      </c>
      <c r="D189" s="10" t="s">
        <v>27</v>
      </c>
      <c r="E189" s="4"/>
      <c r="F189" s="4"/>
      <c r="G189" s="4" t="s">
        <v>424</v>
      </c>
      <c r="H189" s="4" t="s">
        <v>131</v>
      </c>
      <c r="I189" s="4"/>
      <c r="J189" s="4" t="s">
        <v>138</v>
      </c>
      <c r="K189" s="4" t="s">
        <v>139</v>
      </c>
      <c r="L189" s="4" t="s">
        <v>24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59" t="s">
        <v>468</v>
      </c>
      <c r="C190" s="9">
        <v>101.7863253</v>
      </c>
      <c r="D190" s="10" t="s">
        <v>27</v>
      </c>
      <c r="E190" s="4"/>
      <c r="F190" s="4"/>
      <c r="G190" s="4" t="s">
        <v>469</v>
      </c>
      <c r="H190" s="4" t="s">
        <v>131</v>
      </c>
      <c r="I190" s="4"/>
      <c r="J190" s="4" t="s">
        <v>75</v>
      </c>
      <c r="K190" s="4" t="s">
        <v>76</v>
      </c>
      <c r="L190" s="4" t="s">
        <v>24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 t="s">
        <v>470</v>
      </c>
      <c r="B191" s="4" t="s">
        <v>471</v>
      </c>
      <c r="C191" s="9">
        <v>85.218555559999999</v>
      </c>
      <c r="D191" s="10" t="s">
        <v>27</v>
      </c>
      <c r="E191" s="4"/>
      <c r="F191" s="4"/>
      <c r="G191" s="4" t="s">
        <v>424</v>
      </c>
      <c r="H191" s="4" t="s">
        <v>131</v>
      </c>
      <c r="I191" s="4"/>
      <c r="J191" s="4" t="s">
        <v>38</v>
      </c>
      <c r="K191" s="4" t="s">
        <v>39</v>
      </c>
      <c r="L191" s="4" t="s">
        <v>24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59" t="s">
        <v>472</v>
      </c>
      <c r="C192" s="13">
        <v>46.5</v>
      </c>
      <c r="D192" s="10" t="s">
        <v>27</v>
      </c>
      <c r="E192" s="4"/>
      <c r="F192" s="4"/>
      <c r="G192" s="4" t="s">
        <v>469</v>
      </c>
      <c r="H192" s="4" t="s">
        <v>131</v>
      </c>
      <c r="I192" s="4"/>
      <c r="J192" s="4" t="s">
        <v>473</v>
      </c>
      <c r="K192" s="4" t="s">
        <v>39</v>
      </c>
      <c r="L192" s="4" t="s">
        <v>474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 t="s">
        <v>475</v>
      </c>
      <c r="B193" s="4" t="s">
        <v>476</v>
      </c>
      <c r="C193" s="9">
        <v>2680</v>
      </c>
      <c r="D193" s="10" t="s">
        <v>27</v>
      </c>
      <c r="E193" s="4"/>
      <c r="F193" s="4"/>
      <c r="G193" s="4" t="s">
        <v>424</v>
      </c>
      <c r="H193" s="4" t="s">
        <v>131</v>
      </c>
      <c r="I193" s="4"/>
      <c r="J193" s="4" t="s">
        <v>62</v>
      </c>
      <c r="K193" s="4" t="s">
        <v>63</v>
      </c>
      <c r="L193" s="4" t="s">
        <v>24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 t="s">
        <v>477</v>
      </c>
      <c r="B194" s="4" t="s">
        <v>478</v>
      </c>
      <c r="C194" s="9">
        <v>621.84</v>
      </c>
      <c r="D194" s="10" t="s">
        <v>27</v>
      </c>
      <c r="E194" s="4"/>
      <c r="F194" s="4"/>
      <c r="G194" s="4" t="s">
        <v>424</v>
      </c>
      <c r="H194" s="4" t="s">
        <v>131</v>
      </c>
      <c r="I194" s="4"/>
      <c r="J194" s="4" t="s">
        <v>75</v>
      </c>
      <c r="K194" s="4" t="s">
        <v>76</v>
      </c>
      <c r="L194" s="4" t="s">
        <v>24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 t="s">
        <v>479</v>
      </c>
      <c r="B195" s="4" t="s">
        <v>480</v>
      </c>
      <c r="C195" s="13">
        <v>71.650000000000006</v>
      </c>
      <c r="D195" s="10" t="s">
        <v>27</v>
      </c>
      <c r="E195" s="4"/>
      <c r="F195" s="4"/>
      <c r="G195" s="4" t="s">
        <v>424</v>
      </c>
      <c r="H195" s="4" t="s">
        <v>131</v>
      </c>
      <c r="I195" s="4"/>
      <c r="J195" s="4" t="s">
        <v>138</v>
      </c>
      <c r="K195" s="4" t="s">
        <v>139</v>
      </c>
      <c r="L195" s="4" t="s">
        <v>24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 t="s">
        <v>481</v>
      </c>
      <c r="B196" s="4" t="s">
        <v>482</v>
      </c>
      <c r="C196" s="13">
        <v>1500</v>
      </c>
      <c r="D196" s="10" t="s">
        <v>27</v>
      </c>
      <c r="E196" s="4"/>
      <c r="F196" s="4"/>
      <c r="G196" s="4" t="s">
        <v>424</v>
      </c>
      <c r="H196" s="4" t="s">
        <v>131</v>
      </c>
      <c r="I196" s="4"/>
      <c r="J196" s="4" t="s">
        <v>203</v>
      </c>
      <c r="K196" s="4" t="s">
        <v>18</v>
      </c>
      <c r="L196" s="4" t="s">
        <v>24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 t="s">
        <v>483</v>
      </c>
      <c r="B197" s="4" t="s">
        <v>484</v>
      </c>
      <c r="C197" s="9">
        <v>672.2</v>
      </c>
      <c r="D197" s="10" t="s">
        <v>27</v>
      </c>
      <c r="E197" s="4"/>
      <c r="F197" s="4"/>
      <c r="G197" s="4" t="s">
        <v>424</v>
      </c>
      <c r="H197" s="4" t="s">
        <v>131</v>
      </c>
      <c r="I197" s="4"/>
      <c r="J197" s="4" t="s">
        <v>485</v>
      </c>
      <c r="K197" s="4" t="s">
        <v>486</v>
      </c>
      <c r="L197" s="4" t="s">
        <v>24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 t="s">
        <v>487</v>
      </c>
      <c r="B198" s="4" t="s">
        <v>488</v>
      </c>
      <c r="C198" s="13">
        <v>1490</v>
      </c>
      <c r="D198" s="10" t="s">
        <v>27</v>
      </c>
      <c r="E198" s="4"/>
      <c r="F198" s="4"/>
      <c r="G198" s="4" t="s">
        <v>424</v>
      </c>
      <c r="H198" s="4" t="s">
        <v>131</v>
      </c>
      <c r="I198" s="4"/>
      <c r="J198" s="4" t="s">
        <v>203</v>
      </c>
      <c r="K198" s="4" t="s">
        <v>18</v>
      </c>
      <c r="L198" s="4" t="s">
        <v>24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 t="s">
        <v>489</v>
      </c>
      <c r="B199" s="4" t="s">
        <v>490</v>
      </c>
      <c r="C199" s="9">
        <v>198.74</v>
      </c>
      <c r="D199" s="10" t="s">
        <v>27</v>
      </c>
      <c r="E199" s="4"/>
      <c r="F199" s="4"/>
      <c r="G199" s="4" t="s">
        <v>424</v>
      </c>
      <c r="H199" s="4" t="s">
        <v>131</v>
      </c>
      <c r="I199" s="4"/>
      <c r="J199" s="4" t="s">
        <v>310</v>
      </c>
      <c r="K199" s="4" t="s">
        <v>311</v>
      </c>
      <c r="L199" s="4" t="s">
        <v>24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 t="s">
        <v>491</v>
      </c>
      <c r="B200" s="4" t="s">
        <v>492</v>
      </c>
      <c r="C200" s="13">
        <v>18.488</v>
      </c>
      <c r="D200" s="10" t="s">
        <v>27</v>
      </c>
      <c r="E200" s="4"/>
      <c r="F200" s="4"/>
      <c r="G200" s="4" t="s">
        <v>424</v>
      </c>
      <c r="H200" s="4" t="s">
        <v>131</v>
      </c>
      <c r="I200" s="4"/>
      <c r="J200" s="4" t="s">
        <v>138</v>
      </c>
      <c r="K200" s="4" t="s">
        <v>139</v>
      </c>
      <c r="L200" s="4" t="s">
        <v>24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 t="s">
        <v>493</v>
      </c>
      <c r="B201" s="4" t="s">
        <v>494</v>
      </c>
      <c r="C201" s="9">
        <v>4115</v>
      </c>
      <c r="D201" s="10" t="s">
        <v>27</v>
      </c>
      <c r="E201" s="4"/>
      <c r="F201" s="4"/>
      <c r="G201" s="4" t="s">
        <v>424</v>
      </c>
      <c r="H201" s="4" t="s">
        <v>131</v>
      </c>
      <c r="I201" s="4"/>
      <c r="J201" s="4" t="s">
        <v>222</v>
      </c>
      <c r="K201" s="4" t="s">
        <v>223</v>
      </c>
      <c r="L201" s="4" t="s">
        <v>24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 t="s">
        <v>495</v>
      </c>
      <c r="B202" s="4" t="s">
        <v>496</v>
      </c>
      <c r="C202" s="13">
        <v>27</v>
      </c>
      <c r="D202" s="10" t="s">
        <v>27</v>
      </c>
      <c r="E202" s="4"/>
      <c r="F202" s="4"/>
      <c r="G202" s="4" t="s">
        <v>424</v>
      </c>
      <c r="H202" s="4" t="s">
        <v>131</v>
      </c>
      <c r="I202" s="4"/>
      <c r="J202" s="4" t="s">
        <v>497</v>
      </c>
      <c r="K202" s="4" t="s">
        <v>498</v>
      </c>
      <c r="L202" s="4" t="s">
        <v>24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 t="s">
        <v>499</v>
      </c>
      <c r="B203" s="4" t="s">
        <v>500</v>
      </c>
      <c r="C203" s="13">
        <v>42.42</v>
      </c>
      <c r="D203" s="10" t="s">
        <v>27</v>
      </c>
      <c r="E203" s="4"/>
      <c r="F203" s="4"/>
      <c r="G203" s="4" t="s">
        <v>424</v>
      </c>
      <c r="H203" s="4" t="s">
        <v>131</v>
      </c>
      <c r="I203" s="4"/>
      <c r="J203" s="4" t="s">
        <v>138</v>
      </c>
      <c r="K203" s="4" t="s">
        <v>139</v>
      </c>
      <c r="L203" s="4" t="s">
        <v>24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 t="s">
        <v>501</v>
      </c>
      <c r="B204" s="4" t="s">
        <v>502</v>
      </c>
      <c r="C204" s="9">
        <v>9.7284000000000006</v>
      </c>
      <c r="D204" s="10" t="s">
        <v>27</v>
      </c>
      <c r="E204" s="4"/>
      <c r="F204" s="4"/>
      <c r="G204" s="4" t="s">
        <v>424</v>
      </c>
      <c r="H204" s="4" t="s">
        <v>131</v>
      </c>
      <c r="I204" s="4"/>
      <c r="J204" s="4" t="s">
        <v>38</v>
      </c>
      <c r="K204" s="4" t="s">
        <v>39</v>
      </c>
      <c r="L204" s="4" t="s">
        <v>24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 t="s">
        <v>503</v>
      </c>
      <c r="B205" s="4" t="s">
        <v>504</v>
      </c>
      <c r="C205" s="9">
        <v>673</v>
      </c>
      <c r="D205" s="10" t="s">
        <v>27</v>
      </c>
      <c r="E205" s="4"/>
      <c r="F205" s="4"/>
      <c r="G205" s="4" t="s">
        <v>424</v>
      </c>
      <c r="H205" s="4" t="s">
        <v>131</v>
      </c>
      <c r="I205" s="4"/>
      <c r="J205" s="4" t="s">
        <v>310</v>
      </c>
      <c r="K205" s="4" t="s">
        <v>311</v>
      </c>
      <c r="L205" s="4" t="s">
        <v>24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 t="s">
        <v>505</v>
      </c>
      <c r="B206" s="4" t="s">
        <v>506</v>
      </c>
      <c r="C206" s="9">
        <v>84.284999999999997</v>
      </c>
      <c r="D206" s="10" t="s">
        <v>27</v>
      </c>
      <c r="E206" s="4"/>
      <c r="F206" s="4"/>
      <c r="G206" s="4" t="s">
        <v>424</v>
      </c>
      <c r="H206" s="4" t="s">
        <v>131</v>
      </c>
      <c r="I206" s="4"/>
      <c r="J206" s="4" t="s">
        <v>138</v>
      </c>
      <c r="K206" s="4" t="s">
        <v>139</v>
      </c>
      <c r="L206" s="4" t="s">
        <v>24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 t="s">
        <v>507</v>
      </c>
      <c r="B207" s="4" t="s">
        <v>508</v>
      </c>
      <c r="C207" s="9">
        <v>2800</v>
      </c>
      <c r="D207" s="10" t="s">
        <v>27</v>
      </c>
      <c r="E207" s="4"/>
      <c r="F207" s="4"/>
      <c r="G207" s="4" t="s">
        <v>424</v>
      </c>
      <c r="H207" s="4" t="s">
        <v>131</v>
      </c>
      <c r="I207" s="4"/>
      <c r="J207" s="4" t="s">
        <v>28</v>
      </c>
      <c r="K207" s="4" t="s">
        <v>29</v>
      </c>
      <c r="L207" s="4" t="s">
        <v>24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 t="s">
        <v>509</v>
      </c>
      <c r="B208" s="4" t="s">
        <v>510</v>
      </c>
      <c r="C208" s="9">
        <v>26360</v>
      </c>
      <c r="D208" s="10" t="s">
        <v>194</v>
      </c>
      <c r="E208" s="4"/>
      <c r="F208" s="4"/>
      <c r="G208" s="4" t="s">
        <v>424</v>
      </c>
      <c r="H208" s="4" t="s">
        <v>131</v>
      </c>
      <c r="I208" s="4"/>
      <c r="J208" s="4" t="s">
        <v>511</v>
      </c>
      <c r="K208" s="4" t="s">
        <v>512</v>
      </c>
      <c r="L208" s="4" t="s">
        <v>24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 t="s">
        <v>513</v>
      </c>
      <c r="B209" s="4" t="s">
        <v>514</v>
      </c>
      <c r="C209" s="9">
        <v>15126</v>
      </c>
      <c r="D209" s="10" t="s">
        <v>32</v>
      </c>
      <c r="E209" s="4"/>
      <c r="F209" s="4"/>
      <c r="G209" s="4" t="s">
        <v>424</v>
      </c>
      <c r="H209" s="4" t="s">
        <v>131</v>
      </c>
      <c r="I209" s="4"/>
      <c r="J209" s="4" t="s">
        <v>75</v>
      </c>
      <c r="K209" s="4" t="s">
        <v>76</v>
      </c>
      <c r="L209" s="4" t="s">
        <v>24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60" t="s">
        <v>515</v>
      </c>
      <c r="B210" s="60" t="s">
        <v>516</v>
      </c>
      <c r="C210" s="61">
        <v>0</v>
      </c>
      <c r="D210" s="62" t="s">
        <v>27</v>
      </c>
      <c r="E210" s="60"/>
      <c r="F210" s="60"/>
      <c r="G210" s="60" t="s">
        <v>424</v>
      </c>
      <c r="H210" s="60" t="s">
        <v>131</v>
      </c>
      <c r="I210" s="60"/>
      <c r="J210" s="60" t="s">
        <v>138</v>
      </c>
      <c r="K210" s="60" t="s">
        <v>139</v>
      </c>
      <c r="L210" s="60" t="s">
        <v>24</v>
      </c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>
      <c r="A211" s="4" t="s">
        <v>517</v>
      </c>
      <c r="B211" s="4" t="s">
        <v>518</v>
      </c>
      <c r="C211" s="9">
        <v>1690</v>
      </c>
      <c r="D211" s="10" t="s">
        <v>27</v>
      </c>
      <c r="E211" s="4"/>
      <c r="F211" s="4"/>
      <c r="G211" s="4" t="s">
        <v>424</v>
      </c>
      <c r="H211" s="4" t="s">
        <v>131</v>
      </c>
      <c r="I211" s="4"/>
      <c r="J211" s="4" t="s">
        <v>138</v>
      </c>
      <c r="K211" s="4" t="s">
        <v>139</v>
      </c>
      <c r="L211" s="4" t="s">
        <v>24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 t="s">
        <v>519</v>
      </c>
      <c r="B212" s="4" t="s">
        <v>520</v>
      </c>
      <c r="C212" s="9">
        <v>9000</v>
      </c>
      <c r="D212" s="10" t="s">
        <v>27</v>
      </c>
      <c r="E212" s="4"/>
      <c r="F212" s="4"/>
      <c r="G212" s="4" t="s">
        <v>424</v>
      </c>
      <c r="H212" s="4" t="s">
        <v>131</v>
      </c>
      <c r="I212" s="4"/>
      <c r="J212" s="4" t="s">
        <v>138</v>
      </c>
      <c r="K212" s="4" t="s">
        <v>139</v>
      </c>
      <c r="L212" s="4" t="s">
        <v>24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 t="s">
        <v>521</v>
      </c>
      <c r="B213" s="4" t="s">
        <v>522</v>
      </c>
      <c r="C213" s="9">
        <v>10000</v>
      </c>
      <c r="D213" s="10" t="s">
        <v>27</v>
      </c>
      <c r="E213" s="4"/>
      <c r="F213" s="4"/>
      <c r="G213" s="4" t="s">
        <v>424</v>
      </c>
      <c r="H213" s="4" t="s">
        <v>131</v>
      </c>
      <c r="I213" s="4"/>
      <c r="J213" s="4" t="s">
        <v>138</v>
      </c>
      <c r="K213" s="4" t="s">
        <v>139</v>
      </c>
      <c r="L213" s="4" t="s">
        <v>24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 t="s">
        <v>523</v>
      </c>
      <c r="B214" s="4" t="s">
        <v>524</v>
      </c>
      <c r="C214" s="9">
        <v>48.833300000000001</v>
      </c>
      <c r="D214" s="10" t="s">
        <v>27</v>
      </c>
      <c r="E214" s="4"/>
      <c r="F214" s="4"/>
      <c r="G214" s="4" t="s">
        <v>424</v>
      </c>
      <c r="H214" s="4" t="s">
        <v>131</v>
      </c>
      <c r="I214" s="4"/>
      <c r="J214" s="4" t="s">
        <v>138</v>
      </c>
      <c r="K214" s="4" t="s">
        <v>139</v>
      </c>
      <c r="L214" s="4" t="s">
        <v>24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 t="s">
        <v>525</v>
      </c>
      <c r="B215" s="4" t="s">
        <v>526</v>
      </c>
      <c r="C215" s="9">
        <v>10000</v>
      </c>
      <c r="D215" s="10" t="s">
        <v>27</v>
      </c>
      <c r="E215" s="4"/>
      <c r="F215" s="4"/>
      <c r="G215" s="4" t="s">
        <v>424</v>
      </c>
      <c r="H215" s="4" t="s">
        <v>131</v>
      </c>
      <c r="I215" s="4"/>
      <c r="J215" s="4" t="s">
        <v>138</v>
      </c>
      <c r="K215" s="4" t="s">
        <v>139</v>
      </c>
      <c r="L215" s="4" t="s">
        <v>24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 t="s">
        <v>527</v>
      </c>
      <c r="B216" s="4" t="s">
        <v>528</v>
      </c>
      <c r="C216" s="13">
        <v>7898</v>
      </c>
      <c r="D216" s="10" t="s">
        <v>27</v>
      </c>
      <c r="E216" s="4"/>
      <c r="F216" s="4"/>
      <c r="G216" s="4" t="s">
        <v>424</v>
      </c>
      <c r="H216" s="4" t="s">
        <v>131</v>
      </c>
      <c r="I216" s="4"/>
      <c r="J216" s="4" t="s">
        <v>138</v>
      </c>
      <c r="K216" s="4" t="s">
        <v>139</v>
      </c>
      <c r="L216" s="4" t="s">
        <v>24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 t="s">
        <v>529</v>
      </c>
      <c r="B217" s="4" t="s">
        <v>530</v>
      </c>
      <c r="C217" s="13">
        <v>15000</v>
      </c>
      <c r="D217" s="10" t="s">
        <v>27</v>
      </c>
      <c r="E217" s="4"/>
      <c r="F217" s="4"/>
      <c r="G217" s="4" t="s">
        <v>424</v>
      </c>
      <c r="H217" s="4" t="s">
        <v>131</v>
      </c>
      <c r="I217" s="4"/>
      <c r="J217" s="4" t="s">
        <v>138</v>
      </c>
      <c r="K217" s="4" t="s">
        <v>139</v>
      </c>
      <c r="L217" s="4" t="s">
        <v>24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 t="s">
        <v>531</v>
      </c>
      <c r="B218" s="4" t="s">
        <v>532</v>
      </c>
      <c r="C218" s="13">
        <v>14.266999999999999</v>
      </c>
      <c r="D218" s="10" t="s">
        <v>27</v>
      </c>
      <c r="E218" s="4"/>
      <c r="F218" s="4"/>
      <c r="G218" s="4" t="s">
        <v>424</v>
      </c>
      <c r="H218" s="4" t="s">
        <v>131</v>
      </c>
      <c r="I218" s="4"/>
      <c r="J218" s="4" t="s">
        <v>138</v>
      </c>
      <c r="K218" s="4" t="s">
        <v>139</v>
      </c>
      <c r="L218" s="4" t="s">
        <v>24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 t="s">
        <v>533</v>
      </c>
      <c r="B219" s="4" t="s">
        <v>534</v>
      </c>
      <c r="C219" s="9">
        <v>28.38</v>
      </c>
      <c r="D219" s="10" t="s">
        <v>27</v>
      </c>
      <c r="E219" s="4"/>
      <c r="F219" s="4"/>
      <c r="G219" s="4" t="s">
        <v>424</v>
      </c>
      <c r="H219" s="4" t="s">
        <v>131</v>
      </c>
      <c r="I219" s="4"/>
      <c r="J219" s="4" t="s">
        <v>138</v>
      </c>
      <c r="K219" s="4" t="s">
        <v>139</v>
      </c>
      <c r="L219" s="4" t="s">
        <v>24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 t="s">
        <v>535</v>
      </c>
      <c r="B220" s="4" t="s">
        <v>536</v>
      </c>
      <c r="C220" s="9">
        <v>42.36</v>
      </c>
      <c r="D220" s="10" t="s">
        <v>27</v>
      </c>
      <c r="E220" s="4"/>
      <c r="F220" s="4"/>
      <c r="G220" s="4" t="s">
        <v>424</v>
      </c>
      <c r="H220" s="4" t="s">
        <v>131</v>
      </c>
      <c r="I220" s="4"/>
      <c r="J220" s="4" t="s">
        <v>138</v>
      </c>
      <c r="K220" s="4" t="s">
        <v>139</v>
      </c>
      <c r="L220" s="4" t="s">
        <v>24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 t="s">
        <v>537</v>
      </c>
      <c r="B221" s="4" t="s">
        <v>538</v>
      </c>
      <c r="C221" s="9">
        <v>734.25</v>
      </c>
      <c r="D221" s="10" t="s">
        <v>27</v>
      </c>
      <c r="E221" s="4"/>
      <c r="F221" s="4"/>
      <c r="G221" s="4" t="s">
        <v>424</v>
      </c>
      <c r="H221" s="4" t="s">
        <v>131</v>
      </c>
      <c r="I221" s="4"/>
      <c r="J221" s="4" t="s">
        <v>138</v>
      </c>
      <c r="K221" s="4" t="s">
        <v>139</v>
      </c>
      <c r="L221" s="4" t="s">
        <v>24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 t="s">
        <v>539</v>
      </c>
      <c r="B222" s="4" t="s">
        <v>540</v>
      </c>
      <c r="C222" s="9">
        <v>1247.2919999999999</v>
      </c>
      <c r="D222" s="10" t="s">
        <v>27</v>
      </c>
      <c r="E222" s="4"/>
      <c r="F222" s="4"/>
      <c r="G222" s="4" t="s">
        <v>424</v>
      </c>
      <c r="H222" s="4" t="s">
        <v>131</v>
      </c>
      <c r="I222" s="4"/>
      <c r="J222" s="4" t="s">
        <v>138</v>
      </c>
      <c r="K222" s="4" t="s">
        <v>139</v>
      </c>
      <c r="L222" s="4" t="s">
        <v>24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 t="s">
        <v>541</v>
      </c>
      <c r="B223" s="4" t="s">
        <v>542</v>
      </c>
      <c r="C223" s="9">
        <v>75</v>
      </c>
      <c r="D223" s="10" t="s">
        <v>27</v>
      </c>
      <c r="E223" s="4"/>
      <c r="F223" s="4"/>
      <c r="G223" s="4" t="s">
        <v>424</v>
      </c>
      <c r="H223" s="4" t="s">
        <v>131</v>
      </c>
      <c r="I223" s="4"/>
      <c r="J223" s="4" t="s">
        <v>43</v>
      </c>
      <c r="K223" s="4" t="s">
        <v>44</v>
      </c>
      <c r="L223" s="4" t="s">
        <v>24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 t="s">
        <v>543</v>
      </c>
      <c r="B224" s="4" t="s">
        <v>544</v>
      </c>
      <c r="C224" s="13">
        <v>80</v>
      </c>
      <c r="D224" s="10" t="s">
        <v>27</v>
      </c>
      <c r="E224" s="4"/>
      <c r="F224" s="4"/>
      <c r="G224" s="4" t="s">
        <v>424</v>
      </c>
      <c r="H224" s="4" t="s">
        <v>131</v>
      </c>
      <c r="I224" s="4"/>
      <c r="J224" s="4" t="s">
        <v>43</v>
      </c>
      <c r="K224" s="4" t="s">
        <v>44</v>
      </c>
      <c r="L224" s="4" t="s">
        <v>24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 t="s">
        <v>545</v>
      </c>
      <c r="B225" s="4" t="s">
        <v>546</v>
      </c>
      <c r="C225" s="9">
        <v>85</v>
      </c>
      <c r="D225" s="10" t="s">
        <v>27</v>
      </c>
      <c r="E225" s="4"/>
      <c r="F225" s="4"/>
      <c r="G225" s="4" t="s">
        <v>424</v>
      </c>
      <c r="H225" s="4" t="s">
        <v>131</v>
      </c>
      <c r="I225" s="4"/>
      <c r="J225" s="4" t="s">
        <v>43</v>
      </c>
      <c r="K225" s="4" t="s">
        <v>44</v>
      </c>
      <c r="L225" s="4" t="s">
        <v>24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 t="s">
        <v>547</v>
      </c>
      <c r="B226" s="4" t="s">
        <v>548</v>
      </c>
      <c r="C226" s="58">
        <v>80</v>
      </c>
      <c r="D226" s="10" t="s">
        <v>27</v>
      </c>
      <c r="E226" s="4"/>
      <c r="F226" s="4"/>
      <c r="G226" s="4" t="s">
        <v>424</v>
      </c>
      <c r="H226" s="4" t="s">
        <v>131</v>
      </c>
      <c r="I226" s="4"/>
      <c r="J226" s="4" t="s">
        <v>203</v>
      </c>
      <c r="K226" s="4" t="s">
        <v>18</v>
      </c>
      <c r="L226" s="4" t="s">
        <v>24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 t="s">
        <v>549</v>
      </c>
      <c r="B227" s="4" t="s">
        <v>550</v>
      </c>
      <c r="C227" s="13">
        <v>25</v>
      </c>
      <c r="D227" s="10" t="s">
        <v>194</v>
      </c>
      <c r="E227" s="4"/>
      <c r="F227" s="4"/>
      <c r="G227" s="4" t="s">
        <v>424</v>
      </c>
      <c r="H227" s="4" t="s">
        <v>131</v>
      </c>
      <c r="I227" s="4"/>
      <c r="J227" s="4" t="s">
        <v>551</v>
      </c>
      <c r="K227" s="4" t="s">
        <v>552</v>
      </c>
      <c r="L227" s="4" t="s">
        <v>24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 t="s">
        <v>553</v>
      </c>
      <c r="B228" s="4" t="s">
        <v>554</v>
      </c>
      <c r="C228" s="9">
        <v>61.666699999999999</v>
      </c>
      <c r="D228" s="10" t="s">
        <v>27</v>
      </c>
      <c r="E228" s="4"/>
      <c r="F228" s="4"/>
      <c r="G228" s="4" t="s">
        <v>424</v>
      </c>
      <c r="H228" s="4" t="s">
        <v>131</v>
      </c>
      <c r="I228" s="4"/>
      <c r="J228" s="4" t="s">
        <v>38</v>
      </c>
      <c r="K228" s="4" t="s">
        <v>39</v>
      </c>
      <c r="L228" s="4" t="s">
        <v>24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 t="s">
        <v>555</v>
      </c>
      <c r="B229" s="4" t="s">
        <v>556</v>
      </c>
      <c r="C229" s="9">
        <v>75.041569999999993</v>
      </c>
      <c r="D229" s="10" t="s">
        <v>27</v>
      </c>
      <c r="E229" s="4"/>
      <c r="F229" s="4"/>
      <c r="G229" s="4" t="s">
        <v>424</v>
      </c>
      <c r="H229" s="4" t="s">
        <v>131</v>
      </c>
      <c r="I229" s="4"/>
      <c r="J229" s="4" t="s">
        <v>557</v>
      </c>
      <c r="K229" s="4" t="s">
        <v>558</v>
      </c>
      <c r="L229" s="4" t="s">
        <v>24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 t="s">
        <v>559</v>
      </c>
      <c r="B230" s="4" t="s">
        <v>560</v>
      </c>
      <c r="C230" s="9">
        <v>22.193909999999999</v>
      </c>
      <c r="D230" s="10" t="s">
        <v>27</v>
      </c>
      <c r="E230" s="4"/>
      <c r="F230" s="4"/>
      <c r="G230" s="4" t="s">
        <v>424</v>
      </c>
      <c r="H230" s="4" t="s">
        <v>131</v>
      </c>
      <c r="I230" s="4"/>
      <c r="J230" s="4" t="s">
        <v>138</v>
      </c>
      <c r="K230" s="4" t="s">
        <v>139</v>
      </c>
      <c r="L230" s="4" t="s">
        <v>24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 t="s">
        <v>561</v>
      </c>
      <c r="B231" s="4" t="s">
        <v>562</v>
      </c>
      <c r="C231" s="9">
        <v>25.824000000000002</v>
      </c>
      <c r="D231" s="10" t="s">
        <v>27</v>
      </c>
      <c r="E231" s="4"/>
      <c r="F231" s="4"/>
      <c r="G231" s="4" t="s">
        <v>424</v>
      </c>
      <c r="H231" s="4" t="s">
        <v>131</v>
      </c>
      <c r="I231" s="4"/>
      <c r="J231" s="4" t="s">
        <v>138</v>
      </c>
      <c r="K231" s="4" t="s">
        <v>139</v>
      </c>
      <c r="L231" s="4" t="s">
        <v>24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 t="s">
        <v>563</v>
      </c>
      <c r="B232" s="4" t="s">
        <v>564</v>
      </c>
      <c r="C232" s="9">
        <v>19.831</v>
      </c>
      <c r="D232" s="10" t="s">
        <v>27</v>
      </c>
      <c r="E232" s="4"/>
      <c r="F232" s="4"/>
      <c r="G232" s="4" t="s">
        <v>424</v>
      </c>
      <c r="H232" s="4" t="s">
        <v>131</v>
      </c>
      <c r="I232" s="4"/>
      <c r="J232" s="4" t="s">
        <v>138</v>
      </c>
      <c r="K232" s="4" t="s">
        <v>139</v>
      </c>
      <c r="L232" s="4" t="s">
        <v>24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 t="s">
        <v>565</v>
      </c>
      <c r="B233" s="4" t="s">
        <v>566</v>
      </c>
      <c r="C233" s="13">
        <v>1030.48</v>
      </c>
      <c r="D233" s="10" t="s">
        <v>27</v>
      </c>
      <c r="E233" s="4"/>
      <c r="F233" s="4"/>
      <c r="G233" s="4" t="s">
        <v>424</v>
      </c>
      <c r="H233" s="4" t="s">
        <v>131</v>
      </c>
      <c r="I233" s="4"/>
      <c r="J233" s="4" t="s">
        <v>138</v>
      </c>
      <c r="K233" s="4" t="s">
        <v>139</v>
      </c>
      <c r="L233" s="4" t="s">
        <v>24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 t="s">
        <v>567</v>
      </c>
      <c r="B234" s="4" t="s">
        <v>568</v>
      </c>
      <c r="C234" s="9">
        <v>53.76</v>
      </c>
      <c r="D234" s="10" t="s">
        <v>194</v>
      </c>
      <c r="E234" s="4"/>
      <c r="F234" s="4"/>
      <c r="G234" s="4" t="s">
        <v>424</v>
      </c>
      <c r="H234" s="4" t="s">
        <v>131</v>
      </c>
      <c r="I234" s="4"/>
      <c r="J234" s="4" t="s">
        <v>138</v>
      </c>
      <c r="K234" s="4" t="s">
        <v>139</v>
      </c>
      <c r="L234" s="4" t="s">
        <v>24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 t="s">
        <v>569</v>
      </c>
      <c r="B235" s="4" t="s">
        <v>570</v>
      </c>
      <c r="C235" s="58">
        <v>35</v>
      </c>
      <c r="D235" s="10" t="s">
        <v>27</v>
      </c>
      <c r="E235" s="4"/>
      <c r="F235" s="4"/>
      <c r="G235" s="4" t="s">
        <v>424</v>
      </c>
      <c r="H235" s="4" t="s">
        <v>131</v>
      </c>
      <c r="I235" s="4"/>
      <c r="J235" s="4" t="s">
        <v>138</v>
      </c>
      <c r="K235" s="4" t="s">
        <v>139</v>
      </c>
      <c r="L235" s="4" t="s">
        <v>24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 t="s">
        <v>571</v>
      </c>
      <c r="B236" s="4" t="s">
        <v>572</v>
      </c>
      <c r="C236" s="13">
        <v>12.10714746</v>
      </c>
      <c r="D236" s="10" t="s">
        <v>27</v>
      </c>
      <c r="E236" s="4"/>
      <c r="F236" s="4"/>
      <c r="G236" s="4" t="s">
        <v>424</v>
      </c>
      <c r="H236" s="4" t="s">
        <v>131</v>
      </c>
      <c r="I236" s="4"/>
      <c r="J236" s="4" t="s">
        <v>203</v>
      </c>
      <c r="K236" s="4" t="s">
        <v>18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 t="s">
        <v>573</v>
      </c>
      <c r="B237" s="4" t="s">
        <v>574</v>
      </c>
      <c r="C237" s="9">
        <v>55.568600000000004</v>
      </c>
      <c r="D237" s="10" t="s">
        <v>27</v>
      </c>
      <c r="E237" s="4"/>
      <c r="F237" s="4"/>
      <c r="G237" s="4" t="s">
        <v>424</v>
      </c>
      <c r="H237" s="4" t="s">
        <v>131</v>
      </c>
      <c r="I237" s="4"/>
      <c r="J237" s="4" t="s">
        <v>138</v>
      </c>
      <c r="K237" s="4" t="s">
        <v>139</v>
      </c>
      <c r="L237" s="4" t="s">
        <v>24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 t="s">
        <v>575</v>
      </c>
      <c r="B238" s="4" t="s">
        <v>576</v>
      </c>
      <c r="C238" s="9">
        <v>46.688251819999998</v>
      </c>
      <c r="D238" s="10" t="s">
        <v>27</v>
      </c>
      <c r="E238" s="4"/>
      <c r="F238" s="4"/>
      <c r="G238" s="4" t="s">
        <v>424</v>
      </c>
      <c r="H238" s="4" t="s">
        <v>131</v>
      </c>
      <c r="I238" s="4"/>
      <c r="J238" s="4" t="s">
        <v>138</v>
      </c>
      <c r="K238" s="4" t="s">
        <v>139</v>
      </c>
      <c r="L238" s="4" t="s">
        <v>24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 t="s">
        <v>577</v>
      </c>
      <c r="B239" s="4" t="s">
        <v>578</v>
      </c>
      <c r="C239" s="9">
        <v>46.368344989999997</v>
      </c>
      <c r="D239" s="10" t="s">
        <v>27</v>
      </c>
      <c r="E239" s="4"/>
      <c r="F239" s="4"/>
      <c r="G239" s="4" t="s">
        <v>424</v>
      </c>
      <c r="H239" s="4" t="s">
        <v>131</v>
      </c>
      <c r="I239" s="4"/>
      <c r="J239" s="4" t="s">
        <v>138</v>
      </c>
      <c r="K239" s="4" t="s">
        <v>139</v>
      </c>
      <c r="L239" s="4" t="s">
        <v>24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 t="s">
        <v>579</v>
      </c>
      <c r="C240" s="13">
        <v>12.43</v>
      </c>
      <c r="D240" s="10" t="s">
        <v>27</v>
      </c>
      <c r="E240" s="4"/>
      <c r="F240" s="4"/>
      <c r="G240" s="4" t="s">
        <v>424</v>
      </c>
      <c r="H240" s="4" t="s">
        <v>131</v>
      </c>
      <c r="I240" s="4"/>
      <c r="J240" s="4" t="s">
        <v>138</v>
      </c>
      <c r="K240" s="4" t="s">
        <v>139</v>
      </c>
      <c r="L240" s="4" t="s">
        <v>24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 t="s">
        <v>580</v>
      </c>
      <c r="C241" s="13">
        <v>9.84</v>
      </c>
      <c r="D241" s="10" t="s">
        <v>27</v>
      </c>
      <c r="E241" s="4"/>
      <c r="F241" s="4"/>
      <c r="G241" s="4" t="s">
        <v>424</v>
      </c>
      <c r="H241" s="4" t="s">
        <v>131</v>
      </c>
      <c r="I241" s="4"/>
      <c r="J241" s="4" t="s">
        <v>138</v>
      </c>
      <c r="K241" s="4" t="s">
        <v>139</v>
      </c>
      <c r="L241" s="4" t="s">
        <v>24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 t="s">
        <v>581</v>
      </c>
      <c r="C242" s="13">
        <v>12.43</v>
      </c>
      <c r="D242" s="10" t="s">
        <v>27</v>
      </c>
      <c r="E242" s="4"/>
      <c r="F242" s="4"/>
      <c r="G242" s="4" t="s">
        <v>424</v>
      </c>
      <c r="H242" s="4" t="s">
        <v>131</v>
      </c>
      <c r="I242" s="4"/>
      <c r="J242" s="4" t="s">
        <v>138</v>
      </c>
      <c r="K242" s="4" t="s">
        <v>139</v>
      </c>
      <c r="L242" s="4" t="s">
        <v>24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 t="s">
        <v>582</v>
      </c>
      <c r="B243" s="4" t="s">
        <v>583</v>
      </c>
      <c r="C243" s="13">
        <v>2950</v>
      </c>
      <c r="D243" s="10" t="s">
        <v>32</v>
      </c>
      <c r="E243" s="4"/>
      <c r="F243" s="4"/>
      <c r="G243" s="4" t="s">
        <v>584</v>
      </c>
      <c r="H243" s="4" t="s">
        <v>132</v>
      </c>
      <c r="I243" s="4"/>
      <c r="J243" s="4" t="s">
        <v>33</v>
      </c>
      <c r="K243" s="4" t="s">
        <v>34</v>
      </c>
      <c r="L243" s="4" t="s">
        <v>24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 t="s">
        <v>585</v>
      </c>
      <c r="B244" s="4" t="s">
        <v>586</v>
      </c>
      <c r="C244" s="9">
        <v>3479</v>
      </c>
      <c r="D244" s="10" t="s">
        <v>32</v>
      </c>
      <c r="E244" s="4"/>
      <c r="F244" s="4"/>
      <c r="G244" s="4" t="s">
        <v>584</v>
      </c>
      <c r="H244" s="4" t="s">
        <v>132</v>
      </c>
      <c r="I244" s="4"/>
      <c r="J244" s="4" t="s">
        <v>33</v>
      </c>
      <c r="K244" s="4" t="s">
        <v>34</v>
      </c>
      <c r="L244" s="4" t="s">
        <v>24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 t="s">
        <v>587</v>
      </c>
      <c r="B245" s="4" t="s">
        <v>588</v>
      </c>
      <c r="C245" s="9">
        <v>600</v>
      </c>
      <c r="D245" s="10" t="s">
        <v>32</v>
      </c>
      <c r="E245" s="4"/>
      <c r="F245" s="4"/>
      <c r="G245" s="4" t="s">
        <v>584</v>
      </c>
      <c r="H245" s="4" t="s">
        <v>132</v>
      </c>
      <c r="I245" s="4"/>
      <c r="J245" s="4" t="s">
        <v>33</v>
      </c>
      <c r="K245" s="4" t="s">
        <v>34</v>
      </c>
      <c r="L245" s="4" t="s">
        <v>24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 t="s">
        <v>589</v>
      </c>
      <c r="B246" s="4" t="s">
        <v>590</v>
      </c>
      <c r="C246" s="9">
        <v>1900</v>
      </c>
      <c r="D246" s="10" t="s">
        <v>27</v>
      </c>
      <c r="E246" s="4"/>
      <c r="F246" s="4"/>
      <c r="G246" s="4" t="s">
        <v>584</v>
      </c>
      <c r="H246" s="4" t="s">
        <v>132</v>
      </c>
      <c r="I246" s="4"/>
      <c r="J246" s="4" t="s">
        <v>33</v>
      </c>
      <c r="K246" s="4" t="s">
        <v>34</v>
      </c>
      <c r="L246" s="4" t="s">
        <v>24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 t="s">
        <v>591</v>
      </c>
      <c r="B247" s="4" t="s">
        <v>592</v>
      </c>
      <c r="C247" s="9">
        <v>1529</v>
      </c>
      <c r="D247" s="10" t="s">
        <v>32</v>
      </c>
      <c r="E247" s="4"/>
      <c r="F247" s="4"/>
      <c r="G247" s="4" t="s">
        <v>584</v>
      </c>
      <c r="H247" s="4" t="s">
        <v>132</v>
      </c>
      <c r="I247" s="4"/>
      <c r="J247" s="4" t="s">
        <v>33</v>
      </c>
      <c r="K247" s="4" t="s">
        <v>34</v>
      </c>
      <c r="L247" s="4" t="s">
        <v>24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 t="s">
        <v>593</v>
      </c>
      <c r="B248" s="4" t="s">
        <v>594</v>
      </c>
      <c r="C248" s="9">
        <v>1400</v>
      </c>
      <c r="D248" s="10" t="s">
        <v>32</v>
      </c>
      <c r="E248" s="4"/>
      <c r="F248" s="4"/>
      <c r="G248" s="4" t="s">
        <v>584</v>
      </c>
      <c r="H248" s="4" t="s">
        <v>132</v>
      </c>
      <c r="I248" s="4"/>
      <c r="J248" s="4" t="s">
        <v>33</v>
      </c>
      <c r="K248" s="4" t="s">
        <v>34</v>
      </c>
      <c r="L248" s="4" t="s">
        <v>24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 t="s">
        <v>595</v>
      </c>
      <c r="B249" s="4" t="s">
        <v>596</v>
      </c>
      <c r="C249" s="9">
        <v>1400</v>
      </c>
      <c r="D249" s="10" t="s">
        <v>27</v>
      </c>
      <c r="E249" s="4"/>
      <c r="F249" s="4"/>
      <c r="G249" s="4" t="s">
        <v>584</v>
      </c>
      <c r="H249" s="4" t="s">
        <v>132</v>
      </c>
      <c r="I249" s="4"/>
      <c r="J249" s="4" t="s">
        <v>33</v>
      </c>
      <c r="K249" s="4" t="s">
        <v>34</v>
      </c>
      <c r="L249" s="4" t="s">
        <v>24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 t="s">
        <v>597</v>
      </c>
      <c r="B250" s="4" t="s">
        <v>598</v>
      </c>
      <c r="C250" s="9">
        <v>1000</v>
      </c>
      <c r="D250" s="10" t="s">
        <v>37</v>
      </c>
      <c r="E250" s="4"/>
      <c r="F250" s="4"/>
      <c r="G250" s="4" t="s">
        <v>584</v>
      </c>
      <c r="H250" s="4" t="s">
        <v>132</v>
      </c>
      <c r="I250" s="4"/>
      <c r="J250" s="4" t="s">
        <v>33</v>
      </c>
      <c r="K250" s="4" t="s">
        <v>34</v>
      </c>
      <c r="L250" s="4" t="s">
        <v>24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 t="s">
        <v>599</v>
      </c>
      <c r="B251" s="4" t="s">
        <v>600</v>
      </c>
      <c r="C251" s="9">
        <v>1000</v>
      </c>
      <c r="D251" s="10" t="s">
        <v>32</v>
      </c>
      <c r="E251" s="4"/>
      <c r="F251" s="4"/>
      <c r="G251" s="4" t="s">
        <v>584</v>
      </c>
      <c r="H251" s="4" t="s">
        <v>132</v>
      </c>
      <c r="I251" s="4"/>
      <c r="J251" s="4" t="s">
        <v>33</v>
      </c>
      <c r="K251" s="4" t="s">
        <v>34</v>
      </c>
      <c r="L251" s="4" t="s">
        <v>24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 t="s">
        <v>601</v>
      </c>
      <c r="B252" s="4" t="s">
        <v>602</v>
      </c>
      <c r="C252" s="9">
        <v>650</v>
      </c>
      <c r="D252" s="10" t="s">
        <v>37</v>
      </c>
      <c r="E252" s="4"/>
      <c r="F252" s="4"/>
      <c r="G252" s="4" t="s">
        <v>584</v>
      </c>
      <c r="H252" s="4" t="s">
        <v>132</v>
      </c>
      <c r="I252" s="4"/>
      <c r="J252" s="4" t="s">
        <v>33</v>
      </c>
      <c r="K252" s="4" t="s">
        <v>34</v>
      </c>
      <c r="L252" s="4" t="s">
        <v>24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 t="s">
        <v>603</v>
      </c>
      <c r="B253" s="4" t="s">
        <v>604</v>
      </c>
      <c r="C253" s="9">
        <v>6470</v>
      </c>
      <c r="D253" s="10" t="s">
        <v>32</v>
      </c>
      <c r="E253" s="4"/>
      <c r="F253" s="4"/>
      <c r="G253" s="4" t="s">
        <v>584</v>
      </c>
      <c r="H253" s="4" t="s">
        <v>132</v>
      </c>
      <c r="I253" s="4"/>
      <c r="J253" s="4" t="s">
        <v>33</v>
      </c>
      <c r="K253" s="4" t="s">
        <v>34</v>
      </c>
      <c r="L253" s="4" t="s">
        <v>24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 t="s">
        <v>605</v>
      </c>
      <c r="B254" s="4" t="s">
        <v>606</v>
      </c>
      <c r="C254" s="9">
        <v>2424</v>
      </c>
      <c r="D254" s="10" t="s">
        <v>32</v>
      </c>
      <c r="E254" s="4"/>
      <c r="F254" s="4"/>
      <c r="G254" s="4" t="s">
        <v>584</v>
      </c>
      <c r="H254" s="4" t="s">
        <v>132</v>
      </c>
      <c r="I254" s="4"/>
      <c r="J254" s="4" t="s">
        <v>33</v>
      </c>
      <c r="K254" s="4" t="s">
        <v>34</v>
      </c>
      <c r="L254" s="4" t="s">
        <v>24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 t="s">
        <v>607</v>
      </c>
      <c r="B255" s="4" t="s">
        <v>608</v>
      </c>
      <c r="C255" s="9">
        <v>1541</v>
      </c>
      <c r="D255" s="10" t="s">
        <v>32</v>
      </c>
      <c r="E255" s="4"/>
      <c r="F255" s="4"/>
      <c r="G255" s="4" t="s">
        <v>584</v>
      </c>
      <c r="H255" s="4" t="s">
        <v>132</v>
      </c>
      <c r="I255" s="4"/>
      <c r="J255" s="4" t="s">
        <v>33</v>
      </c>
      <c r="K255" s="4" t="s">
        <v>34</v>
      </c>
      <c r="L255" s="4" t="s">
        <v>24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 t="s">
        <v>609</v>
      </c>
      <c r="B256" s="4" t="s">
        <v>610</v>
      </c>
      <c r="C256" s="9">
        <v>500</v>
      </c>
      <c r="D256" s="10" t="s">
        <v>27</v>
      </c>
      <c r="E256" s="4"/>
      <c r="F256" s="4"/>
      <c r="G256" s="4" t="s">
        <v>584</v>
      </c>
      <c r="H256" s="4" t="s">
        <v>132</v>
      </c>
      <c r="I256" s="4"/>
      <c r="J256" s="4" t="s">
        <v>33</v>
      </c>
      <c r="K256" s="4" t="s">
        <v>34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 t="s">
        <v>611</v>
      </c>
      <c r="B257" s="4" t="s">
        <v>612</v>
      </c>
      <c r="C257" s="9">
        <v>900</v>
      </c>
      <c r="D257" s="10" t="s">
        <v>27</v>
      </c>
      <c r="E257" s="4"/>
      <c r="F257" s="4"/>
      <c r="G257" s="4" t="s">
        <v>584</v>
      </c>
      <c r="H257" s="4" t="s">
        <v>132</v>
      </c>
      <c r="I257" s="4"/>
      <c r="J257" s="4" t="s">
        <v>33</v>
      </c>
      <c r="K257" s="4" t="s">
        <v>34</v>
      </c>
      <c r="L257" s="4" t="s">
        <v>24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 t="s">
        <v>613</v>
      </c>
      <c r="B258" s="4" t="s">
        <v>614</v>
      </c>
      <c r="C258" s="9">
        <v>800</v>
      </c>
      <c r="D258" s="10" t="s">
        <v>27</v>
      </c>
      <c r="E258" s="4"/>
      <c r="F258" s="4"/>
      <c r="G258" s="4" t="s">
        <v>584</v>
      </c>
      <c r="H258" s="4" t="s">
        <v>132</v>
      </c>
      <c r="I258" s="4"/>
      <c r="J258" s="4" t="s">
        <v>33</v>
      </c>
      <c r="K258" s="4" t="s">
        <v>34</v>
      </c>
      <c r="L258" s="4" t="s">
        <v>24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 t="s">
        <v>615</v>
      </c>
      <c r="B259" s="4" t="s">
        <v>616</v>
      </c>
      <c r="C259" s="9">
        <v>3689</v>
      </c>
      <c r="D259" s="10" t="s">
        <v>32</v>
      </c>
      <c r="E259" s="4"/>
      <c r="F259" s="4"/>
      <c r="G259" s="4" t="s">
        <v>584</v>
      </c>
      <c r="H259" s="4" t="s">
        <v>132</v>
      </c>
      <c r="I259" s="4"/>
      <c r="J259" s="4" t="s">
        <v>310</v>
      </c>
      <c r="K259" s="4" t="s">
        <v>311</v>
      </c>
      <c r="L259" s="4" t="s">
        <v>24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 t="s">
        <v>617</v>
      </c>
      <c r="B260" s="4" t="s">
        <v>618</v>
      </c>
      <c r="C260" s="9">
        <v>2661</v>
      </c>
      <c r="D260" s="10" t="s">
        <v>42</v>
      </c>
      <c r="E260" s="4"/>
      <c r="F260" s="4"/>
      <c r="G260" s="4" t="s">
        <v>584</v>
      </c>
      <c r="H260" s="4" t="s">
        <v>132</v>
      </c>
      <c r="I260" s="4"/>
      <c r="J260" s="4" t="s">
        <v>195</v>
      </c>
      <c r="K260" s="4" t="s">
        <v>196</v>
      </c>
      <c r="L260" s="4" t="s">
        <v>24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 t="s">
        <v>619</v>
      </c>
      <c r="C261" s="13">
        <v>7000</v>
      </c>
      <c r="D261" s="10" t="s">
        <v>32</v>
      </c>
      <c r="E261" s="4"/>
      <c r="F261" s="4"/>
      <c r="G261" s="4" t="s">
        <v>584</v>
      </c>
      <c r="H261" s="4" t="s">
        <v>132</v>
      </c>
      <c r="I261" s="4"/>
      <c r="J261" s="4" t="s">
        <v>321</v>
      </c>
      <c r="K261" s="4" t="s">
        <v>240</v>
      </c>
      <c r="L261" s="4" t="s">
        <v>24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 t="s">
        <v>620</v>
      </c>
      <c r="B262" s="4" t="s">
        <v>621</v>
      </c>
      <c r="C262" s="9">
        <v>3900</v>
      </c>
      <c r="D262" s="10" t="s">
        <v>32</v>
      </c>
      <c r="E262" s="4"/>
      <c r="F262" s="4"/>
      <c r="G262" s="4" t="s">
        <v>584</v>
      </c>
      <c r="H262" s="4" t="s">
        <v>132</v>
      </c>
      <c r="I262" s="4"/>
      <c r="J262" s="4" t="s">
        <v>33</v>
      </c>
      <c r="K262" s="4" t="s">
        <v>34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 t="s">
        <v>622</v>
      </c>
      <c r="B263" s="4" t="s">
        <v>623</v>
      </c>
      <c r="C263" s="9">
        <v>600</v>
      </c>
      <c r="D263" s="10" t="s">
        <v>27</v>
      </c>
      <c r="E263" s="4"/>
      <c r="F263" s="4"/>
      <c r="G263" s="4" t="s">
        <v>584</v>
      </c>
      <c r="H263" s="4" t="s">
        <v>132</v>
      </c>
      <c r="I263" s="4"/>
      <c r="J263" s="4" t="s">
        <v>33</v>
      </c>
      <c r="K263" s="4" t="s">
        <v>34</v>
      </c>
      <c r="L263" s="4" t="s">
        <v>24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 t="s">
        <v>624</v>
      </c>
      <c r="B264" s="4" t="s">
        <v>625</v>
      </c>
      <c r="C264" s="9">
        <v>600</v>
      </c>
      <c r="D264" s="10" t="s">
        <v>27</v>
      </c>
      <c r="E264" s="4"/>
      <c r="F264" s="4"/>
      <c r="G264" s="4" t="s">
        <v>584</v>
      </c>
      <c r="H264" s="4" t="s">
        <v>132</v>
      </c>
      <c r="I264" s="4"/>
      <c r="J264" s="4" t="s">
        <v>33</v>
      </c>
      <c r="K264" s="4" t="s">
        <v>34</v>
      </c>
      <c r="L264" s="4" t="s">
        <v>24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 t="s">
        <v>626</v>
      </c>
      <c r="B265" s="4" t="s">
        <v>627</v>
      </c>
      <c r="C265" s="9">
        <v>1990.51</v>
      </c>
      <c r="D265" s="10" t="s">
        <v>32</v>
      </c>
      <c r="E265" s="4"/>
      <c r="F265" s="4"/>
      <c r="G265" s="4" t="s">
        <v>584</v>
      </c>
      <c r="H265" s="4" t="s">
        <v>132</v>
      </c>
      <c r="I265" s="4"/>
      <c r="J265" s="4" t="s">
        <v>628</v>
      </c>
      <c r="K265" s="4" t="s">
        <v>629</v>
      </c>
      <c r="L265" s="4" t="s">
        <v>24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 t="s">
        <v>630</v>
      </c>
      <c r="B266" s="4" t="s">
        <v>631</v>
      </c>
      <c r="C266" s="9">
        <v>1500</v>
      </c>
      <c r="D266" s="10" t="s">
        <v>37</v>
      </c>
      <c r="E266" s="4"/>
      <c r="F266" s="4"/>
      <c r="G266" s="4" t="s">
        <v>584</v>
      </c>
      <c r="H266" s="4" t="s">
        <v>132</v>
      </c>
      <c r="I266" s="4"/>
      <c r="J266" s="4" t="s">
        <v>632</v>
      </c>
      <c r="K266" s="4" t="s">
        <v>633</v>
      </c>
      <c r="L266" s="4" t="s">
        <v>24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 t="s">
        <v>634</v>
      </c>
      <c r="B267" s="4" t="s">
        <v>635</v>
      </c>
      <c r="C267" s="9">
        <v>600</v>
      </c>
      <c r="D267" s="10" t="s">
        <v>32</v>
      </c>
      <c r="E267" s="4"/>
      <c r="F267" s="4"/>
      <c r="G267" s="4" t="s">
        <v>584</v>
      </c>
      <c r="H267" s="4" t="s">
        <v>132</v>
      </c>
      <c r="I267" s="4"/>
      <c r="J267" s="4" t="s">
        <v>632</v>
      </c>
      <c r="K267" s="4" t="s">
        <v>633</v>
      </c>
      <c r="L267" s="4" t="s">
        <v>24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 t="s">
        <v>636</v>
      </c>
      <c r="B268" s="4" t="s">
        <v>637</v>
      </c>
      <c r="C268" s="9">
        <v>3000</v>
      </c>
      <c r="D268" s="10" t="s">
        <v>32</v>
      </c>
      <c r="E268" s="4"/>
      <c r="F268" s="4"/>
      <c r="G268" s="4" t="s">
        <v>584</v>
      </c>
      <c r="H268" s="4" t="s">
        <v>132</v>
      </c>
      <c r="I268" s="4"/>
      <c r="J268" s="4" t="s">
        <v>33</v>
      </c>
      <c r="K268" s="4" t="s">
        <v>34</v>
      </c>
      <c r="L268" s="4" t="s">
        <v>24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 t="s">
        <v>638</v>
      </c>
      <c r="B269" s="4" t="s">
        <v>639</v>
      </c>
      <c r="C269" s="9">
        <v>1150</v>
      </c>
      <c r="D269" s="10" t="s">
        <v>32</v>
      </c>
      <c r="E269" s="4"/>
      <c r="F269" s="4"/>
      <c r="G269" s="4" t="s">
        <v>584</v>
      </c>
      <c r="H269" s="4" t="s">
        <v>132</v>
      </c>
      <c r="I269" s="4"/>
      <c r="J269" s="4" t="s">
        <v>33</v>
      </c>
      <c r="K269" s="4" t="s">
        <v>34</v>
      </c>
      <c r="L269" s="4" t="s">
        <v>24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 t="s">
        <v>640</v>
      </c>
      <c r="B270" s="4" t="s">
        <v>641</v>
      </c>
      <c r="C270" s="9">
        <v>600</v>
      </c>
      <c r="D270" s="10" t="s">
        <v>194</v>
      </c>
      <c r="E270" s="4"/>
      <c r="F270" s="4"/>
      <c r="G270" s="4" t="s">
        <v>584</v>
      </c>
      <c r="H270" s="4" t="s">
        <v>132</v>
      </c>
      <c r="I270" s="4"/>
      <c r="J270" s="4" t="s">
        <v>33</v>
      </c>
      <c r="K270" s="4" t="s">
        <v>34</v>
      </c>
      <c r="L270" s="4" t="s">
        <v>24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 t="s">
        <v>642</v>
      </c>
      <c r="B271" s="4" t="s">
        <v>643</v>
      </c>
      <c r="C271" s="9">
        <v>1500</v>
      </c>
      <c r="D271" s="10" t="s">
        <v>32</v>
      </c>
      <c r="E271" s="4"/>
      <c r="F271" s="4"/>
      <c r="G271" s="4" t="s">
        <v>584</v>
      </c>
      <c r="H271" s="4" t="s">
        <v>132</v>
      </c>
      <c r="I271" s="4"/>
      <c r="J271" s="4" t="s">
        <v>33</v>
      </c>
      <c r="K271" s="4" t="s">
        <v>34</v>
      </c>
      <c r="L271" s="4" t="s">
        <v>24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 t="s">
        <v>644</v>
      </c>
      <c r="B272" s="4" t="s">
        <v>645</v>
      </c>
      <c r="C272" s="9">
        <v>500</v>
      </c>
      <c r="D272" s="10" t="s">
        <v>194</v>
      </c>
      <c r="E272" s="4"/>
      <c r="F272" s="4"/>
      <c r="G272" s="4" t="s">
        <v>584</v>
      </c>
      <c r="H272" s="4" t="s">
        <v>132</v>
      </c>
      <c r="I272" s="4"/>
      <c r="J272" s="4" t="s">
        <v>33</v>
      </c>
      <c r="K272" s="4" t="s">
        <v>34</v>
      </c>
      <c r="L272" s="4" t="s">
        <v>24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 t="s">
        <v>646</v>
      </c>
      <c r="B273" s="4" t="s">
        <v>647</v>
      </c>
      <c r="C273" s="9">
        <v>1000</v>
      </c>
      <c r="D273" s="10" t="s">
        <v>27</v>
      </c>
      <c r="E273" s="4"/>
      <c r="F273" s="4"/>
      <c r="G273" s="4" t="s">
        <v>584</v>
      </c>
      <c r="H273" s="4" t="s">
        <v>132</v>
      </c>
      <c r="I273" s="4"/>
      <c r="J273" s="4" t="s">
        <v>33</v>
      </c>
      <c r="K273" s="4" t="s">
        <v>34</v>
      </c>
      <c r="L273" s="4" t="s">
        <v>24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 t="s">
        <v>648</v>
      </c>
      <c r="B274" s="4" t="s">
        <v>649</v>
      </c>
      <c r="C274" s="9">
        <v>3000</v>
      </c>
      <c r="D274" s="10" t="s">
        <v>32</v>
      </c>
      <c r="E274" s="4"/>
      <c r="F274" s="4"/>
      <c r="G274" s="4" t="s">
        <v>584</v>
      </c>
      <c r="H274" s="4" t="s">
        <v>132</v>
      </c>
      <c r="I274" s="4"/>
      <c r="J274" s="4" t="s">
        <v>33</v>
      </c>
      <c r="K274" s="4" t="s">
        <v>34</v>
      </c>
      <c r="L274" s="4" t="s">
        <v>24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 t="s">
        <v>650</v>
      </c>
      <c r="B275" s="4" t="s">
        <v>651</v>
      </c>
      <c r="C275" s="9">
        <v>2200</v>
      </c>
      <c r="D275" s="10" t="s">
        <v>32</v>
      </c>
      <c r="E275" s="4"/>
      <c r="F275" s="4"/>
      <c r="G275" s="4" t="s">
        <v>584</v>
      </c>
      <c r="H275" s="4" t="s">
        <v>132</v>
      </c>
      <c r="I275" s="4"/>
      <c r="J275" s="4" t="s">
        <v>33</v>
      </c>
      <c r="K275" s="4" t="s">
        <v>34</v>
      </c>
      <c r="L275" s="4" t="s">
        <v>24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 t="s">
        <v>652</v>
      </c>
      <c r="B276" s="4" t="s">
        <v>653</v>
      </c>
      <c r="C276" s="9">
        <v>5782</v>
      </c>
      <c r="D276" s="10" t="s">
        <v>42</v>
      </c>
      <c r="E276" s="4"/>
      <c r="F276" s="4"/>
      <c r="G276" s="4" t="s">
        <v>584</v>
      </c>
      <c r="H276" s="4" t="s">
        <v>132</v>
      </c>
      <c r="I276" s="4"/>
      <c r="J276" s="4" t="s">
        <v>33</v>
      </c>
      <c r="K276" s="4" t="s">
        <v>34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 t="s">
        <v>654</v>
      </c>
      <c r="B277" s="4" t="s">
        <v>655</v>
      </c>
      <c r="C277" s="9">
        <v>6000</v>
      </c>
      <c r="D277" s="10" t="s">
        <v>27</v>
      </c>
      <c r="E277" s="4"/>
      <c r="F277" s="4"/>
      <c r="G277" s="4" t="s">
        <v>584</v>
      </c>
      <c r="H277" s="4" t="s">
        <v>132</v>
      </c>
      <c r="I277" s="4"/>
      <c r="J277" s="4" t="s">
        <v>33</v>
      </c>
      <c r="K277" s="4" t="s">
        <v>34</v>
      </c>
      <c r="L277" s="4" t="s">
        <v>24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 t="s">
        <v>656</v>
      </c>
      <c r="B278" s="4" t="s">
        <v>657</v>
      </c>
      <c r="C278" s="9">
        <v>2500</v>
      </c>
      <c r="D278" s="10" t="s">
        <v>32</v>
      </c>
      <c r="E278" s="4"/>
      <c r="F278" s="4"/>
      <c r="G278" s="4" t="s">
        <v>584</v>
      </c>
      <c r="H278" s="4" t="s">
        <v>132</v>
      </c>
      <c r="I278" s="4"/>
      <c r="J278" s="4" t="s">
        <v>33</v>
      </c>
      <c r="K278" s="4" t="s">
        <v>34</v>
      </c>
      <c r="L278" s="4" t="s">
        <v>24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 t="s">
        <v>658</v>
      </c>
      <c r="B279" s="4" t="s">
        <v>659</v>
      </c>
      <c r="C279" s="9">
        <v>1411.7650000000001</v>
      </c>
      <c r="D279" s="10" t="s">
        <v>32</v>
      </c>
      <c r="E279" s="4"/>
      <c r="F279" s="4"/>
      <c r="G279" s="4" t="s">
        <v>584</v>
      </c>
      <c r="H279" s="4" t="s">
        <v>132</v>
      </c>
      <c r="I279" s="4"/>
      <c r="J279" s="4" t="s">
        <v>33</v>
      </c>
      <c r="K279" s="4" t="s">
        <v>34</v>
      </c>
      <c r="L279" s="4" t="s">
        <v>24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 t="s">
        <v>660</v>
      </c>
      <c r="B280" s="4" t="s">
        <v>661</v>
      </c>
      <c r="C280" s="9">
        <v>1600</v>
      </c>
      <c r="D280" s="10" t="s">
        <v>32</v>
      </c>
      <c r="E280" s="4"/>
      <c r="F280" s="4"/>
      <c r="G280" s="4" t="s">
        <v>584</v>
      </c>
      <c r="H280" s="4" t="s">
        <v>132</v>
      </c>
      <c r="I280" s="4"/>
      <c r="J280" s="4" t="s">
        <v>33</v>
      </c>
      <c r="K280" s="4" t="s">
        <v>34</v>
      </c>
      <c r="L280" s="4" t="s">
        <v>24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 t="s">
        <v>662</v>
      </c>
      <c r="B281" s="4" t="s">
        <v>663</v>
      </c>
      <c r="C281" s="9">
        <v>800</v>
      </c>
      <c r="D281" s="10" t="s">
        <v>32</v>
      </c>
      <c r="E281" s="4"/>
      <c r="F281" s="4"/>
      <c r="G281" s="4" t="s">
        <v>584</v>
      </c>
      <c r="H281" s="4" t="s">
        <v>132</v>
      </c>
      <c r="I281" s="4"/>
      <c r="J281" s="4" t="s">
        <v>33</v>
      </c>
      <c r="K281" s="4" t="s">
        <v>34</v>
      </c>
      <c r="L281" s="4" t="s">
        <v>24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 t="s">
        <v>664</v>
      </c>
      <c r="B282" s="4" t="s">
        <v>665</v>
      </c>
      <c r="C282" s="9">
        <v>600</v>
      </c>
      <c r="D282" s="10" t="s">
        <v>27</v>
      </c>
      <c r="E282" s="4"/>
      <c r="F282" s="4"/>
      <c r="G282" s="4" t="s">
        <v>584</v>
      </c>
      <c r="H282" s="4" t="s">
        <v>132</v>
      </c>
      <c r="I282" s="4"/>
      <c r="J282" s="4" t="s">
        <v>33</v>
      </c>
      <c r="K282" s="4" t="s">
        <v>34</v>
      </c>
      <c r="L282" s="4" t="s">
        <v>24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 t="s">
        <v>666</v>
      </c>
      <c r="B283" s="4" t="s">
        <v>667</v>
      </c>
      <c r="C283" s="9">
        <v>720</v>
      </c>
      <c r="D283" s="10" t="s">
        <v>32</v>
      </c>
      <c r="E283" s="4"/>
      <c r="F283" s="4"/>
      <c r="G283" s="4"/>
      <c r="H283" s="4" t="s">
        <v>133</v>
      </c>
      <c r="I283" s="4"/>
      <c r="J283" s="4" t="s">
        <v>43</v>
      </c>
      <c r="K283" s="4" t="s">
        <v>44</v>
      </c>
      <c r="L283" s="4" t="s">
        <v>24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 t="s">
        <v>668</v>
      </c>
      <c r="B284" s="4" t="s">
        <v>669</v>
      </c>
      <c r="C284" s="9">
        <v>715.28</v>
      </c>
      <c r="D284" s="10" t="s">
        <v>32</v>
      </c>
      <c r="E284" s="4"/>
      <c r="F284" s="4"/>
      <c r="G284" s="4"/>
      <c r="H284" s="4" t="s">
        <v>133</v>
      </c>
      <c r="I284" s="4"/>
      <c r="J284" s="4" t="s">
        <v>43</v>
      </c>
      <c r="K284" s="4" t="s">
        <v>44</v>
      </c>
      <c r="L284" s="4" t="s">
        <v>24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 t="s">
        <v>670</v>
      </c>
      <c r="C285" s="13">
        <v>714</v>
      </c>
      <c r="D285" s="10" t="s">
        <v>32</v>
      </c>
      <c r="E285" s="4"/>
      <c r="F285" s="4"/>
      <c r="G285" s="4"/>
      <c r="H285" s="4" t="s">
        <v>133</v>
      </c>
      <c r="I285" s="4"/>
      <c r="J285" s="4" t="s">
        <v>43</v>
      </c>
      <c r="K285" s="4" t="s">
        <v>44</v>
      </c>
      <c r="L285" s="4" t="s">
        <v>24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 t="s">
        <v>671</v>
      </c>
      <c r="B286" s="4" t="s">
        <v>672</v>
      </c>
      <c r="C286" s="9">
        <v>590.24</v>
      </c>
      <c r="D286" s="10" t="s">
        <v>32</v>
      </c>
      <c r="E286" s="4"/>
      <c r="F286" s="4"/>
      <c r="G286" s="4"/>
      <c r="H286" s="4" t="s">
        <v>133</v>
      </c>
      <c r="I286" s="4"/>
      <c r="J286" s="4" t="s">
        <v>673</v>
      </c>
      <c r="K286" s="4" t="s">
        <v>674</v>
      </c>
      <c r="L286" s="4" t="s">
        <v>24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 t="s">
        <v>675</v>
      </c>
      <c r="B287" s="4" t="s">
        <v>676</v>
      </c>
      <c r="C287" s="9">
        <v>5300</v>
      </c>
      <c r="D287" s="10" t="s">
        <v>32</v>
      </c>
      <c r="E287" s="4"/>
      <c r="F287" s="4"/>
      <c r="G287" s="4" t="s">
        <v>677</v>
      </c>
      <c r="H287" s="4" t="s">
        <v>678</v>
      </c>
      <c r="I287" s="4"/>
      <c r="J287" s="4" t="s">
        <v>310</v>
      </c>
      <c r="K287" s="4" t="s">
        <v>311</v>
      </c>
      <c r="L287" s="4" t="s">
        <v>24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 t="s">
        <v>679</v>
      </c>
      <c r="B288" s="4" t="s">
        <v>680</v>
      </c>
      <c r="C288" s="9">
        <v>3413.6669999999999</v>
      </c>
      <c r="D288" s="10" t="s">
        <v>19</v>
      </c>
      <c r="E288" s="4"/>
      <c r="F288" s="4"/>
      <c r="G288" s="4" t="s">
        <v>677</v>
      </c>
      <c r="H288" s="4" t="s">
        <v>678</v>
      </c>
      <c r="I288" s="4"/>
      <c r="J288" s="4" t="s">
        <v>681</v>
      </c>
      <c r="K288" s="4" t="s">
        <v>682</v>
      </c>
      <c r="L288" s="4" t="s">
        <v>24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 t="s">
        <v>683</v>
      </c>
      <c r="B289" s="4" t="s">
        <v>684</v>
      </c>
      <c r="C289" s="9">
        <v>5270</v>
      </c>
      <c r="D289" s="10" t="s">
        <v>19</v>
      </c>
      <c r="E289" s="4"/>
      <c r="F289" s="4"/>
      <c r="G289" s="4" t="s">
        <v>677</v>
      </c>
      <c r="H289" s="4" t="s">
        <v>678</v>
      </c>
      <c r="I289" s="4"/>
      <c r="J289" s="4" t="s">
        <v>310</v>
      </c>
      <c r="K289" s="4" t="s">
        <v>311</v>
      </c>
      <c r="L289" s="4" t="s">
        <v>24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 t="s">
        <v>685</v>
      </c>
      <c r="B290" s="4" t="s">
        <v>686</v>
      </c>
      <c r="C290" s="9">
        <v>3500</v>
      </c>
      <c r="D290" s="10" t="s">
        <v>32</v>
      </c>
      <c r="E290" s="4"/>
      <c r="F290" s="4"/>
      <c r="G290" s="4" t="s">
        <v>677</v>
      </c>
      <c r="H290" s="4" t="s">
        <v>678</v>
      </c>
      <c r="I290" s="4"/>
      <c r="J290" s="4" t="s">
        <v>310</v>
      </c>
      <c r="K290" s="4" t="s">
        <v>311</v>
      </c>
      <c r="L290" s="4" t="s">
        <v>24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 t="s">
        <v>687</v>
      </c>
      <c r="B291" s="4" t="s">
        <v>688</v>
      </c>
      <c r="C291" s="9">
        <v>2890</v>
      </c>
      <c r="D291" s="10" t="s">
        <v>19</v>
      </c>
      <c r="E291" s="4"/>
      <c r="F291" s="4"/>
      <c r="G291" s="4" t="s">
        <v>677</v>
      </c>
      <c r="H291" s="4" t="s">
        <v>678</v>
      </c>
      <c r="I291" s="4"/>
      <c r="J291" s="4" t="s">
        <v>138</v>
      </c>
      <c r="K291" s="4" t="s">
        <v>139</v>
      </c>
      <c r="L291" s="4" t="s">
        <v>24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 t="s">
        <v>689</v>
      </c>
      <c r="B292" s="4" t="s">
        <v>690</v>
      </c>
      <c r="C292" s="9">
        <v>3377.3330000000001</v>
      </c>
      <c r="D292" s="10" t="s">
        <v>37</v>
      </c>
      <c r="E292" s="4"/>
      <c r="F292" s="4"/>
      <c r="G292" s="4" t="s">
        <v>677</v>
      </c>
      <c r="H292" s="4" t="s">
        <v>678</v>
      </c>
      <c r="I292" s="4"/>
      <c r="J292" s="4" t="s">
        <v>75</v>
      </c>
      <c r="K292" s="4" t="s">
        <v>76</v>
      </c>
      <c r="L292" s="4" t="s">
        <v>24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 t="s">
        <v>691</v>
      </c>
      <c r="B293" s="4" t="s">
        <v>692</v>
      </c>
      <c r="C293" s="9">
        <v>1123.5</v>
      </c>
      <c r="D293" s="10" t="s">
        <v>19</v>
      </c>
      <c r="E293" s="4"/>
      <c r="F293" s="4"/>
      <c r="G293" s="4" t="s">
        <v>677</v>
      </c>
      <c r="H293" s="4" t="s">
        <v>678</v>
      </c>
      <c r="I293" s="4"/>
      <c r="J293" s="4" t="s">
        <v>138</v>
      </c>
      <c r="K293" s="4" t="s">
        <v>139</v>
      </c>
      <c r="L293" s="4" t="s">
        <v>24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 t="s">
        <v>693</v>
      </c>
      <c r="B294" s="4" t="s">
        <v>694</v>
      </c>
      <c r="C294" s="9">
        <v>1022.3333</v>
      </c>
      <c r="D294" s="10" t="s">
        <v>19</v>
      </c>
      <c r="E294" s="4"/>
      <c r="F294" s="4"/>
      <c r="G294" s="4" t="s">
        <v>677</v>
      </c>
      <c r="H294" s="4" t="s">
        <v>678</v>
      </c>
      <c r="I294" s="4"/>
      <c r="J294" s="4" t="s">
        <v>62</v>
      </c>
      <c r="K294" s="4" t="s">
        <v>63</v>
      </c>
      <c r="L294" s="4" t="s">
        <v>24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 t="s">
        <v>695</v>
      </c>
      <c r="B295" s="4" t="s">
        <v>696</v>
      </c>
      <c r="C295" s="9">
        <v>1277</v>
      </c>
      <c r="D295" s="10" t="s">
        <v>27</v>
      </c>
      <c r="E295" s="4"/>
      <c r="F295" s="4"/>
      <c r="G295" s="4" t="s">
        <v>677</v>
      </c>
      <c r="H295" s="4" t="s">
        <v>678</v>
      </c>
      <c r="I295" s="4"/>
      <c r="J295" s="4" t="s">
        <v>681</v>
      </c>
      <c r="K295" s="4" t="s">
        <v>682</v>
      </c>
      <c r="L295" s="4" t="s">
        <v>24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 t="s">
        <v>697</v>
      </c>
      <c r="B296" s="4" t="s">
        <v>698</v>
      </c>
      <c r="C296" s="9">
        <v>1490</v>
      </c>
      <c r="D296" s="10" t="s">
        <v>19</v>
      </c>
      <c r="E296" s="4"/>
      <c r="F296" s="4"/>
      <c r="G296" s="4" t="s">
        <v>677</v>
      </c>
      <c r="H296" s="4" t="s">
        <v>678</v>
      </c>
      <c r="I296" s="4"/>
      <c r="J296" s="4" t="s">
        <v>138</v>
      </c>
      <c r="K296" s="4" t="s">
        <v>139</v>
      </c>
      <c r="L296" s="4" t="s">
        <v>24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 t="s">
        <v>699</v>
      </c>
      <c r="B297" s="4" t="s">
        <v>700</v>
      </c>
      <c r="C297" s="9">
        <v>2290</v>
      </c>
      <c r="D297" s="10" t="s">
        <v>19</v>
      </c>
      <c r="E297" s="4"/>
      <c r="F297" s="4"/>
      <c r="G297" s="4" t="s">
        <v>677</v>
      </c>
      <c r="H297" s="4" t="s">
        <v>678</v>
      </c>
      <c r="I297" s="4"/>
      <c r="J297" s="4" t="s">
        <v>138</v>
      </c>
      <c r="K297" s="4" t="s">
        <v>139</v>
      </c>
      <c r="L297" s="4" t="s">
        <v>24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 t="s">
        <v>701</v>
      </c>
      <c r="B298" s="4" t="s">
        <v>702</v>
      </c>
      <c r="C298" s="9">
        <v>2290</v>
      </c>
      <c r="D298" s="10" t="s">
        <v>19</v>
      </c>
      <c r="E298" s="4"/>
      <c r="F298" s="4"/>
      <c r="G298" s="4" t="s">
        <v>677</v>
      </c>
      <c r="H298" s="4" t="s">
        <v>678</v>
      </c>
      <c r="I298" s="4"/>
      <c r="J298" s="4" t="s">
        <v>138</v>
      </c>
      <c r="K298" s="4" t="s">
        <v>139</v>
      </c>
      <c r="L298" s="4" t="s">
        <v>24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 t="s">
        <v>703</v>
      </c>
      <c r="B299" s="4" t="s">
        <v>704</v>
      </c>
      <c r="C299" s="9">
        <v>3469</v>
      </c>
      <c r="D299" s="10" t="s">
        <v>32</v>
      </c>
      <c r="E299" s="4"/>
      <c r="F299" s="4"/>
      <c r="G299" s="4" t="s">
        <v>677</v>
      </c>
      <c r="H299" s="4" t="s">
        <v>678</v>
      </c>
      <c r="I299" s="4"/>
      <c r="J299" s="4" t="s">
        <v>75</v>
      </c>
      <c r="K299" s="4" t="s">
        <v>76</v>
      </c>
      <c r="L299" s="4" t="s">
        <v>24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 t="s">
        <v>705</v>
      </c>
      <c r="B300" s="4" t="s">
        <v>706</v>
      </c>
      <c r="C300" s="9">
        <v>3508.4935009999999</v>
      </c>
      <c r="D300" s="10" t="s">
        <v>32</v>
      </c>
      <c r="E300" s="4"/>
      <c r="F300" s="4"/>
      <c r="G300" s="4" t="s">
        <v>677</v>
      </c>
      <c r="H300" s="4" t="s">
        <v>678</v>
      </c>
      <c r="I300" s="4"/>
      <c r="J300" s="4" t="s">
        <v>43</v>
      </c>
      <c r="K300" s="4" t="s">
        <v>44</v>
      </c>
      <c r="L300" s="4" t="s">
        <v>24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 t="s">
        <v>707</v>
      </c>
      <c r="B301" s="4" t="s">
        <v>708</v>
      </c>
      <c r="C301" s="9">
        <v>8415.2800000000007</v>
      </c>
      <c r="D301" s="10" t="s">
        <v>32</v>
      </c>
      <c r="E301" s="4"/>
      <c r="F301" s="4"/>
      <c r="G301" s="4" t="s">
        <v>677</v>
      </c>
      <c r="H301" s="4" t="s">
        <v>678</v>
      </c>
      <c r="I301" s="4"/>
      <c r="J301" s="4" t="s">
        <v>673</v>
      </c>
      <c r="K301" s="4" t="s">
        <v>674</v>
      </c>
      <c r="L301" s="4" t="s">
        <v>24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 t="s">
        <v>709</v>
      </c>
      <c r="B302" s="4" t="s">
        <v>710</v>
      </c>
      <c r="C302" s="9">
        <v>3523.04</v>
      </c>
      <c r="D302" s="10" t="s">
        <v>37</v>
      </c>
      <c r="E302" s="4"/>
      <c r="F302" s="4"/>
      <c r="G302" s="4" t="s">
        <v>677</v>
      </c>
      <c r="H302" s="4" t="s">
        <v>678</v>
      </c>
      <c r="I302" s="4"/>
      <c r="J302" s="4" t="s">
        <v>75</v>
      </c>
      <c r="K302" s="4" t="s">
        <v>76</v>
      </c>
      <c r="L302" s="4" t="s">
        <v>24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 t="s">
        <v>711</v>
      </c>
      <c r="B303" s="4" t="s">
        <v>712</v>
      </c>
      <c r="C303" s="9">
        <v>4789.9920000000002</v>
      </c>
      <c r="D303" s="10" t="s">
        <v>37</v>
      </c>
      <c r="E303" s="4"/>
      <c r="F303" s="4"/>
      <c r="G303" s="4" t="s">
        <v>677</v>
      </c>
      <c r="H303" s="4" t="s">
        <v>678</v>
      </c>
      <c r="I303" s="4"/>
      <c r="J303" s="4" t="s">
        <v>43</v>
      </c>
      <c r="K303" s="4" t="s">
        <v>44</v>
      </c>
      <c r="L303" s="4" t="s">
        <v>24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 t="s">
        <v>713</v>
      </c>
      <c r="B304" s="4" t="s">
        <v>714</v>
      </c>
      <c r="C304" s="9">
        <v>9500</v>
      </c>
      <c r="D304" s="10" t="s">
        <v>42</v>
      </c>
      <c r="E304" s="4"/>
      <c r="F304" s="4"/>
      <c r="G304" s="4" t="s">
        <v>677</v>
      </c>
      <c r="H304" s="4" t="s">
        <v>678</v>
      </c>
      <c r="I304" s="4"/>
      <c r="J304" s="4" t="s">
        <v>310</v>
      </c>
      <c r="K304" s="4" t="s">
        <v>311</v>
      </c>
      <c r="L304" s="4" t="s">
        <v>24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 t="s">
        <v>715</v>
      </c>
      <c r="B305" s="4" t="s">
        <v>716</v>
      </c>
      <c r="C305" s="9">
        <v>7606.6080000000002</v>
      </c>
      <c r="D305" s="10" t="s">
        <v>32</v>
      </c>
      <c r="E305" s="4"/>
      <c r="F305" s="4"/>
      <c r="G305" s="4" t="s">
        <v>677</v>
      </c>
      <c r="H305" s="4" t="s">
        <v>678</v>
      </c>
      <c r="I305" s="4"/>
      <c r="J305" s="4" t="s">
        <v>33</v>
      </c>
      <c r="K305" s="4" t="s">
        <v>34</v>
      </c>
      <c r="L305" s="4" t="s">
        <v>24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 t="s">
        <v>717</v>
      </c>
      <c r="B306" s="4" t="s">
        <v>718</v>
      </c>
      <c r="C306" s="9">
        <v>7235.2780000000002</v>
      </c>
      <c r="D306" s="10" t="s">
        <v>32</v>
      </c>
      <c r="E306" s="4"/>
      <c r="F306" s="4"/>
      <c r="G306" s="4" t="s">
        <v>677</v>
      </c>
      <c r="H306" s="4" t="s">
        <v>678</v>
      </c>
      <c r="I306" s="4"/>
      <c r="J306" s="4" t="s">
        <v>719</v>
      </c>
      <c r="K306" s="4" t="s">
        <v>720</v>
      </c>
      <c r="L306" s="4" t="s">
        <v>24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 t="s">
        <v>721</v>
      </c>
      <c r="B307" s="4" t="s">
        <v>722</v>
      </c>
      <c r="C307" s="9">
        <v>5212.6980000000003</v>
      </c>
      <c r="D307" s="10" t="s">
        <v>32</v>
      </c>
      <c r="E307" s="4"/>
      <c r="F307" s="4"/>
      <c r="G307" s="4" t="s">
        <v>677</v>
      </c>
      <c r="H307" s="4" t="s">
        <v>678</v>
      </c>
      <c r="I307" s="4"/>
      <c r="J307" s="4" t="s">
        <v>400</v>
      </c>
      <c r="K307" s="4" t="s">
        <v>401</v>
      </c>
      <c r="L307" s="4" t="s">
        <v>24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 t="s">
        <v>723</v>
      </c>
      <c r="B308" s="4" t="s">
        <v>724</v>
      </c>
      <c r="C308" s="9">
        <v>8151.3</v>
      </c>
      <c r="D308" s="10" t="s">
        <v>42</v>
      </c>
      <c r="E308" s="4"/>
      <c r="F308" s="4"/>
      <c r="G308" s="4" t="s">
        <v>725</v>
      </c>
      <c r="H308" s="4" t="s">
        <v>137</v>
      </c>
      <c r="I308" s="4"/>
      <c r="J308" s="4" t="s">
        <v>310</v>
      </c>
      <c r="K308" s="4" t="s">
        <v>311</v>
      </c>
      <c r="L308" s="4" t="s">
        <v>24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 t="s">
        <v>726</v>
      </c>
      <c r="B309" s="4" t="s">
        <v>727</v>
      </c>
      <c r="C309" s="9">
        <v>1505</v>
      </c>
      <c r="D309" s="10" t="s">
        <v>32</v>
      </c>
      <c r="E309" s="4"/>
      <c r="F309" s="4"/>
      <c r="G309" s="4" t="s">
        <v>725</v>
      </c>
      <c r="H309" s="4" t="s">
        <v>137</v>
      </c>
      <c r="I309" s="4"/>
      <c r="J309" s="4" t="s">
        <v>75</v>
      </c>
      <c r="K309" s="4" t="s">
        <v>76</v>
      </c>
      <c r="L309" s="4" t="s">
        <v>24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 t="s">
        <v>728</v>
      </c>
      <c r="B310" s="4" t="s">
        <v>729</v>
      </c>
      <c r="C310" s="9">
        <v>6485.58</v>
      </c>
      <c r="D310" s="10" t="s">
        <v>32</v>
      </c>
      <c r="E310" s="4"/>
      <c r="F310" s="4"/>
      <c r="G310" s="4" t="s">
        <v>725</v>
      </c>
      <c r="H310" s="4" t="s">
        <v>137</v>
      </c>
      <c r="I310" s="4"/>
      <c r="J310" s="4" t="s">
        <v>310</v>
      </c>
      <c r="K310" s="4" t="s">
        <v>311</v>
      </c>
      <c r="L310" s="135" t="s">
        <v>730</v>
      </c>
      <c r="M310" s="13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 t="s">
        <v>731</v>
      </c>
      <c r="B311" s="4" t="s">
        <v>732</v>
      </c>
      <c r="C311" s="9">
        <v>2850</v>
      </c>
      <c r="D311" s="10" t="s">
        <v>32</v>
      </c>
      <c r="E311" s="4"/>
      <c r="F311" s="4"/>
      <c r="G311" s="4" t="s">
        <v>725</v>
      </c>
      <c r="H311" s="4" t="s">
        <v>137</v>
      </c>
      <c r="I311" s="4"/>
      <c r="J311" s="4" t="s">
        <v>497</v>
      </c>
      <c r="K311" s="4" t="s">
        <v>498</v>
      </c>
      <c r="L311" s="4" t="s">
        <v>24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 t="s">
        <v>733</v>
      </c>
      <c r="B312" s="4" t="s">
        <v>734</v>
      </c>
      <c r="C312" s="9">
        <v>1232.8889999999999</v>
      </c>
      <c r="D312" s="10" t="s">
        <v>27</v>
      </c>
      <c r="E312" s="4"/>
      <c r="F312" s="4"/>
      <c r="G312" s="4" t="s">
        <v>725</v>
      </c>
      <c r="H312" s="4" t="s">
        <v>137</v>
      </c>
      <c r="I312" s="4"/>
      <c r="J312" s="4" t="s">
        <v>310</v>
      </c>
      <c r="K312" s="4" t="s">
        <v>311</v>
      </c>
      <c r="L312" s="4" t="s">
        <v>24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 t="s">
        <v>735</v>
      </c>
      <c r="B313" s="4" t="s">
        <v>736</v>
      </c>
      <c r="C313" s="9">
        <v>6850</v>
      </c>
      <c r="D313" s="10" t="s">
        <v>32</v>
      </c>
      <c r="E313" s="4"/>
      <c r="F313" s="4"/>
      <c r="G313" s="4" t="s">
        <v>725</v>
      </c>
      <c r="H313" s="4" t="s">
        <v>137</v>
      </c>
      <c r="I313" s="4"/>
      <c r="J313" s="4" t="s">
        <v>75</v>
      </c>
      <c r="K313" s="4" t="s">
        <v>76</v>
      </c>
      <c r="L313" s="4" t="s">
        <v>24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 t="s">
        <v>737</v>
      </c>
      <c r="B314" s="4" t="s">
        <v>738</v>
      </c>
      <c r="C314" s="9">
        <v>6030</v>
      </c>
      <c r="D314" s="10" t="s">
        <v>32</v>
      </c>
      <c r="E314" s="4"/>
      <c r="F314" s="4"/>
      <c r="G314" s="4" t="s">
        <v>725</v>
      </c>
      <c r="H314" s="4" t="s">
        <v>137</v>
      </c>
      <c r="I314" s="4"/>
      <c r="J314" s="4" t="s">
        <v>211</v>
      </c>
      <c r="K314" s="4" t="s">
        <v>212</v>
      </c>
      <c r="L314" s="4" t="s">
        <v>24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 t="s">
        <v>739</v>
      </c>
      <c r="B315" s="4" t="s">
        <v>740</v>
      </c>
      <c r="C315" s="9">
        <v>9950</v>
      </c>
      <c r="D315" s="10" t="s">
        <v>32</v>
      </c>
      <c r="E315" s="4"/>
      <c r="F315" s="4"/>
      <c r="G315" s="4" t="s">
        <v>725</v>
      </c>
      <c r="H315" s="4" t="s">
        <v>137</v>
      </c>
      <c r="I315" s="4"/>
      <c r="J315" s="4" t="s">
        <v>497</v>
      </c>
      <c r="K315" s="4" t="s">
        <v>498</v>
      </c>
      <c r="L315" s="4" t="s">
        <v>24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 t="s">
        <v>741</v>
      </c>
      <c r="B316" s="4" t="s">
        <v>742</v>
      </c>
      <c r="C316" s="9">
        <v>12490</v>
      </c>
      <c r="D316" s="10" t="s">
        <v>32</v>
      </c>
      <c r="E316" s="4"/>
      <c r="F316" s="4"/>
      <c r="G316" s="4" t="s">
        <v>725</v>
      </c>
      <c r="H316" s="4" t="s">
        <v>137</v>
      </c>
      <c r="I316" s="4"/>
      <c r="J316" s="4" t="s">
        <v>310</v>
      </c>
      <c r="K316" s="4" t="s">
        <v>311</v>
      </c>
      <c r="L316" s="4" t="s">
        <v>24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 t="s">
        <v>743</v>
      </c>
      <c r="B317" s="4" t="s">
        <v>744</v>
      </c>
      <c r="C317" s="9">
        <v>5409</v>
      </c>
      <c r="D317" s="10" t="s">
        <v>32</v>
      </c>
      <c r="E317" s="4"/>
      <c r="F317" s="4"/>
      <c r="G317" s="4" t="s">
        <v>725</v>
      </c>
      <c r="H317" s="4" t="s">
        <v>137</v>
      </c>
      <c r="I317" s="4"/>
      <c r="J317" s="4" t="s">
        <v>310</v>
      </c>
      <c r="K317" s="4" t="s">
        <v>311</v>
      </c>
      <c r="L317" s="4" t="s">
        <v>24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 t="s">
        <v>745</v>
      </c>
      <c r="B318" s="4" t="s">
        <v>746</v>
      </c>
      <c r="C318" s="9">
        <v>19520</v>
      </c>
      <c r="D318" s="10" t="s">
        <v>32</v>
      </c>
      <c r="E318" s="4"/>
      <c r="F318" s="4"/>
      <c r="G318" s="4" t="s">
        <v>725</v>
      </c>
      <c r="H318" s="4" t="s">
        <v>137</v>
      </c>
      <c r="I318" s="4"/>
      <c r="J318" s="4" t="s">
        <v>138</v>
      </c>
      <c r="K318" s="4" t="s">
        <v>139</v>
      </c>
      <c r="L318" s="4" t="s">
        <v>24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 t="s">
        <v>747</v>
      </c>
      <c r="B319" s="4" t="s">
        <v>748</v>
      </c>
      <c r="C319" s="9">
        <v>5650</v>
      </c>
      <c r="D319" s="10" t="s">
        <v>194</v>
      </c>
      <c r="E319" s="4"/>
      <c r="F319" s="4"/>
      <c r="G319" s="4" t="s">
        <v>725</v>
      </c>
      <c r="H319" s="4" t="s">
        <v>137</v>
      </c>
      <c r="I319" s="4"/>
      <c r="J319" s="4" t="s">
        <v>310</v>
      </c>
      <c r="K319" s="4" t="s">
        <v>311</v>
      </c>
      <c r="L319" s="4" t="s">
        <v>24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 t="s">
        <v>749</v>
      </c>
      <c r="B320" s="4" t="s">
        <v>750</v>
      </c>
      <c r="C320" s="9">
        <v>7135.7</v>
      </c>
      <c r="D320" s="10" t="s">
        <v>32</v>
      </c>
      <c r="E320" s="4"/>
      <c r="F320" s="4"/>
      <c r="G320" s="4" t="s">
        <v>725</v>
      </c>
      <c r="H320" s="4" t="s">
        <v>137</v>
      </c>
      <c r="I320" s="4"/>
      <c r="J320" s="4" t="s">
        <v>310</v>
      </c>
      <c r="K320" s="4" t="s">
        <v>311</v>
      </c>
      <c r="L320" s="4" t="s">
        <v>24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 t="s">
        <v>751</v>
      </c>
      <c r="B321" s="4" t="s">
        <v>752</v>
      </c>
      <c r="C321" s="13">
        <v>1650</v>
      </c>
      <c r="D321" s="10" t="s">
        <v>27</v>
      </c>
      <c r="E321" s="4"/>
      <c r="F321" s="4"/>
      <c r="G321" s="4" t="s">
        <v>725</v>
      </c>
      <c r="H321" s="4" t="s">
        <v>137</v>
      </c>
      <c r="I321" s="4"/>
      <c r="J321" s="4" t="s">
        <v>310</v>
      </c>
      <c r="K321" s="4" t="s">
        <v>311</v>
      </c>
      <c r="L321" s="4" t="s">
        <v>24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 t="s">
        <v>753</v>
      </c>
      <c r="B322" s="4" t="s">
        <v>754</v>
      </c>
      <c r="C322" s="9">
        <v>1354.6110000000001</v>
      </c>
      <c r="D322" s="10" t="s">
        <v>27</v>
      </c>
      <c r="E322" s="4"/>
      <c r="F322" s="4"/>
      <c r="G322" s="4" t="s">
        <v>725</v>
      </c>
      <c r="H322" s="4" t="s">
        <v>137</v>
      </c>
      <c r="I322" s="4"/>
      <c r="J322" s="4" t="s">
        <v>310</v>
      </c>
      <c r="K322" s="4" t="s">
        <v>311</v>
      </c>
      <c r="L322" s="4" t="s">
        <v>24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 t="s">
        <v>755</v>
      </c>
      <c r="B323" s="4" t="s">
        <v>756</v>
      </c>
      <c r="C323" s="9">
        <v>1862.0530000000001</v>
      </c>
      <c r="D323" s="10" t="s">
        <v>194</v>
      </c>
      <c r="E323" s="4"/>
      <c r="F323" s="4"/>
      <c r="G323" s="4" t="s">
        <v>725</v>
      </c>
      <c r="H323" s="4" t="s">
        <v>137</v>
      </c>
      <c r="I323" s="4"/>
      <c r="J323" s="4" t="s">
        <v>195</v>
      </c>
      <c r="K323" s="4" t="s">
        <v>196</v>
      </c>
      <c r="L323" s="4" t="s">
        <v>24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 t="s">
        <v>757</v>
      </c>
      <c r="B324" s="4" t="s">
        <v>758</v>
      </c>
      <c r="C324" s="13">
        <v>19606.666700000002</v>
      </c>
      <c r="D324" s="10" t="s">
        <v>194</v>
      </c>
      <c r="E324" s="4"/>
      <c r="F324" s="4"/>
      <c r="G324" s="4" t="s">
        <v>725</v>
      </c>
      <c r="H324" s="4" t="s">
        <v>137</v>
      </c>
      <c r="I324" s="4"/>
      <c r="J324" s="4" t="s">
        <v>632</v>
      </c>
      <c r="K324" s="4" t="s">
        <v>633</v>
      </c>
      <c r="L324" s="4" t="s">
        <v>24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 t="s">
        <v>759</v>
      </c>
      <c r="B325" s="4" t="s">
        <v>760</v>
      </c>
      <c r="C325" s="9">
        <v>4310</v>
      </c>
      <c r="D325" s="10" t="s">
        <v>42</v>
      </c>
      <c r="E325" s="4"/>
      <c r="F325" s="4"/>
      <c r="G325" s="4" t="s">
        <v>725</v>
      </c>
      <c r="H325" s="4" t="s">
        <v>137</v>
      </c>
      <c r="I325" s="4"/>
      <c r="J325" s="4" t="s">
        <v>310</v>
      </c>
      <c r="K325" s="4" t="s">
        <v>311</v>
      </c>
      <c r="L325" s="4" t="s">
        <v>24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 t="s">
        <v>761</v>
      </c>
      <c r="B326" s="4" t="s">
        <v>762</v>
      </c>
      <c r="C326" s="58">
        <v>3000</v>
      </c>
      <c r="D326" s="10" t="s">
        <v>27</v>
      </c>
      <c r="E326" s="4"/>
      <c r="F326" s="4"/>
      <c r="G326" s="4" t="s">
        <v>763</v>
      </c>
      <c r="H326" s="4" t="s">
        <v>764</v>
      </c>
      <c r="I326" s="4"/>
      <c r="J326" s="4"/>
      <c r="K326" s="4" t="s">
        <v>633</v>
      </c>
      <c r="L326" s="4" t="s">
        <v>24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 t="s">
        <v>765</v>
      </c>
      <c r="C327" s="13">
        <v>870</v>
      </c>
      <c r="D327" s="10" t="s">
        <v>27</v>
      </c>
      <c r="E327" s="4"/>
      <c r="F327" s="4"/>
      <c r="G327" s="4" t="s">
        <v>725</v>
      </c>
      <c r="H327" s="4" t="s">
        <v>137</v>
      </c>
      <c r="I327" s="4"/>
      <c r="J327" s="4" t="s">
        <v>497</v>
      </c>
      <c r="K327" s="4" t="s">
        <v>766</v>
      </c>
      <c r="L327" s="4" t="s">
        <v>24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 t="s">
        <v>767</v>
      </c>
      <c r="C328" s="13">
        <v>5404</v>
      </c>
      <c r="D328" s="10" t="s">
        <v>32</v>
      </c>
      <c r="E328" s="4"/>
      <c r="F328" s="4"/>
      <c r="G328" s="4" t="s">
        <v>725</v>
      </c>
      <c r="H328" s="4" t="s">
        <v>137</v>
      </c>
      <c r="I328" s="4"/>
      <c r="J328" s="4" t="s">
        <v>497</v>
      </c>
      <c r="K328" s="4" t="s">
        <v>212</v>
      </c>
      <c r="L328" s="4" t="s">
        <v>24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 t="s">
        <v>768</v>
      </c>
      <c r="C329" s="9">
        <v>2876</v>
      </c>
      <c r="D329" s="10" t="s">
        <v>27</v>
      </c>
      <c r="E329" s="4"/>
      <c r="F329" s="4"/>
      <c r="G329" s="4" t="s">
        <v>725</v>
      </c>
      <c r="H329" s="4" t="s">
        <v>137</v>
      </c>
      <c r="I329" s="4"/>
      <c r="J329" s="4" t="s">
        <v>310</v>
      </c>
      <c r="K329" s="4" t="s">
        <v>311</v>
      </c>
      <c r="L329" s="4" t="s">
        <v>24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 t="s">
        <v>769</v>
      </c>
      <c r="B330" s="4" t="s">
        <v>770</v>
      </c>
      <c r="C330" s="9">
        <v>1865.5</v>
      </c>
      <c r="D330" s="10" t="s">
        <v>27</v>
      </c>
      <c r="E330" s="4"/>
      <c r="F330" s="4"/>
      <c r="G330" s="4" t="s">
        <v>725</v>
      </c>
      <c r="H330" s="4" t="s">
        <v>137</v>
      </c>
      <c r="I330" s="4"/>
      <c r="J330" s="4" t="s">
        <v>310</v>
      </c>
      <c r="K330" s="4" t="s">
        <v>311</v>
      </c>
      <c r="L330" s="4" t="s">
        <v>24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 t="s">
        <v>771</v>
      </c>
      <c r="B331" s="4" t="s">
        <v>772</v>
      </c>
      <c r="C331" s="58">
        <v>4000</v>
      </c>
      <c r="D331" s="10" t="s">
        <v>32</v>
      </c>
      <c r="E331" s="4"/>
      <c r="F331" s="4"/>
      <c r="G331" s="4" t="s">
        <v>763</v>
      </c>
      <c r="H331" s="4" t="s">
        <v>764</v>
      </c>
      <c r="I331" s="4"/>
      <c r="J331" s="4"/>
      <c r="K331" s="4" t="s">
        <v>633</v>
      </c>
      <c r="L331" s="4" t="s">
        <v>24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 t="s">
        <v>773</v>
      </c>
      <c r="B332" s="4" t="s">
        <v>774</v>
      </c>
      <c r="C332" s="9">
        <v>1639</v>
      </c>
      <c r="D332" s="10" t="s">
        <v>27</v>
      </c>
      <c r="E332" s="4"/>
      <c r="F332" s="4"/>
      <c r="G332" s="4" t="s">
        <v>725</v>
      </c>
      <c r="H332" s="4" t="s">
        <v>137</v>
      </c>
      <c r="I332" s="4"/>
      <c r="J332" s="4" t="s">
        <v>310</v>
      </c>
      <c r="K332" s="4" t="s">
        <v>311</v>
      </c>
      <c r="L332" s="4" t="s">
        <v>24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 t="s">
        <v>775</v>
      </c>
      <c r="C333" s="13">
        <v>5865.5</v>
      </c>
      <c r="D333" s="10" t="s">
        <v>32</v>
      </c>
      <c r="E333" s="4"/>
      <c r="F333" s="4"/>
      <c r="G333" s="4" t="s">
        <v>725</v>
      </c>
      <c r="H333" s="4" t="s">
        <v>137</v>
      </c>
      <c r="I333" s="4"/>
      <c r="J333" s="4" t="s">
        <v>310</v>
      </c>
      <c r="K333" s="4" t="s">
        <v>311</v>
      </c>
      <c r="L333" s="4" t="s">
        <v>24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 t="s">
        <v>776</v>
      </c>
      <c r="B334" s="4" t="s">
        <v>777</v>
      </c>
      <c r="C334" s="9">
        <v>7677.8469999999998</v>
      </c>
      <c r="D334" s="10" t="s">
        <v>27</v>
      </c>
      <c r="E334" s="4"/>
      <c r="F334" s="4"/>
      <c r="G334" s="4" t="s">
        <v>725</v>
      </c>
      <c r="H334" s="4" t="s">
        <v>137</v>
      </c>
      <c r="I334" s="4"/>
      <c r="J334" s="4" t="s">
        <v>310</v>
      </c>
      <c r="K334" s="4" t="s">
        <v>311</v>
      </c>
      <c r="L334" s="135" t="s">
        <v>730</v>
      </c>
      <c r="M334" s="13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 t="s">
        <v>778</v>
      </c>
      <c r="B335" s="4" t="s">
        <v>779</v>
      </c>
      <c r="C335" s="9">
        <v>6.5302340000000001</v>
      </c>
      <c r="D335" s="10" t="s">
        <v>27</v>
      </c>
      <c r="E335" s="4"/>
      <c r="F335" s="4"/>
      <c r="G335" s="4" t="s">
        <v>725</v>
      </c>
      <c r="H335" s="4" t="s">
        <v>137</v>
      </c>
      <c r="I335" s="4"/>
      <c r="J335" s="4" t="s">
        <v>195</v>
      </c>
      <c r="K335" s="4" t="s">
        <v>196</v>
      </c>
      <c r="L335" s="4" t="s">
        <v>24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 t="s">
        <v>780</v>
      </c>
      <c r="C336" s="13">
        <v>3187</v>
      </c>
      <c r="D336" s="10" t="s">
        <v>32</v>
      </c>
      <c r="E336" s="4"/>
      <c r="F336" s="4"/>
      <c r="G336" s="4" t="s">
        <v>725</v>
      </c>
      <c r="H336" s="4" t="s">
        <v>137</v>
      </c>
      <c r="I336" s="4"/>
      <c r="J336" s="4" t="s">
        <v>497</v>
      </c>
      <c r="K336" s="4" t="s">
        <v>766</v>
      </c>
      <c r="L336" s="4" t="s">
        <v>24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 t="s">
        <v>781</v>
      </c>
      <c r="B337" s="4" t="s">
        <v>782</v>
      </c>
      <c r="C337" s="9">
        <v>4521.1764709999998</v>
      </c>
      <c r="D337" s="10" t="s">
        <v>32</v>
      </c>
      <c r="E337" s="4"/>
      <c r="F337" s="4"/>
      <c r="G337" s="4" t="s">
        <v>725</v>
      </c>
      <c r="H337" s="4" t="s">
        <v>137</v>
      </c>
      <c r="I337" s="4"/>
      <c r="J337" s="4" t="s">
        <v>195</v>
      </c>
      <c r="K337" s="4" t="s">
        <v>196</v>
      </c>
      <c r="L337" s="4" t="s">
        <v>24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 t="s">
        <v>783</v>
      </c>
      <c r="B338" s="4" t="s">
        <v>784</v>
      </c>
      <c r="C338" s="9">
        <v>7650</v>
      </c>
      <c r="D338" s="10" t="s">
        <v>32</v>
      </c>
      <c r="E338" s="4"/>
      <c r="F338" s="4"/>
      <c r="G338" s="4" t="s">
        <v>725</v>
      </c>
      <c r="H338" s="4" t="s">
        <v>137</v>
      </c>
      <c r="I338" s="4"/>
      <c r="J338" s="4" t="s">
        <v>310</v>
      </c>
      <c r="K338" s="4" t="s">
        <v>311</v>
      </c>
      <c r="L338" s="4" t="s">
        <v>24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 t="s">
        <v>785</v>
      </c>
      <c r="B339" s="4" t="s">
        <v>786</v>
      </c>
      <c r="C339" s="9">
        <v>6273.8649999999998</v>
      </c>
      <c r="D339" s="10" t="s">
        <v>27</v>
      </c>
      <c r="E339" s="4"/>
      <c r="F339" s="4"/>
      <c r="G339" s="4" t="s">
        <v>725</v>
      </c>
      <c r="H339" s="4" t="s">
        <v>137</v>
      </c>
      <c r="I339" s="4"/>
      <c r="J339" s="4" t="s">
        <v>310</v>
      </c>
      <c r="K339" s="4" t="s">
        <v>311</v>
      </c>
      <c r="L339" s="135" t="s">
        <v>787</v>
      </c>
      <c r="M339" s="13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 t="s">
        <v>788</v>
      </c>
      <c r="B340" s="4" t="s">
        <v>789</v>
      </c>
      <c r="C340" s="9">
        <v>51080</v>
      </c>
      <c r="D340" s="10" t="s">
        <v>32</v>
      </c>
      <c r="E340" s="4"/>
      <c r="F340" s="4"/>
      <c r="G340" s="4" t="s">
        <v>725</v>
      </c>
      <c r="H340" s="4" t="s">
        <v>137</v>
      </c>
      <c r="I340" s="4"/>
      <c r="J340" s="4" t="s">
        <v>310</v>
      </c>
      <c r="K340" s="4" t="s">
        <v>311</v>
      </c>
      <c r="L340" s="4" t="s">
        <v>24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 t="s">
        <v>790</v>
      </c>
      <c r="B341" s="4" t="s">
        <v>791</v>
      </c>
      <c r="C341" s="9">
        <v>39525</v>
      </c>
      <c r="D341" s="10" t="s">
        <v>32</v>
      </c>
      <c r="E341" s="4"/>
      <c r="F341" s="4"/>
      <c r="G341" s="4" t="s">
        <v>725</v>
      </c>
      <c r="H341" s="4" t="s">
        <v>137</v>
      </c>
      <c r="I341" s="4"/>
      <c r="J341" s="4" t="s">
        <v>310</v>
      </c>
      <c r="K341" s="4" t="s">
        <v>311</v>
      </c>
      <c r="L341" s="4" t="s">
        <v>24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 t="s">
        <v>792</v>
      </c>
      <c r="B342" s="4" t="s">
        <v>793</v>
      </c>
      <c r="C342" s="9">
        <v>5402.0349690000003</v>
      </c>
      <c r="D342" s="10" t="s">
        <v>32</v>
      </c>
      <c r="E342" s="4"/>
      <c r="F342" s="4"/>
      <c r="G342" s="4" t="s">
        <v>725</v>
      </c>
      <c r="H342" s="4" t="s">
        <v>137</v>
      </c>
      <c r="I342" s="4"/>
      <c r="J342" s="4" t="s">
        <v>75</v>
      </c>
      <c r="K342" s="4" t="s">
        <v>76</v>
      </c>
      <c r="L342" s="4" t="s">
        <v>24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 t="s">
        <v>794</v>
      </c>
      <c r="B343" s="4" t="s">
        <v>795</v>
      </c>
      <c r="C343" s="9">
        <v>3360</v>
      </c>
      <c r="D343" s="10" t="s">
        <v>27</v>
      </c>
      <c r="E343" s="4"/>
      <c r="F343" s="4"/>
      <c r="G343" s="4" t="s">
        <v>725</v>
      </c>
      <c r="H343" s="4" t="s">
        <v>137</v>
      </c>
      <c r="I343" s="4"/>
      <c r="J343" s="4" t="s">
        <v>138</v>
      </c>
      <c r="K343" s="4" t="s">
        <v>139</v>
      </c>
      <c r="L343" s="4" t="s">
        <v>24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 t="s">
        <v>796</v>
      </c>
      <c r="B344" s="4" t="s">
        <v>797</v>
      </c>
      <c r="C344" s="9">
        <v>7299</v>
      </c>
      <c r="D344" s="10" t="s">
        <v>32</v>
      </c>
      <c r="E344" s="4"/>
      <c r="F344" s="4"/>
      <c r="G344" s="4" t="s">
        <v>725</v>
      </c>
      <c r="H344" s="4" t="s">
        <v>137</v>
      </c>
      <c r="I344" s="4"/>
      <c r="J344" s="4" t="s">
        <v>310</v>
      </c>
      <c r="K344" s="4" t="s">
        <v>311</v>
      </c>
      <c r="L344" s="4" t="s">
        <v>24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 t="s">
        <v>798</v>
      </c>
      <c r="C345" s="4">
        <v>10688</v>
      </c>
      <c r="D345" s="10" t="s">
        <v>32</v>
      </c>
      <c r="E345" s="4"/>
      <c r="F345" s="4"/>
      <c r="G345" s="4" t="s">
        <v>725</v>
      </c>
      <c r="H345" s="4" t="s">
        <v>137</v>
      </c>
      <c r="I345" s="4"/>
      <c r="J345" s="4" t="s">
        <v>310</v>
      </c>
      <c r="K345" s="4" t="s">
        <v>311</v>
      </c>
      <c r="L345" s="4" t="s">
        <v>24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6">
      <c r="A346" s="4"/>
      <c r="B346" s="4" t="s">
        <v>799</v>
      </c>
      <c r="C346" s="4">
        <v>10688</v>
      </c>
      <c r="D346" s="10" t="s">
        <v>32</v>
      </c>
      <c r="E346" s="4"/>
      <c r="F346" s="4"/>
      <c r="G346" s="4" t="s">
        <v>725</v>
      </c>
      <c r="H346" s="4" t="s">
        <v>137</v>
      </c>
      <c r="I346" s="4"/>
      <c r="J346" s="4" t="s">
        <v>310</v>
      </c>
      <c r="K346" s="4" t="s">
        <v>311</v>
      </c>
      <c r="L346" s="4" t="s">
        <v>24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6">
      <c r="A347" s="4" t="s">
        <v>800</v>
      </c>
      <c r="B347" s="4" t="s">
        <v>801</v>
      </c>
      <c r="C347" s="9">
        <v>6705</v>
      </c>
      <c r="D347" s="10" t="s">
        <v>32</v>
      </c>
      <c r="E347" s="4"/>
      <c r="F347" s="4"/>
      <c r="G347" s="4"/>
      <c r="H347" s="4" t="s">
        <v>140</v>
      </c>
      <c r="I347" s="4"/>
      <c r="J347" s="4" t="s">
        <v>33</v>
      </c>
      <c r="K347" s="4" t="s">
        <v>34</v>
      </c>
      <c r="L347" s="4" t="s">
        <v>24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 t="s">
        <v>802</v>
      </c>
      <c r="B348" s="4" t="s">
        <v>803</v>
      </c>
      <c r="C348" s="9">
        <v>10900</v>
      </c>
      <c r="D348" s="10" t="s">
        <v>32</v>
      </c>
      <c r="E348" s="4"/>
      <c r="F348" s="4"/>
      <c r="G348" s="4"/>
      <c r="H348" s="4" t="s">
        <v>140</v>
      </c>
      <c r="I348" s="4"/>
      <c r="J348" s="4" t="s">
        <v>33</v>
      </c>
      <c r="K348" s="4" t="s">
        <v>34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 t="s">
        <v>804</v>
      </c>
      <c r="B349" s="4" t="s">
        <v>805</v>
      </c>
      <c r="C349" s="58">
        <v>2500</v>
      </c>
      <c r="D349" s="10" t="s">
        <v>32</v>
      </c>
      <c r="E349" s="4"/>
      <c r="F349" s="4"/>
      <c r="G349" s="4" t="s">
        <v>806</v>
      </c>
      <c r="H349" s="4" t="s">
        <v>764</v>
      </c>
      <c r="I349" s="4"/>
      <c r="J349" s="4" t="s">
        <v>33</v>
      </c>
      <c r="K349" s="4" t="s">
        <v>34</v>
      </c>
      <c r="L349" s="4" t="s">
        <v>24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 t="s">
        <v>807</v>
      </c>
      <c r="C350" s="58">
        <v>500</v>
      </c>
      <c r="D350" s="10" t="s">
        <v>27</v>
      </c>
      <c r="E350" s="4"/>
      <c r="F350" s="4"/>
      <c r="G350" s="4" t="s">
        <v>806</v>
      </c>
      <c r="H350" s="4" t="s">
        <v>764</v>
      </c>
      <c r="I350" s="4"/>
      <c r="J350" s="4" t="s">
        <v>808</v>
      </c>
      <c r="K350" s="4" t="s">
        <v>809</v>
      </c>
      <c r="L350" s="4" t="s">
        <v>24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 t="s">
        <v>810</v>
      </c>
      <c r="C351" s="58">
        <v>500</v>
      </c>
      <c r="D351" s="10" t="s">
        <v>27</v>
      </c>
      <c r="E351" s="4"/>
      <c r="F351" s="4"/>
      <c r="G351" s="4" t="s">
        <v>806</v>
      </c>
      <c r="H351" s="4" t="s">
        <v>764</v>
      </c>
      <c r="I351" s="4"/>
      <c r="J351" s="4" t="s">
        <v>808</v>
      </c>
      <c r="K351" s="4" t="s">
        <v>809</v>
      </c>
      <c r="L351" s="4" t="s">
        <v>24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 t="s">
        <v>811</v>
      </c>
      <c r="C352" s="58">
        <v>611</v>
      </c>
      <c r="D352" s="10" t="s">
        <v>27</v>
      </c>
      <c r="E352" s="4"/>
      <c r="F352" s="4"/>
      <c r="G352" s="4" t="s">
        <v>806</v>
      </c>
      <c r="H352" s="4" t="s">
        <v>764</v>
      </c>
      <c r="I352" s="4"/>
      <c r="J352" s="4" t="s">
        <v>808</v>
      </c>
      <c r="K352" s="4" t="s">
        <v>809</v>
      </c>
      <c r="L352" s="4" t="s">
        <v>24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 t="s">
        <v>812</v>
      </c>
      <c r="B353" s="4" t="s">
        <v>813</v>
      </c>
      <c r="C353" s="13">
        <v>148</v>
      </c>
      <c r="D353" s="10" t="s">
        <v>27</v>
      </c>
      <c r="E353" s="4"/>
      <c r="F353" s="4"/>
      <c r="G353" s="4" t="s">
        <v>806</v>
      </c>
      <c r="H353" s="4" t="s">
        <v>764</v>
      </c>
      <c r="I353" s="4"/>
      <c r="J353" s="4" t="s">
        <v>808</v>
      </c>
      <c r="K353" s="4" t="s">
        <v>809</v>
      </c>
      <c r="L353" s="4" t="s">
        <v>24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 t="s">
        <v>814</v>
      </c>
      <c r="B354" s="4" t="s">
        <v>815</v>
      </c>
      <c r="C354" s="13">
        <v>213</v>
      </c>
      <c r="D354" s="10" t="s">
        <v>194</v>
      </c>
      <c r="E354" s="4"/>
      <c r="F354" s="4"/>
      <c r="G354" s="4" t="s">
        <v>806</v>
      </c>
      <c r="H354" s="4" t="s">
        <v>764</v>
      </c>
      <c r="I354" s="4"/>
      <c r="J354" s="4" t="s">
        <v>808</v>
      </c>
      <c r="K354" s="4" t="s">
        <v>809</v>
      </c>
      <c r="L354" s="4" t="s">
        <v>24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 t="s">
        <v>816</v>
      </c>
      <c r="B355" s="4" t="s">
        <v>817</v>
      </c>
      <c r="C355" s="13">
        <v>1000</v>
      </c>
      <c r="D355" s="10" t="s">
        <v>32</v>
      </c>
      <c r="E355" s="4"/>
      <c r="F355" s="4"/>
      <c r="G355" s="4" t="s">
        <v>806</v>
      </c>
      <c r="H355" s="4" t="s">
        <v>764</v>
      </c>
      <c r="I355" s="4"/>
      <c r="J355" s="4" t="s">
        <v>632</v>
      </c>
      <c r="K355" s="4" t="s">
        <v>633</v>
      </c>
      <c r="L355" s="4" t="s">
        <v>24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 t="s">
        <v>818</v>
      </c>
      <c r="B356" s="4" t="s">
        <v>819</v>
      </c>
      <c r="C356" s="13">
        <v>1500</v>
      </c>
      <c r="D356" s="10" t="s">
        <v>32</v>
      </c>
      <c r="E356" s="4"/>
      <c r="F356" s="4"/>
      <c r="G356" s="4" t="s">
        <v>806</v>
      </c>
      <c r="H356" s="4" t="s">
        <v>764</v>
      </c>
      <c r="I356" s="4"/>
      <c r="J356" s="4" t="s">
        <v>632</v>
      </c>
      <c r="K356" s="4" t="s">
        <v>633</v>
      </c>
      <c r="L356" s="4" t="s">
        <v>24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 t="s">
        <v>820</v>
      </c>
      <c r="B357" s="4" t="s">
        <v>821</v>
      </c>
      <c r="C357" s="13">
        <v>1500</v>
      </c>
      <c r="D357" s="10" t="s">
        <v>42</v>
      </c>
      <c r="E357" s="4"/>
      <c r="F357" s="4"/>
      <c r="G357" s="4" t="s">
        <v>806</v>
      </c>
      <c r="H357" s="4" t="s">
        <v>764</v>
      </c>
      <c r="I357" s="4"/>
      <c r="J357" s="4" t="s">
        <v>632</v>
      </c>
      <c r="K357" s="4" t="s">
        <v>633</v>
      </c>
      <c r="L357" s="4" t="s">
        <v>24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 t="s">
        <v>822</v>
      </c>
      <c r="B358" s="4" t="s">
        <v>823</v>
      </c>
      <c r="C358" s="13">
        <v>258</v>
      </c>
      <c r="D358" s="10" t="s">
        <v>27</v>
      </c>
      <c r="E358" s="4"/>
      <c r="F358" s="4"/>
      <c r="G358" s="4" t="s">
        <v>806</v>
      </c>
      <c r="H358" s="4" t="s">
        <v>764</v>
      </c>
      <c r="I358" s="4"/>
      <c r="J358" s="4" t="s">
        <v>824</v>
      </c>
      <c r="K358" s="4" t="s">
        <v>825</v>
      </c>
      <c r="L358" s="4" t="s">
        <v>24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 t="s">
        <v>826</v>
      </c>
      <c r="B359" s="4" t="s">
        <v>827</v>
      </c>
      <c r="C359" s="13">
        <v>800</v>
      </c>
      <c r="D359" s="10" t="s">
        <v>27</v>
      </c>
      <c r="E359" s="4"/>
      <c r="F359" s="4"/>
      <c r="G359" s="4" t="s">
        <v>806</v>
      </c>
      <c r="H359" s="4" t="s">
        <v>764</v>
      </c>
      <c r="I359" s="4"/>
      <c r="J359" s="4" t="s">
        <v>828</v>
      </c>
      <c r="K359" s="4" t="s">
        <v>829</v>
      </c>
      <c r="L359" s="4" t="s">
        <v>24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 t="s">
        <v>830</v>
      </c>
      <c r="B360" s="4" t="s">
        <v>831</v>
      </c>
      <c r="C360" s="13">
        <v>800</v>
      </c>
      <c r="D360" s="10" t="s">
        <v>27</v>
      </c>
      <c r="E360" s="4"/>
      <c r="F360" s="4"/>
      <c r="G360" s="4" t="s">
        <v>806</v>
      </c>
      <c r="H360" s="4" t="s">
        <v>764</v>
      </c>
      <c r="I360" s="4"/>
      <c r="J360" s="4" t="s">
        <v>828</v>
      </c>
      <c r="K360" s="4" t="s">
        <v>829</v>
      </c>
      <c r="L360" s="4" t="s">
        <v>24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 t="s">
        <v>832</v>
      </c>
      <c r="B361" s="4" t="s">
        <v>833</v>
      </c>
      <c r="C361" s="13">
        <v>200</v>
      </c>
      <c r="D361" s="10" t="s">
        <v>27</v>
      </c>
      <c r="E361" s="4"/>
      <c r="F361" s="4"/>
      <c r="G361" s="4" t="s">
        <v>806</v>
      </c>
      <c r="H361" s="4" t="s">
        <v>764</v>
      </c>
      <c r="I361" s="4"/>
      <c r="J361" s="4" t="s">
        <v>824</v>
      </c>
      <c r="K361" s="4" t="s">
        <v>825</v>
      </c>
      <c r="L361" s="4" t="s">
        <v>24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 t="s">
        <v>834</v>
      </c>
      <c r="B362" s="4" t="s">
        <v>835</v>
      </c>
      <c r="C362" s="13">
        <v>1000</v>
      </c>
      <c r="D362" s="10" t="s">
        <v>27</v>
      </c>
      <c r="E362" s="4"/>
      <c r="F362" s="4"/>
      <c r="G362" s="4" t="s">
        <v>806</v>
      </c>
      <c r="H362" s="4" t="s">
        <v>764</v>
      </c>
      <c r="I362" s="4"/>
      <c r="J362" s="4" t="s">
        <v>632</v>
      </c>
      <c r="K362" s="4" t="s">
        <v>633</v>
      </c>
      <c r="L362" s="4" t="s">
        <v>24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 t="s">
        <v>836</v>
      </c>
      <c r="B363" s="4" t="s">
        <v>837</v>
      </c>
      <c r="C363" s="13">
        <v>1000</v>
      </c>
      <c r="D363" s="10" t="s">
        <v>27</v>
      </c>
      <c r="E363" s="4"/>
      <c r="F363" s="4"/>
      <c r="G363" s="4" t="s">
        <v>806</v>
      </c>
      <c r="H363" s="4" t="s">
        <v>764</v>
      </c>
      <c r="I363" s="4"/>
      <c r="J363" s="4" t="s">
        <v>632</v>
      </c>
      <c r="K363" s="4" t="s">
        <v>633</v>
      </c>
      <c r="L363" s="4" t="s">
        <v>24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 t="s">
        <v>838</v>
      </c>
      <c r="C364" s="58">
        <v>6000</v>
      </c>
      <c r="D364" s="10" t="s">
        <v>27</v>
      </c>
      <c r="E364" s="4"/>
      <c r="F364" s="4"/>
      <c r="G364" s="4" t="s">
        <v>763</v>
      </c>
      <c r="H364" s="4" t="s">
        <v>764</v>
      </c>
      <c r="I364" s="4"/>
      <c r="J364" s="4"/>
      <c r="K364" s="4" t="s">
        <v>633</v>
      </c>
      <c r="L364" s="4" t="s">
        <v>24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 t="s">
        <v>839</v>
      </c>
      <c r="C365" s="58">
        <v>6000</v>
      </c>
      <c r="D365" s="10" t="s">
        <v>27</v>
      </c>
      <c r="E365" s="4"/>
      <c r="F365" s="4"/>
      <c r="G365" s="4" t="s">
        <v>763</v>
      </c>
      <c r="H365" s="4" t="s">
        <v>764</v>
      </c>
      <c r="I365" s="4"/>
      <c r="J365" s="4"/>
      <c r="K365" s="4" t="s">
        <v>633</v>
      </c>
      <c r="L365" s="4" t="s">
        <v>24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 t="s">
        <v>840</v>
      </c>
      <c r="B366" s="4" t="s">
        <v>841</v>
      </c>
      <c r="C366" s="13">
        <v>1000</v>
      </c>
      <c r="D366" s="10" t="s">
        <v>27</v>
      </c>
      <c r="E366" s="4"/>
      <c r="F366" s="4"/>
      <c r="G366" s="4" t="s">
        <v>806</v>
      </c>
      <c r="H366" s="4" t="s">
        <v>764</v>
      </c>
      <c r="I366" s="4"/>
      <c r="J366" s="4" t="s">
        <v>632</v>
      </c>
      <c r="K366" s="4" t="s">
        <v>633</v>
      </c>
      <c r="L366" s="4" t="s">
        <v>24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 t="s">
        <v>842</v>
      </c>
      <c r="C367" s="58">
        <v>6000</v>
      </c>
      <c r="D367" s="10" t="s">
        <v>27</v>
      </c>
      <c r="E367" s="4"/>
      <c r="F367" s="4"/>
      <c r="G367" s="4" t="s">
        <v>763</v>
      </c>
      <c r="H367" s="4" t="s">
        <v>764</v>
      </c>
      <c r="I367" s="4"/>
      <c r="J367" s="4"/>
      <c r="K367" s="4" t="s">
        <v>633</v>
      </c>
      <c r="L367" s="4" t="s">
        <v>24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 t="s">
        <v>842</v>
      </c>
      <c r="C368" s="58">
        <v>9000</v>
      </c>
      <c r="D368" s="10" t="s">
        <v>27</v>
      </c>
      <c r="E368" s="4"/>
      <c r="F368" s="4"/>
      <c r="G368" s="4" t="s">
        <v>763</v>
      </c>
      <c r="H368" s="4" t="s">
        <v>764</v>
      </c>
      <c r="I368" s="4"/>
      <c r="J368" s="4"/>
      <c r="K368" s="4" t="s">
        <v>633</v>
      </c>
      <c r="L368" s="4" t="s">
        <v>24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 t="s">
        <v>843</v>
      </c>
      <c r="B369" s="4" t="s">
        <v>844</v>
      </c>
      <c r="C369" s="13">
        <v>1000</v>
      </c>
      <c r="D369" s="10" t="s">
        <v>27</v>
      </c>
      <c r="E369" s="4"/>
      <c r="F369" s="4"/>
      <c r="G369" s="4" t="s">
        <v>806</v>
      </c>
      <c r="H369" s="4" t="s">
        <v>764</v>
      </c>
      <c r="I369" s="4"/>
      <c r="J369" s="4" t="s">
        <v>632</v>
      </c>
      <c r="K369" s="4" t="s">
        <v>633</v>
      </c>
      <c r="L369" s="4" t="s">
        <v>24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 t="s">
        <v>845</v>
      </c>
      <c r="C370" s="58">
        <v>6000</v>
      </c>
      <c r="D370" s="10" t="s">
        <v>27</v>
      </c>
      <c r="E370" s="4"/>
      <c r="F370" s="4"/>
      <c r="G370" s="4" t="s">
        <v>763</v>
      </c>
      <c r="H370" s="4" t="s">
        <v>764</v>
      </c>
      <c r="I370" s="4"/>
      <c r="J370" s="4"/>
      <c r="K370" s="4" t="s">
        <v>633</v>
      </c>
      <c r="L370" s="4" t="s">
        <v>24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 t="s">
        <v>846</v>
      </c>
      <c r="C371" s="58">
        <v>6000</v>
      </c>
      <c r="D371" s="10" t="s">
        <v>27</v>
      </c>
      <c r="E371" s="4"/>
      <c r="F371" s="4"/>
      <c r="G371" s="4" t="s">
        <v>763</v>
      </c>
      <c r="H371" s="4" t="s">
        <v>764</v>
      </c>
      <c r="I371" s="4"/>
      <c r="J371" s="4"/>
      <c r="K371" s="4" t="s">
        <v>633</v>
      </c>
      <c r="L371" s="4" t="s">
        <v>24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 t="s">
        <v>847</v>
      </c>
      <c r="B372" s="4" t="s">
        <v>848</v>
      </c>
      <c r="C372" s="13">
        <v>121</v>
      </c>
      <c r="D372" s="10" t="s">
        <v>27</v>
      </c>
      <c r="E372" s="4"/>
      <c r="F372" s="4"/>
      <c r="G372" s="4" t="s">
        <v>806</v>
      </c>
      <c r="H372" s="4" t="s">
        <v>764</v>
      </c>
      <c r="I372" s="4"/>
      <c r="J372" s="4" t="s">
        <v>632</v>
      </c>
      <c r="K372" s="4" t="s">
        <v>633</v>
      </c>
      <c r="L372" s="4" t="s">
        <v>24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 t="s">
        <v>849</v>
      </c>
      <c r="B373" s="4" t="s">
        <v>850</v>
      </c>
      <c r="C373" s="13">
        <v>649</v>
      </c>
      <c r="D373" s="10" t="s">
        <v>194</v>
      </c>
      <c r="E373" s="4"/>
      <c r="F373" s="4"/>
      <c r="G373" s="4" t="s">
        <v>806</v>
      </c>
      <c r="H373" s="4" t="s">
        <v>764</v>
      </c>
      <c r="I373" s="4"/>
      <c r="J373" s="4" t="s">
        <v>808</v>
      </c>
      <c r="K373" s="4" t="s">
        <v>809</v>
      </c>
      <c r="L373" s="4" t="s">
        <v>24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 t="s">
        <v>851</v>
      </c>
      <c r="B374" s="4" t="s">
        <v>852</v>
      </c>
      <c r="C374" s="13">
        <v>1060</v>
      </c>
      <c r="D374" s="10" t="s">
        <v>27</v>
      </c>
      <c r="E374" s="4"/>
      <c r="F374" s="4"/>
      <c r="G374" s="4" t="s">
        <v>806</v>
      </c>
      <c r="H374" s="4" t="s">
        <v>764</v>
      </c>
      <c r="I374" s="4"/>
      <c r="J374" s="4" t="s">
        <v>824</v>
      </c>
      <c r="K374" s="4" t="s">
        <v>825</v>
      </c>
      <c r="L374" s="4" t="s">
        <v>24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 t="s">
        <v>853</v>
      </c>
      <c r="B375" s="4" t="s">
        <v>854</v>
      </c>
      <c r="C375" s="13">
        <v>700</v>
      </c>
      <c r="D375" s="10" t="s">
        <v>32</v>
      </c>
      <c r="E375" s="4"/>
      <c r="F375" s="4"/>
      <c r="G375" s="4" t="s">
        <v>806</v>
      </c>
      <c r="H375" s="4" t="s">
        <v>764</v>
      </c>
      <c r="I375" s="4"/>
      <c r="J375" s="4" t="s">
        <v>230</v>
      </c>
      <c r="K375" s="4" t="s">
        <v>231</v>
      </c>
      <c r="L375" s="4" t="s">
        <v>24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 t="s">
        <v>855</v>
      </c>
      <c r="B376" s="4" t="s">
        <v>856</v>
      </c>
      <c r="C376" s="13">
        <v>1000</v>
      </c>
      <c r="D376" s="10" t="s">
        <v>27</v>
      </c>
      <c r="E376" s="4"/>
      <c r="F376" s="4"/>
      <c r="G376" s="4" t="s">
        <v>806</v>
      </c>
      <c r="H376" s="4" t="s">
        <v>764</v>
      </c>
      <c r="I376" s="4"/>
      <c r="J376" s="4" t="s">
        <v>824</v>
      </c>
      <c r="K376" s="4" t="s">
        <v>825</v>
      </c>
      <c r="L376" s="4" t="s">
        <v>24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 t="s">
        <v>857</v>
      </c>
      <c r="B377" s="4" t="s">
        <v>858</v>
      </c>
      <c r="C377" s="13">
        <v>1000</v>
      </c>
      <c r="D377" s="10" t="s">
        <v>27</v>
      </c>
      <c r="E377" s="4"/>
      <c r="F377" s="4"/>
      <c r="G377" s="4" t="s">
        <v>806</v>
      </c>
      <c r="H377" s="4" t="s">
        <v>764</v>
      </c>
      <c r="I377" s="4"/>
      <c r="J377" s="4" t="s">
        <v>824</v>
      </c>
      <c r="K377" s="4" t="s">
        <v>825</v>
      </c>
      <c r="L377" s="4" t="s">
        <v>24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 t="s">
        <v>859</v>
      </c>
      <c r="B378" s="4" t="s">
        <v>860</v>
      </c>
      <c r="C378" s="13">
        <v>989</v>
      </c>
      <c r="D378" s="10" t="s">
        <v>27</v>
      </c>
      <c r="E378" s="4"/>
      <c r="F378" s="4"/>
      <c r="G378" s="4" t="s">
        <v>806</v>
      </c>
      <c r="H378" s="4" t="s">
        <v>764</v>
      </c>
      <c r="I378" s="4"/>
      <c r="J378" s="4" t="s">
        <v>824</v>
      </c>
      <c r="K378" s="4" t="s">
        <v>825</v>
      </c>
      <c r="L378" s="4" t="s">
        <v>24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 t="s">
        <v>861</v>
      </c>
      <c r="B379" s="4" t="s">
        <v>862</v>
      </c>
      <c r="C379" s="13">
        <v>484</v>
      </c>
      <c r="D379" s="10" t="s">
        <v>27</v>
      </c>
      <c r="E379" s="4"/>
      <c r="F379" s="4"/>
      <c r="G379" s="4" t="s">
        <v>806</v>
      </c>
      <c r="H379" s="4" t="s">
        <v>764</v>
      </c>
      <c r="I379" s="4"/>
      <c r="J379" s="4" t="s">
        <v>808</v>
      </c>
      <c r="K379" s="4" t="s">
        <v>809</v>
      </c>
      <c r="L379" s="4" t="s">
        <v>24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 t="s">
        <v>863</v>
      </c>
      <c r="B380" s="4" t="s">
        <v>864</v>
      </c>
      <c r="C380" s="13">
        <v>500</v>
      </c>
      <c r="D380" s="10" t="s">
        <v>27</v>
      </c>
      <c r="E380" s="4"/>
      <c r="F380" s="4"/>
      <c r="G380" s="4" t="s">
        <v>806</v>
      </c>
      <c r="H380" s="4" t="s">
        <v>764</v>
      </c>
      <c r="I380" s="4"/>
      <c r="J380" s="4" t="s">
        <v>808</v>
      </c>
      <c r="K380" s="4" t="s">
        <v>809</v>
      </c>
      <c r="L380" s="4" t="s">
        <v>24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 t="s">
        <v>865</v>
      </c>
      <c r="B381" s="4" t="s">
        <v>866</v>
      </c>
      <c r="C381" s="58">
        <v>250</v>
      </c>
      <c r="D381" s="10" t="s">
        <v>27</v>
      </c>
      <c r="E381" s="4"/>
      <c r="F381" s="4"/>
      <c r="G381" s="4" t="s">
        <v>806</v>
      </c>
      <c r="H381" s="4" t="s">
        <v>764</v>
      </c>
      <c r="I381" s="4"/>
      <c r="J381" s="4" t="s">
        <v>867</v>
      </c>
      <c r="K381" s="4" t="s">
        <v>868</v>
      </c>
      <c r="L381" s="4" t="s">
        <v>24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 t="s">
        <v>869</v>
      </c>
      <c r="B382" s="4" t="s">
        <v>870</v>
      </c>
      <c r="C382" s="13">
        <v>166.19833749</v>
      </c>
      <c r="D382" s="10" t="s">
        <v>27</v>
      </c>
      <c r="E382" s="4"/>
      <c r="F382" s="4"/>
      <c r="G382" s="4" t="s">
        <v>806</v>
      </c>
      <c r="H382" s="4" t="s">
        <v>764</v>
      </c>
      <c r="I382" s="4"/>
      <c r="J382" s="4" t="s">
        <v>808</v>
      </c>
      <c r="K382" s="4" t="s">
        <v>809</v>
      </c>
      <c r="L382" s="4" t="s">
        <v>24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 t="s">
        <v>871</v>
      </c>
      <c r="B383" s="4" t="s">
        <v>872</v>
      </c>
      <c r="C383" s="13">
        <v>650</v>
      </c>
      <c r="D383" s="10" t="s">
        <v>27</v>
      </c>
      <c r="E383" s="4"/>
      <c r="F383" s="4"/>
      <c r="G383" s="4" t="s">
        <v>806</v>
      </c>
      <c r="H383" s="4" t="s">
        <v>764</v>
      </c>
      <c r="I383" s="4"/>
      <c r="J383" s="4" t="s">
        <v>808</v>
      </c>
      <c r="K383" s="4" t="s">
        <v>809</v>
      </c>
      <c r="L383" s="4" t="s">
        <v>24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 t="s">
        <v>873</v>
      </c>
      <c r="B384" s="4" t="s">
        <v>874</v>
      </c>
      <c r="C384" s="13">
        <v>166</v>
      </c>
      <c r="D384" s="10" t="s">
        <v>27</v>
      </c>
      <c r="E384" s="4"/>
      <c r="F384" s="4"/>
      <c r="G384" s="4" t="s">
        <v>806</v>
      </c>
      <c r="H384" s="4" t="s">
        <v>764</v>
      </c>
      <c r="I384" s="4"/>
      <c r="J384" s="4" t="s">
        <v>808</v>
      </c>
      <c r="K384" s="4" t="s">
        <v>809</v>
      </c>
      <c r="L384" s="4" t="s">
        <v>24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 t="s">
        <v>875</v>
      </c>
      <c r="B385" s="4" t="s">
        <v>876</v>
      </c>
      <c r="C385" s="66">
        <v>1874</v>
      </c>
      <c r="D385" s="10" t="s">
        <v>27</v>
      </c>
      <c r="E385" s="4"/>
      <c r="F385" s="4"/>
      <c r="G385" s="4" t="s">
        <v>806</v>
      </c>
      <c r="H385" s="4" t="s">
        <v>764</v>
      </c>
      <c r="I385" s="4"/>
      <c r="J385" s="4" t="s">
        <v>824</v>
      </c>
      <c r="K385" s="4" t="s">
        <v>825</v>
      </c>
      <c r="L385" s="4" t="s">
        <v>24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 t="s">
        <v>877</v>
      </c>
      <c r="B386" s="4" t="s">
        <v>878</v>
      </c>
      <c r="C386" s="13">
        <v>1500</v>
      </c>
      <c r="D386" s="10" t="s">
        <v>27</v>
      </c>
      <c r="E386" s="4"/>
      <c r="F386" s="4"/>
      <c r="G386" s="4" t="s">
        <v>806</v>
      </c>
      <c r="H386" s="4" t="s">
        <v>764</v>
      </c>
      <c r="I386" s="4"/>
      <c r="J386" s="4" t="s">
        <v>828</v>
      </c>
      <c r="K386" s="4" t="s">
        <v>829</v>
      </c>
      <c r="L386" s="4" t="s">
        <v>24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 t="s">
        <v>879</v>
      </c>
      <c r="B387" s="4" t="s">
        <v>880</v>
      </c>
      <c r="C387" s="13">
        <v>1000</v>
      </c>
      <c r="D387" s="10" t="s">
        <v>32</v>
      </c>
      <c r="E387" s="4"/>
      <c r="F387" s="4"/>
      <c r="G387" s="4" t="s">
        <v>806</v>
      </c>
      <c r="H387" s="4" t="s">
        <v>764</v>
      </c>
      <c r="I387" s="4"/>
      <c r="J387" s="4" t="s">
        <v>824</v>
      </c>
      <c r="K387" s="4" t="s">
        <v>825</v>
      </c>
      <c r="L387" s="4" t="s">
        <v>24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 t="s">
        <v>881</v>
      </c>
      <c r="B388" s="4" t="s">
        <v>882</v>
      </c>
      <c r="C388" s="13">
        <v>1200</v>
      </c>
      <c r="D388" s="10" t="s">
        <v>32</v>
      </c>
      <c r="E388" s="4"/>
      <c r="F388" s="4"/>
      <c r="G388" s="4" t="s">
        <v>806</v>
      </c>
      <c r="H388" s="4" t="s">
        <v>764</v>
      </c>
      <c r="I388" s="4"/>
      <c r="J388" s="4" t="s">
        <v>824</v>
      </c>
      <c r="K388" s="4" t="s">
        <v>825</v>
      </c>
      <c r="L388" s="4" t="s">
        <v>24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 t="s">
        <v>883</v>
      </c>
      <c r="C389" s="58">
        <v>2500</v>
      </c>
      <c r="D389" s="10" t="s">
        <v>32</v>
      </c>
      <c r="E389" s="4"/>
      <c r="F389" s="4"/>
      <c r="G389" s="4" t="s">
        <v>806</v>
      </c>
      <c r="H389" s="4" t="s">
        <v>764</v>
      </c>
      <c r="I389" s="4"/>
      <c r="J389" s="4" t="s">
        <v>33</v>
      </c>
      <c r="K389" s="4" t="s">
        <v>34</v>
      </c>
      <c r="L389" s="4" t="s">
        <v>24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 t="s">
        <v>884</v>
      </c>
      <c r="B390" s="4" t="s">
        <v>885</v>
      </c>
      <c r="C390" s="13">
        <v>851</v>
      </c>
      <c r="D390" s="10" t="s">
        <v>27</v>
      </c>
      <c r="E390" s="4"/>
      <c r="F390" s="4"/>
      <c r="G390" s="4" t="s">
        <v>806</v>
      </c>
      <c r="H390" s="4" t="s">
        <v>764</v>
      </c>
      <c r="I390" s="4"/>
      <c r="J390" s="4" t="s">
        <v>808</v>
      </c>
      <c r="K390" s="4" t="s">
        <v>809</v>
      </c>
      <c r="L390" s="4" t="s">
        <v>24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 t="s">
        <v>886</v>
      </c>
      <c r="B391" s="4" t="s">
        <v>887</v>
      </c>
      <c r="C391" s="13">
        <v>952</v>
      </c>
      <c r="D391" s="10" t="s">
        <v>27</v>
      </c>
      <c r="E391" s="4"/>
      <c r="F391" s="4"/>
      <c r="G391" s="4" t="s">
        <v>806</v>
      </c>
      <c r="H391" s="4" t="s">
        <v>764</v>
      </c>
      <c r="I391" s="4"/>
      <c r="J391" s="4" t="s">
        <v>808</v>
      </c>
      <c r="K391" s="4" t="s">
        <v>809</v>
      </c>
      <c r="L391" s="4" t="s">
        <v>24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 t="s">
        <v>888</v>
      </c>
      <c r="B392" s="4" t="s">
        <v>889</v>
      </c>
      <c r="C392" s="13">
        <v>2500</v>
      </c>
      <c r="D392" s="10" t="s">
        <v>27</v>
      </c>
      <c r="E392" s="4"/>
      <c r="F392" s="4"/>
      <c r="G392" s="4" t="s">
        <v>806</v>
      </c>
      <c r="H392" s="4" t="s">
        <v>764</v>
      </c>
      <c r="I392" s="4"/>
      <c r="J392" s="4" t="s">
        <v>828</v>
      </c>
      <c r="K392" s="4" t="s">
        <v>829</v>
      </c>
      <c r="L392" s="4" t="s">
        <v>24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 t="s">
        <v>890</v>
      </c>
      <c r="B393" s="4" t="s">
        <v>891</v>
      </c>
      <c r="C393" s="13">
        <v>2500</v>
      </c>
      <c r="D393" s="10" t="s">
        <v>32</v>
      </c>
      <c r="E393" s="4"/>
      <c r="F393" s="4"/>
      <c r="G393" s="4" t="s">
        <v>806</v>
      </c>
      <c r="H393" s="4" t="s">
        <v>764</v>
      </c>
      <c r="I393" s="4"/>
      <c r="J393" s="4" t="s">
        <v>632</v>
      </c>
      <c r="K393" s="4" t="s">
        <v>633</v>
      </c>
      <c r="L393" s="4" t="s">
        <v>24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 t="s">
        <v>892</v>
      </c>
      <c r="B394" s="4" t="s">
        <v>893</v>
      </c>
      <c r="C394" s="13">
        <v>2500</v>
      </c>
      <c r="D394" s="10" t="s">
        <v>37</v>
      </c>
      <c r="E394" s="4"/>
      <c r="F394" s="4"/>
      <c r="G394" s="4" t="s">
        <v>806</v>
      </c>
      <c r="H394" s="4" t="s">
        <v>764</v>
      </c>
      <c r="I394" s="4"/>
      <c r="J394" s="4" t="s">
        <v>632</v>
      </c>
      <c r="K394" s="4" t="s">
        <v>633</v>
      </c>
      <c r="L394" s="4" t="s">
        <v>24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 t="s">
        <v>894</v>
      </c>
      <c r="C395" s="58">
        <v>4000</v>
      </c>
      <c r="D395" s="10" t="s">
        <v>32</v>
      </c>
      <c r="E395" s="4"/>
      <c r="F395" s="4"/>
      <c r="G395" s="4" t="s">
        <v>895</v>
      </c>
      <c r="H395" s="4" t="s">
        <v>764</v>
      </c>
      <c r="I395" s="4"/>
      <c r="J395" s="4"/>
      <c r="K395" s="4" t="s">
        <v>633</v>
      </c>
      <c r="L395" s="4" t="s">
        <v>24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 t="s">
        <v>896</v>
      </c>
      <c r="B396" s="4" t="s">
        <v>897</v>
      </c>
      <c r="C396" s="67">
        <v>1315.67</v>
      </c>
      <c r="D396" s="10" t="s">
        <v>32</v>
      </c>
      <c r="E396" s="4"/>
      <c r="F396" s="4"/>
      <c r="G396" s="4" t="s">
        <v>806</v>
      </c>
      <c r="H396" s="4" t="s">
        <v>764</v>
      </c>
      <c r="I396" s="4"/>
      <c r="J396" s="4" t="s">
        <v>898</v>
      </c>
      <c r="K396" s="4" t="s">
        <v>899</v>
      </c>
      <c r="L396" s="4" t="s">
        <v>24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 t="s">
        <v>900</v>
      </c>
      <c r="B397" s="4" t="s">
        <v>901</v>
      </c>
      <c r="C397" s="13">
        <v>300</v>
      </c>
      <c r="D397" s="10" t="s">
        <v>37</v>
      </c>
      <c r="E397" s="4"/>
      <c r="F397" s="4"/>
      <c r="G397" s="4" t="s">
        <v>806</v>
      </c>
      <c r="H397" s="4" t="s">
        <v>764</v>
      </c>
      <c r="I397" s="4"/>
      <c r="J397" s="4" t="s">
        <v>824</v>
      </c>
      <c r="K397" s="4" t="s">
        <v>825</v>
      </c>
      <c r="L397" s="4" t="s">
        <v>24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 t="s">
        <v>902</v>
      </c>
      <c r="B398" s="4" t="s">
        <v>903</v>
      </c>
      <c r="C398" s="13">
        <v>300</v>
      </c>
      <c r="D398" s="10" t="s">
        <v>32</v>
      </c>
      <c r="E398" s="4"/>
      <c r="F398" s="4"/>
      <c r="G398" s="4" t="s">
        <v>806</v>
      </c>
      <c r="H398" s="4" t="s">
        <v>764</v>
      </c>
      <c r="I398" s="4"/>
      <c r="J398" s="4" t="s">
        <v>898</v>
      </c>
      <c r="K398" s="4" t="s">
        <v>899</v>
      </c>
      <c r="L398" s="4" t="s">
        <v>24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 t="s">
        <v>904</v>
      </c>
      <c r="B399" s="4" t="s">
        <v>905</v>
      </c>
      <c r="C399" s="13">
        <v>300</v>
      </c>
      <c r="D399" s="10" t="s">
        <v>27</v>
      </c>
      <c r="E399" s="4"/>
      <c r="F399" s="4"/>
      <c r="G399" s="4" t="s">
        <v>806</v>
      </c>
      <c r="H399" s="4" t="s">
        <v>764</v>
      </c>
      <c r="I399" s="4"/>
      <c r="J399" s="4" t="s">
        <v>828</v>
      </c>
      <c r="K399" s="4" t="s">
        <v>829</v>
      </c>
      <c r="L399" s="4" t="s">
        <v>24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 t="s">
        <v>906</v>
      </c>
      <c r="B400" s="4" t="s">
        <v>907</v>
      </c>
      <c r="C400" s="13">
        <v>500</v>
      </c>
      <c r="D400" s="10" t="s">
        <v>27</v>
      </c>
      <c r="E400" s="4"/>
      <c r="F400" s="4"/>
      <c r="G400" s="4" t="s">
        <v>806</v>
      </c>
      <c r="H400" s="4" t="s">
        <v>764</v>
      </c>
      <c r="I400" s="4"/>
      <c r="J400" s="4" t="s">
        <v>824</v>
      </c>
      <c r="K400" s="4" t="s">
        <v>825</v>
      </c>
      <c r="L400" s="4" t="s">
        <v>24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 t="s">
        <v>908</v>
      </c>
      <c r="B401" s="4" t="s">
        <v>909</v>
      </c>
      <c r="C401" s="13">
        <v>500</v>
      </c>
      <c r="D401" s="10" t="s">
        <v>27</v>
      </c>
      <c r="E401" s="4"/>
      <c r="F401" s="4"/>
      <c r="G401" s="4" t="s">
        <v>806</v>
      </c>
      <c r="H401" s="4" t="s">
        <v>764</v>
      </c>
      <c r="I401" s="4"/>
      <c r="J401" s="4" t="s">
        <v>808</v>
      </c>
      <c r="K401" s="4" t="s">
        <v>809</v>
      </c>
      <c r="L401" s="4" t="s">
        <v>24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 t="s">
        <v>910</v>
      </c>
      <c r="B402" s="4" t="s">
        <v>911</v>
      </c>
      <c r="C402" s="13">
        <v>2000</v>
      </c>
      <c r="D402" s="10" t="s">
        <v>27</v>
      </c>
      <c r="E402" s="4"/>
      <c r="F402" s="4"/>
      <c r="G402" s="4" t="s">
        <v>806</v>
      </c>
      <c r="H402" s="4" t="s">
        <v>764</v>
      </c>
      <c r="I402" s="4"/>
      <c r="J402" s="4" t="s">
        <v>828</v>
      </c>
      <c r="K402" s="4" t="s">
        <v>829</v>
      </c>
      <c r="L402" s="4" t="s">
        <v>24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 t="s">
        <v>912</v>
      </c>
      <c r="C403" s="58">
        <v>4000</v>
      </c>
      <c r="D403" s="10" t="s">
        <v>32</v>
      </c>
      <c r="E403" s="4"/>
      <c r="F403" s="4"/>
      <c r="G403" s="4" t="s">
        <v>806</v>
      </c>
      <c r="H403" s="4" t="s">
        <v>764</v>
      </c>
      <c r="I403" s="4"/>
      <c r="J403" s="4" t="s">
        <v>632</v>
      </c>
      <c r="K403" s="4" t="s">
        <v>633</v>
      </c>
      <c r="L403" s="4" t="s">
        <v>24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 t="s">
        <v>913</v>
      </c>
      <c r="C404" s="58">
        <v>4000</v>
      </c>
      <c r="D404" s="10" t="s">
        <v>32</v>
      </c>
      <c r="E404" s="4"/>
      <c r="F404" s="4"/>
      <c r="G404" s="4" t="s">
        <v>895</v>
      </c>
      <c r="H404" s="4" t="s">
        <v>764</v>
      </c>
      <c r="I404" s="4"/>
      <c r="J404" s="4"/>
      <c r="K404" s="4" t="s">
        <v>633</v>
      </c>
      <c r="L404" s="4" t="s">
        <v>24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 t="s">
        <v>914</v>
      </c>
      <c r="B405" s="4" t="s">
        <v>915</v>
      </c>
      <c r="C405" s="66">
        <v>930</v>
      </c>
      <c r="D405" s="10" t="s">
        <v>27</v>
      </c>
      <c r="E405" s="4"/>
      <c r="F405" s="4"/>
      <c r="G405" s="4" t="s">
        <v>806</v>
      </c>
      <c r="H405" s="4" t="s">
        <v>764</v>
      </c>
      <c r="I405" s="4"/>
      <c r="J405" s="4" t="s">
        <v>916</v>
      </c>
      <c r="K405" s="4" t="s">
        <v>917</v>
      </c>
      <c r="L405" s="4" t="s">
        <v>24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 t="s">
        <v>918</v>
      </c>
      <c r="B406" s="4" t="s">
        <v>919</v>
      </c>
      <c r="C406" s="13">
        <v>500</v>
      </c>
      <c r="D406" s="10" t="s">
        <v>27</v>
      </c>
      <c r="E406" s="4"/>
      <c r="F406" s="4"/>
      <c r="G406" s="4" t="s">
        <v>806</v>
      </c>
      <c r="H406" s="4" t="s">
        <v>764</v>
      </c>
      <c r="I406" s="4"/>
      <c r="J406" s="4" t="s">
        <v>808</v>
      </c>
      <c r="K406" s="4" t="s">
        <v>809</v>
      </c>
      <c r="L406" s="4" t="s">
        <v>24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 t="s">
        <v>920</v>
      </c>
      <c r="B407" s="4" t="s">
        <v>921</v>
      </c>
      <c r="C407" s="13">
        <v>750</v>
      </c>
      <c r="D407" s="10" t="s">
        <v>27</v>
      </c>
      <c r="E407" s="4"/>
      <c r="F407" s="4"/>
      <c r="G407" s="4" t="s">
        <v>806</v>
      </c>
      <c r="H407" s="4" t="s">
        <v>764</v>
      </c>
      <c r="I407" s="4"/>
      <c r="J407" s="4" t="s">
        <v>824</v>
      </c>
      <c r="K407" s="4" t="s">
        <v>825</v>
      </c>
      <c r="L407" s="4" t="s">
        <v>24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 t="s">
        <v>922</v>
      </c>
      <c r="B408" s="4" t="s">
        <v>923</v>
      </c>
      <c r="C408" s="13">
        <v>3500</v>
      </c>
      <c r="D408" s="10" t="s">
        <v>32</v>
      </c>
      <c r="E408" s="4"/>
      <c r="F408" s="4"/>
      <c r="G408" s="4" t="s">
        <v>806</v>
      </c>
      <c r="H408" s="4" t="s">
        <v>764</v>
      </c>
      <c r="I408" s="4"/>
      <c r="J408" s="4" t="s">
        <v>632</v>
      </c>
      <c r="K408" s="4" t="s">
        <v>633</v>
      </c>
      <c r="L408" s="4" t="s">
        <v>24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 t="s">
        <v>924</v>
      </c>
      <c r="B409" s="4" t="s">
        <v>925</v>
      </c>
      <c r="C409" s="13">
        <v>3500</v>
      </c>
      <c r="D409" s="10" t="s">
        <v>32</v>
      </c>
      <c r="E409" s="4"/>
      <c r="F409" s="4"/>
      <c r="G409" s="4" t="s">
        <v>806</v>
      </c>
      <c r="H409" s="4" t="s">
        <v>764</v>
      </c>
      <c r="I409" s="4"/>
      <c r="J409" s="4" t="s">
        <v>632</v>
      </c>
      <c r="K409" s="4" t="s">
        <v>633</v>
      </c>
      <c r="L409" s="4" t="s">
        <v>24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 t="s">
        <v>926</v>
      </c>
      <c r="B410" s="4" t="s">
        <v>927</v>
      </c>
      <c r="C410" s="13">
        <v>3500</v>
      </c>
      <c r="D410" s="10" t="s">
        <v>32</v>
      </c>
      <c r="E410" s="4"/>
      <c r="F410" s="4"/>
      <c r="G410" s="4" t="s">
        <v>806</v>
      </c>
      <c r="H410" s="4" t="s">
        <v>764</v>
      </c>
      <c r="I410" s="4"/>
      <c r="J410" s="4" t="s">
        <v>632</v>
      </c>
      <c r="K410" s="4" t="s">
        <v>633</v>
      </c>
      <c r="L410" s="4" t="s">
        <v>24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 t="s">
        <v>928</v>
      </c>
      <c r="B411" s="4" t="s">
        <v>929</v>
      </c>
      <c r="C411" s="13">
        <v>3500</v>
      </c>
      <c r="D411" s="10" t="s">
        <v>32</v>
      </c>
      <c r="E411" s="4"/>
      <c r="F411" s="4"/>
      <c r="G411" s="4" t="s">
        <v>806</v>
      </c>
      <c r="H411" s="4" t="s">
        <v>764</v>
      </c>
      <c r="I411" s="4"/>
      <c r="J411" s="4" t="s">
        <v>632</v>
      </c>
      <c r="K411" s="4" t="s">
        <v>633</v>
      </c>
      <c r="L411" s="4" t="s">
        <v>24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 t="s">
        <v>930</v>
      </c>
      <c r="B412" s="4" t="s">
        <v>931</v>
      </c>
      <c r="C412" s="13">
        <v>120</v>
      </c>
      <c r="D412" s="10" t="s">
        <v>27</v>
      </c>
      <c r="E412" s="4"/>
      <c r="F412" s="4"/>
      <c r="G412" s="4" t="s">
        <v>806</v>
      </c>
      <c r="H412" s="4" t="s">
        <v>764</v>
      </c>
      <c r="I412" s="4"/>
      <c r="J412" s="4" t="s">
        <v>867</v>
      </c>
      <c r="K412" s="4" t="s">
        <v>868</v>
      </c>
      <c r="L412" s="4" t="s">
        <v>24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 t="s">
        <v>932</v>
      </c>
      <c r="B413" s="4" t="s">
        <v>933</v>
      </c>
      <c r="C413" s="13">
        <v>571</v>
      </c>
      <c r="D413" s="10" t="s">
        <v>27</v>
      </c>
      <c r="E413" s="4"/>
      <c r="F413" s="4"/>
      <c r="G413" s="4" t="s">
        <v>806</v>
      </c>
      <c r="H413" s="4" t="s">
        <v>764</v>
      </c>
      <c r="I413" s="4"/>
      <c r="J413" s="4" t="s">
        <v>934</v>
      </c>
      <c r="K413" s="4" t="s">
        <v>935</v>
      </c>
      <c r="L413" s="4" t="s">
        <v>24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 t="s">
        <v>936</v>
      </c>
      <c r="B414" s="4" t="s">
        <v>937</v>
      </c>
      <c r="C414" s="13">
        <v>1000</v>
      </c>
      <c r="D414" s="10" t="s">
        <v>27</v>
      </c>
      <c r="E414" s="4"/>
      <c r="F414" s="4"/>
      <c r="G414" s="4" t="s">
        <v>806</v>
      </c>
      <c r="H414" s="4" t="s">
        <v>764</v>
      </c>
      <c r="I414" s="4"/>
      <c r="J414" s="4" t="s">
        <v>824</v>
      </c>
      <c r="K414" s="4" t="s">
        <v>825</v>
      </c>
      <c r="L414" s="4" t="s">
        <v>24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 t="s">
        <v>938</v>
      </c>
      <c r="B415" s="4" t="s">
        <v>939</v>
      </c>
      <c r="C415" s="13">
        <v>650</v>
      </c>
      <c r="D415" s="10" t="s">
        <v>27</v>
      </c>
      <c r="E415" s="4"/>
      <c r="F415" s="4"/>
      <c r="G415" s="4" t="s">
        <v>806</v>
      </c>
      <c r="H415" s="4" t="s">
        <v>764</v>
      </c>
      <c r="I415" s="4"/>
      <c r="J415" s="4" t="s">
        <v>828</v>
      </c>
      <c r="K415" s="4" t="s">
        <v>829</v>
      </c>
      <c r="L415" s="4" t="s">
        <v>24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 t="s">
        <v>940</v>
      </c>
      <c r="B416" s="4" t="s">
        <v>941</v>
      </c>
      <c r="C416" s="13">
        <v>650</v>
      </c>
      <c r="D416" s="10" t="s">
        <v>27</v>
      </c>
      <c r="E416" s="4"/>
      <c r="F416" s="4"/>
      <c r="G416" s="4" t="s">
        <v>806</v>
      </c>
      <c r="H416" s="4" t="s">
        <v>764</v>
      </c>
      <c r="I416" s="4"/>
      <c r="J416" s="4" t="s">
        <v>828</v>
      </c>
      <c r="K416" s="4" t="s">
        <v>829</v>
      </c>
      <c r="L416" s="4" t="s">
        <v>24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 t="s">
        <v>942</v>
      </c>
      <c r="B417" s="4" t="s">
        <v>943</v>
      </c>
      <c r="C417" s="13">
        <v>650</v>
      </c>
      <c r="D417" s="10" t="s">
        <v>27</v>
      </c>
      <c r="E417" s="4"/>
      <c r="F417" s="4"/>
      <c r="G417" s="4" t="s">
        <v>806</v>
      </c>
      <c r="H417" s="4" t="s">
        <v>764</v>
      </c>
      <c r="I417" s="4"/>
      <c r="J417" s="4" t="s">
        <v>808</v>
      </c>
      <c r="K417" s="4" t="s">
        <v>809</v>
      </c>
      <c r="L417" s="4" t="s">
        <v>24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 t="s">
        <v>944</v>
      </c>
      <c r="B418" s="4" t="s">
        <v>945</v>
      </c>
      <c r="C418" s="13">
        <v>650</v>
      </c>
      <c r="D418" s="10" t="s">
        <v>27</v>
      </c>
      <c r="E418" s="4"/>
      <c r="F418" s="4"/>
      <c r="G418" s="4" t="s">
        <v>806</v>
      </c>
      <c r="H418" s="4" t="s">
        <v>764</v>
      </c>
      <c r="I418" s="4"/>
      <c r="J418" s="4" t="s">
        <v>808</v>
      </c>
      <c r="K418" s="4" t="s">
        <v>809</v>
      </c>
      <c r="L418" s="4" t="s">
        <v>24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 t="s">
        <v>946</v>
      </c>
      <c r="B419" s="4" t="s">
        <v>947</v>
      </c>
      <c r="C419" s="13">
        <v>650</v>
      </c>
      <c r="D419" s="10" t="s">
        <v>27</v>
      </c>
      <c r="E419" s="4"/>
      <c r="F419" s="4"/>
      <c r="G419" s="4" t="s">
        <v>806</v>
      </c>
      <c r="H419" s="4" t="s">
        <v>764</v>
      </c>
      <c r="I419" s="4"/>
      <c r="J419" s="4" t="s">
        <v>808</v>
      </c>
      <c r="K419" s="4" t="s">
        <v>809</v>
      </c>
      <c r="L419" s="4" t="s">
        <v>24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 t="s">
        <v>948</v>
      </c>
      <c r="B420" s="4" t="s">
        <v>949</v>
      </c>
      <c r="C420" s="13">
        <v>650</v>
      </c>
      <c r="D420" s="10" t="s">
        <v>27</v>
      </c>
      <c r="E420" s="4"/>
      <c r="F420" s="4"/>
      <c r="G420" s="4" t="s">
        <v>806</v>
      </c>
      <c r="H420" s="4" t="s">
        <v>764</v>
      </c>
      <c r="I420" s="4"/>
      <c r="J420" s="4" t="s">
        <v>828</v>
      </c>
      <c r="K420" s="4" t="s">
        <v>829</v>
      </c>
      <c r="L420" s="4" t="s">
        <v>24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 t="s">
        <v>950</v>
      </c>
      <c r="B421" s="4" t="s">
        <v>951</v>
      </c>
      <c r="C421" s="13">
        <v>650</v>
      </c>
      <c r="D421" s="10" t="s">
        <v>27</v>
      </c>
      <c r="E421" s="4"/>
      <c r="F421" s="4"/>
      <c r="G421" s="4" t="s">
        <v>806</v>
      </c>
      <c r="H421" s="4" t="s">
        <v>764</v>
      </c>
      <c r="I421" s="4"/>
      <c r="J421" s="4" t="s">
        <v>808</v>
      </c>
      <c r="K421" s="4" t="s">
        <v>809</v>
      </c>
      <c r="L421" s="4" t="s">
        <v>24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 t="s">
        <v>952</v>
      </c>
      <c r="B422" s="4" t="s">
        <v>953</v>
      </c>
      <c r="C422" s="13">
        <v>650</v>
      </c>
      <c r="D422" s="10" t="s">
        <v>27</v>
      </c>
      <c r="E422" s="4"/>
      <c r="F422" s="4"/>
      <c r="G422" s="4" t="s">
        <v>806</v>
      </c>
      <c r="H422" s="4" t="s">
        <v>764</v>
      </c>
      <c r="I422" s="4"/>
      <c r="J422" s="4" t="s">
        <v>808</v>
      </c>
      <c r="K422" s="4" t="s">
        <v>809</v>
      </c>
      <c r="L422" s="4" t="s">
        <v>24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 t="s">
        <v>954</v>
      </c>
      <c r="B423" s="4" t="s">
        <v>955</v>
      </c>
      <c r="C423" s="13">
        <v>600</v>
      </c>
      <c r="D423" s="10" t="s">
        <v>27</v>
      </c>
      <c r="E423" s="4"/>
      <c r="F423" s="4"/>
      <c r="G423" s="4" t="s">
        <v>806</v>
      </c>
      <c r="H423" s="4" t="s">
        <v>764</v>
      </c>
      <c r="I423" s="4"/>
      <c r="J423" s="4" t="s">
        <v>808</v>
      </c>
      <c r="K423" s="4" t="s">
        <v>809</v>
      </c>
      <c r="L423" s="4" t="s">
        <v>24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 t="s">
        <v>956</v>
      </c>
      <c r="B424" s="4" t="s">
        <v>957</v>
      </c>
      <c r="C424" s="13">
        <v>571</v>
      </c>
      <c r="D424" s="10" t="s">
        <v>27</v>
      </c>
      <c r="E424" s="4"/>
      <c r="F424" s="4"/>
      <c r="G424" s="4" t="s">
        <v>806</v>
      </c>
      <c r="H424" s="4" t="s">
        <v>764</v>
      </c>
      <c r="I424" s="4"/>
      <c r="J424" s="4" t="s">
        <v>867</v>
      </c>
      <c r="K424" s="4" t="s">
        <v>868</v>
      </c>
      <c r="L424" s="4" t="s">
        <v>24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 t="s">
        <v>958</v>
      </c>
      <c r="B425" s="4" t="s">
        <v>959</v>
      </c>
      <c r="C425" s="13">
        <v>650</v>
      </c>
      <c r="D425" s="10" t="s">
        <v>27</v>
      </c>
      <c r="E425" s="4"/>
      <c r="F425" s="4"/>
      <c r="G425" s="4" t="s">
        <v>806</v>
      </c>
      <c r="H425" s="4" t="s">
        <v>764</v>
      </c>
      <c r="I425" s="4"/>
      <c r="J425" s="4" t="s">
        <v>808</v>
      </c>
      <c r="K425" s="4" t="s">
        <v>809</v>
      </c>
      <c r="L425" s="4" t="s">
        <v>24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 t="s">
        <v>960</v>
      </c>
      <c r="C426" s="58">
        <v>700</v>
      </c>
      <c r="D426" s="10" t="s">
        <v>27</v>
      </c>
      <c r="E426" s="4"/>
      <c r="F426" s="4"/>
      <c r="G426" s="4" t="s">
        <v>806</v>
      </c>
      <c r="H426" s="4" t="s">
        <v>764</v>
      </c>
      <c r="I426" s="4"/>
      <c r="J426" s="4" t="s">
        <v>808</v>
      </c>
      <c r="K426" s="4" t="s">
        <v>809</v>
      </c>
      <c r="L426" s="4" t="s">
        <v>24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 t="s">
        <v>961</v>
      </c>
      <c r="B427" s="4" t="s">
        <v>962</v>
      </c>
      <c r="C427" s="58">
        <v>2500</v>
      </c>
      <c r="D427" s="10" t="s">
        <v>27</v>
      </c>
      <c r="E427" s="4"/>
      <c r="F427" s="4"/>
      <c r="G427" s="4" t="s">
        <v>806</v>
      </c>
      <c r="H427" s="4" t="s">
        <v>764</v>
      </c>
      <c r="I427" s="4"/>
      <c r="J427" s="4" t="s">
        <v>828</v>
      </c>
      <c r="K427" s="4" t="s">
        <v>829</v>
      </c>
      <c r="L427" s="4" t="s">
        <v>24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 t="s">
        <v>963</v>
      </c>
      <c r="B428" s="4" t="s">
        <v>964</v>
      </c>
      <c r="C428" s="13">
        <v>1200</v>
      </c>
      <c r="D428" s="10" t="s">
        <v>32</v>
      </c>
      <c r="E428" s="4"/>
      <c r="F428" s="4"/>
      <c r="G428" s="4" t="s">
        <v>806</v>
      </c>
      <c r="H428" s="4" t="s">
        <v>764</v>
      </c>
      <c r="I428" s="4"/>
      <c r="J428" s="4" t="s">
        <v>824</v>
      </c>
      <c r="K428" s="4" t="s">
        <v>825</v>
      </c>
      <c r="L428" s="4" t="s">
        <v>24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 t="s">
        <v>965</v>
      </c>
      <c r="B429" s="4" t="s">
        <v>966</v>
      </c>
      <c r="C429" s="13">
        <v>300</v>
      </c>
      <c r="D429" s="10" t="s">
        <v>37</v>
      </c>
      <c r="E429" s="4"/>
      <c r="F429" s="4"/>
      <c r="G429" s="4" t="s">
        <v>806</v>
      </c>
      <c r="H429" s="4" t="s">
        <v>764</v>
      </c>
      <c r="I429" s="4"/>
      <c r="J429" s="4" t="s">
        <v>632</v>
      </c>
      <c r="K429" s="4" t="s">
        <v>633</v>
      </c>
      <c r="L429" s="4" t="s">
        <v>24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 t="s">
        <v>967</v>
      </c>
      <c r="B430" s="4" t="s">
        <v>968</v>
      </c>
      <c r="C430" s="13">
        <v>450</v>
      </c>
      <c r="D430" s="10" t="s">
        <v>27</v>
      </c>
      <c r="E430" s="4"/>
      <c r="F430" s="4"/>
      <c r="G430" s="4" t="s">
        <v>806</v>
      </c>
      <c r="H430" s="4" t="s">
        <v>764</v>
      </c>
      <c r="I430" s="4"/>
      <c r="J430" s="4" t="s">
        <v>808</v>
      </c>
      <c r="K430" s="4" t="s">
        <v>809</v>
      </c>
      <c r="L430" s="4" t="s">
        <v>24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 t="s">
        <v>969</v>
      </c>
      <c r="B431" s="4" t="s">
        <v>970</v>
      </c>
      <c r="C431" s="13">
        <v>450</v>
      </c>
      <c r="D431" s="10" t="s">
        <v>194</v>
      </c>
      <c r="E431" s="4"/>
      <c r="F431" s="4"/>
      <c r="G431" s="4" t="s">
        <v>806</v>
      </c>
      <c r="H431" s="4" t="s">
        <v>764</v>
      </c>
      <c r="I431" s="4"/>
      <c r="J431" s="4" t="s">
        <v>808</v>
      </c>
      <c r="K431" s="4" t="s">
        <v>809</v>
      </c>
      <c r="L431" s="4" t="s">
        <v>24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 t="s">
        <v>971</v>
      </c>
      <c r="B432" s="4" t="s">
        <v>972</v>
      </c>
      <c r="C432" s="13">
        <v>850</v>
      </c>
      <c r="D432" s="10" t="s">
        <v>27</v>
      </c>
      <c r="E432" s="4"/>
      <c r="F432" s="4"/>
      <c r="G432" s="4" t="s">
        <v>806</v>
      </c>
      <c r="H432" s="4" t="s">
        <v>764</v>
      </c>
      <c r="I432" s="4"/>
      <c r="J432" s="4" t="s">
        <v>828</v>
      </c>
      <c r="K432" s="4" t="s">
        <v>829</v>
      </c>
      <c r="L432" s="4" t="s">
        <v>24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 t="s">
        <v>973</v>
      </c>
      <c r="B433" s="4" t="s">
        <v>974</v>
      </c>
      <c r="C433" s="13">
        <v>850</v>
      </c>
      <c r="D433" s="10" t="s">
        <v>194</v>
      </c>
      <c r="E433" s="4"/>
      <c r="F433" s="4"/>
      <c r="G433" s="4" t="s">
        <v>806</v>
      </c>
      <c r="H433" s="4" t="s">
        <v>764</v>
      </c>
      <c r="I433" s="4"/>
      <c r="J433" s="4" t="s">
        <v>828</v>
      </c>
      <c r="K433" s="4" t="s">
        <v>829</v>
      </c>
      <c r="L433" s="4" t="s">
        <v>24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 t="s">
        <v>975</v>
      </c>
      <c r="B434" s="4" t="s">
        <v>976</v>
      </c>
      <c r="C434" s="13">
        <v>850</v>
      </c>
      <c r="D434" s="10" t="s">
        <v>27</v>
      </c>
      <c r="E434" s="4"/>
      <c r="F434" s="4"/>
      <c r="G434" s="4" t="s">
        <v>806</v>
      </c>
      <c r="H434" s="4" t="s">
        <v>764</v>
      </c>
      <c r="I434" s="4"/>
      <c r="J434" s="4" t="s">
        <v>828</v>
      </c>
      <c r="K434" s="4" t="s">
        <v>829</v>
      </c>
      <c r="L434" s="4" t="s">
        <v>24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 t="s">
        <v>977</v>
      </c>
      <c r="B435" s="4" t="s">
        <v>978</v>
      </c>
      <c r="C435" s="13">
        <v>850</v>
      </c>
      <c r="D435" s="10" t="s">
        <v>27</v>
      </c>
      <c r="E435" s="4"/>
      <c r="F435" s="4"/>
      <c r="G435" s="4" t="s">
        <v>806</v>
      </c>
      <c r="H435" s="4" t="s">
        <v>764</v>
      </c>
      <c r="I435" s="4"/>
      <c r="J435" s="4" t="s">
        <v>828</v>
      </c>
      <c r="K435" s="4" t="s">
        <v>829</v>
      </c>
      <c r="L435" s="4" t="s">
        <v>24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 t="s">
        <v>979</v>
      </c>
      <c r="B436" s="4" t="s">
        <v>980</v>
      </c>
      <c r="C436" s="13">
        <v>1500</v>
      </c>
      <c r="D436" s="10" t="s">
        <v>27</v>
      </c>
      <c r="E436" s="4"/>
      <c r="F436" s="4"/>
      <c r="G436" s="4" t="s">
        <v>806</v>
      </c>
      <c r="H436" s="4" t="s">
        <v>764</v>
      </c>
      <c r="I436" s="4"/>
      <c r="J436" s="4" t="s">
        <v>828</v>
      </c>
      <c r="K436" s="4" t="s">
        <v>829</v>
      </c>
      <c r="L436" s="4" t="s">
        <v>24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 t="s">
        <v>981</v>
      </c>
      <c r="B437" s="4" t="s">
        <v>982</v>
      </c>
      <c r="C437" s="13">
        <v>729</v>
      </c>
      <c r="D437" s="10" t="s">
        <v>27</v>
      </c>
      <c r="E437" s="4"/>
      <c r="F437" s="4"/>
      <c r="G437" s="4" t="s">
        <v>806</v>
      </c>
      <c r="H437" s="4" t="s">
        <v>764</v>
      </c>
      <c r="I437" s="4"/>
      <c r="J437" s="4" t="s">
        <v>898</v>
      </c>
      <c r="K437" s="4" t="s">
        <v>899</v>
      </c>
      <c r="L437" s="4" t="s">
        <v>24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 t="s">
        <v>983</v>
      </c>
      <c r="B438" s="4" t="s">
        <v>984</v>
      </c>
      <c r="C438" s="13">
        <v>800</v>
      </c>
      <c r="D438" s="10" t="s">
        <v>27</v>
      </c>
      <c r="E438" s="4"/>
      <c r="F438" s="4"/>
      <c r="G438" s="4" t="s">
        <v>806</v>
      </c>
      <c r="H438" s="4" t="s">
        <v>764</v>
      </c>
      <c r="I438" s="4"/>
      <c r="J438" s="4" t="s">
        <v>828</v>
      </c>
      <c r="K438" s="4" t="s">
        <v>829</v>
      </c>
      <c r="L438" s="4" t="s">
        <v>24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 t="s">
        <v>985</v>
      </c>
      <c r="B439" s="4" t="s">
        <v>986</v>
      </c>
      <c r="C439" s="13">
        <v>3500</v>
      </c>
      <c r="D439" s="10" t="s">
        <v>32</v>
      </c>
      <c r="E439" s="4"/>
      <c r="F439" s="4"/>
      <c r="G439" s="4" t="s">
        <v>806</v>
      </c>
      <c r="H439" s="4" t="s">
        <v>764</v>
      </c>
      <c r="I439" s="4"/>
      <c r="J439" s="4" t="s">
        <v>632</v>
      </c>
      <c r="K439" s="4" t="s">
        <v>633</v>
      </c>
      <c r="L439" s="4" t="s">
        <v>24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 t="s">
        <v>987</v>
      </c>
      <c r="B440" s="4" t="s">
        <v>988</v>
      </c>
      <c r="C440" s="13">
        <v>3500</v>
      </c>
      <c r="D440" s="10" t="s">
        <v>32</v>
      </c>
      <c r="E440" s="4"/>
      <c r="F440" s="4"/>
      <c r="G440" s="4" t="s">
        <v>806</v>
      </c>
      <c r="H440" s="4" t="s">
        <v>764</v>
      </c>
      <c r="I440" s="4"/>
      <c r="J440" s="4" t="s">
        <v>632</v>
      </c>
      <c r="K440" s="4" t="s">
        <v>633</v>
      </c>
      <c r="L440" s="4" t="s">
        <v>24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 t="s">
        <v>989</v>
      </c>
      <c r="B441" s="4" t="s">
        <v>990</v>
      </c>
      <c r="C441" s="69">
        <v>131.12</v>
      </c>
      <c r="D441" s="10"/>
      <c r="E441" s="4"/>
      <c r="F441" s="4"/>
      <c r="G441" s="4" t="s">
        <v>806</v>
      </c>
      <c r="H441" s="4" t="s">
        <v>764</v>
      </c>
      <c r="I441" s="4"/>
      <c r="J441" s="4" t="s">
        <v>632</v>
      </c>
      <c r="K441" s="4" t="s">
        <v>633</v>
      </c>
      <c r="L441" s="4" t="s">
        <v>24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 t="s">
        <v>991</v>
      </c>
      <c r="B442" s="4" t="s">
        <v>992</v>
      </c>
      <c r="C442" s="66">
        <v>559</v>
      </c>
      <c r="D442" s="10" t="s">
        <v>27</v>
      </c>
      <c r="E442" s="4"/>
      <c r="F442" s="4"/>
      <c r="G442" s="4" t="s">
        <v>806</v>
      </c>
      <c r="H442" s="4" t="s">
        <v>764</v>
      </c>
      <c r="I442" s="4"/>
      <c r="J442" s="4" t="s">
        <v>824</v>
      </c>
      <c r="K442" s="4" t="s">
        <v>825</v>
      </c>
      <c r="L442" s="4" t="s">
        <v>24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 t="s">
        <v>993</v>
      </c>
      <c r="B443" s="4" t="s">
        <v>994</v>
      </c>
      <c r="C443" s="66">
        <v>639</v>
      </c>
      <c r="D443" s="10" t="s">
        <v>27</v>
      </c>
      <c r="E443" s="4"/>
      <c r="F443" s="4"/>
      <c r="G443" s="4" t="s">
        <v>806</v>
      </c>
      <c r="H443" s="4" t="s">
        <v>764</v>
      </c>
      <c r="I443" s="4"/>
      <c r="J443" s="4" t="s">
        <v>824</v>
      </c>
      <c r="K443" s="4" t="s">
        <v>825</v>
      </c>
      <c r="L443" s="4" t="s">
        <v>24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 t="s">
        <v>995</v>
      </c>
      <c r="B444" s="4" t="s">
        <v>996</v>
      </c>
      <c r="C444" s="13">
        <v>800</v>
      </c>
      <c r="D444" s="10" t="s">
        <v>27</v>
      </c>
      <c r="E444" s="4"/>
      <c r="F444" s="4"/>
      <c r="G444" s="4" t="s">
        <v>806</v>
      </c>
      <c r="H444" s="4" t="s">
        <v>764</v>
      </c>
      <c r="I444" s="4"/>
      <c r="J444" s="4" t="s">
        <v>808</v>
      </c>
      <c r="K444" s="4" t="s">
        <v>809</v>
      </c>
      <c r="L444" s="4" t="s">
        <v>24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 t="s">
        <v>997</v>
      </c>
      <c r="B445" s="4" t="s">
        <v>998</v>
      </c>
      <c r="C445" s="13">
        <v>1000</v>
      </c>
      <c r="D445" s="10" t="s">
        <v>27</v>
      </c>
      <c r="E445" s="4"/>
      <c r="F445" s="4"/>
      <c r="G445" s="4" t="s">
        <v>806</v>
      </c>
      <c r="H445" s="4" t="s">
        <v>764</v>
      </c>
      <c r="I445" s="4"/>
      <c r="J445" s="4" t="s">
        <v>808</v>
      </c>
      <c r="K445" s="4" t="s">
        <v>809</v>
      </c>
      <c r="L445" s="4" t="s">
        <v>24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 t="s">
        <v>999</v>
      </c>
      <c r="C446" s="58">
        <v>1865</v>
      </c>
      <c r="D446" s="10" t="s">
        <v>27</v>
      </c>
      <c r="E446" s="4"/>
      <c r="F446" s="4"/>
      <c r="G446" s="4" t="s">
        <v>763</v>
      </c>
      <c r="H446" s="4" t="s">
        <v>764</v>
      </c>
      <c r="I446" s="4"/>
      <c r="J446" s="4"/>
      <c r="K446" s="4" t="s">
        <v>633</v>
      </c>
      <c r="L446" s="4" t="s">
        <v>24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 t="s">
        <v>1000</v>
      </c>
      <c r="B447" s="4" t="s">
        <v>1001</v>
      </c>
      <c r="C447" s="66">
        <v>563</v>
      </c>
      <c r="D447" s="10" t="s">
        <v>27</v>
      </c>
      <c r="E447" s="4"/>
      <c r="F447" s="4"/>
      <c r="G447" s="4" t="s">
        <v>806</v>
      </c>
      <c r="H447" s="4" t="s">
        <v>764</v>
      </c>
      <c r="I447" s="4"/>
      <c r="J447" s="4" t="s">
        <v>1002</v>
      </c>
      <c r="K447" s="4" t="s">
        <v>1003</v>
      </c>
      <c r="L447" s="4" t="s">
        <v>24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 t="s">
        <v>1004</v>
      </c>
      <c r="B448" s="4" t="s">
        <v>1005</v>
      </c>
      <c r="C448" s="66">
        <v>817</v>
      </c>
      <c r="D448" s="10" t="s">
        <v>27</v>
      </c>
      <c r="E448" s="4"/>
      <c r="F448" s="4"/>
      <c r="G448" s="4" t="s">
        <v>806</v>
      </c>
      <c r="H448" s="4" t="s">
        <v>764</v>
      </c>
      <c r="I448" s="4"/>
      <c r="J448" s="4" t="s">
        <v>824</v>
      </c>
      <c r="K448" s="4" t="s">
        <v>825</v>
      </c>
      <c r="L448" s="4" t="s">
        <v>24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 t="s">
        <v>1006</v>
      </c>
      <c r="B449" s="4" t="s">
        <v>1007</v>
      </c>
      <c r="C449" s="66">
        <v>1325</v>
      </c>
      <c r="D449" s="10" t="s">
        <v>27</v>
      </c>
      <c r="E449" s="4"/>
      <c r="F449" s="4"/>
      <c r="G449" s="4" t="s">
        <v>806</v>
      </c>
      <c r="H449" s="4" t="s">
        <v>764</v>
      </c>
      <c r="I449" s="4"/>
      <c r="J449" s="4" t="s">
        <v>824</v>
      </c>
      <c r="K449" s="4" t="s">
        <v>825</v>
      </c>
      <c r="L449" s="4" t="s">
        <v>24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 t="s">
        <v>1008</v>
      </c>
      <c r="B450" s="4" t="s">
        <v>1009</v>
      </c>
      <c r="C450" s="70">
        <v>800</v>
      </c>
      <c r="D450" s="10" t="s">
        <v>27</v>
      </c>
      <c r="E450" s="4"/>
      <c r="F450" s="4"/>
      <c r="G450" s="4" t="s">
        <v>806</v>
      </c>
      <c r="H450" s="4" t="s">
        <v>764</v>
      </c>
      <c r="I450" s="4"/>
      <c r="J450" s="4" t="s">
        <v>824</v>
      </c>
      <c r="K450" s="4" t="s">
        <v>825</v>
      </c>
      <c r="L450" s="4" t="s">
        <v>24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 t="s">
        <v>1010</v>
      </c>
      <c r="B451" s="4" t="s">
        <v>1011</v>
      </c>
      <c r="C451" s="67">
        <v>725.63</v>
      </c>
      <c r="D451" s="10" t="s">
        <v>27</v>
      </c>
      <c r="E451" s="4"/>
      <c r="F451" s="4"/>
      <c r="G451" s="4" t="s">
        <v>806</v>
      </c>
      <c r="H451" s="4" t="s">
        <v>764</v>
      </c>
      <c r="I451" s="4"/>
      <c r="J451" s="4" t="s">
        <v>824</v>
      </c>
      <c r="K451" s="4" t="s">
        <v>825</v>
      </c>
      <c r="L451" s="4" t="s">
        <v>24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 t="s">
        <v>1012</v>
      </c>
      <c r="B452" s="4" t="s">
        <v>1013</v>
      </c>
      <c r="C452" s="13">
        <v>800</v>
      </c>
      <c r="D452" s="10" t="s">
        <v>27</v>
      </c>
      <c r="E452" s="4"/>
      <c r="F452" s="4"/>
      <c r="G452" s="4" t="s">
        <v>806</v>
      </c>
      <c r="H452" s="4" t="s">
        <v>764</v>
      </c>
      <c r="I452" s="4"/>
      <c r="J452" s="4" t="s">
        <v>824</v>
      </c>
      <c r="K452" s="4" t="s">
        <v>825</v>
      </c>
      <c r="L452" s="4" t="s">
        <v>24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 t="s">
        <v>1014</v>
      </c>
      <c r="C453" s="58">
        <v>7500</v>
      </c>
      <c r="D453" s="10" t="s">
        <v>32</v>
      </c>
      <c r="E453" s="4"/>
      <c r="F453" s="4"/>
      <c r="G453" s="4" t="s">
        <v>895</v>
      </c>
      <c r="H453" s="4" t="s">
        <v>764</v>
      </c>
      <c r="I453" s="4"/>
      <c r="J453" s="4"/>
      <c r="K453" s="4" t="s">
        <v>633</v>
      </c>
      <c r="L453" s="4" t="s">
        <v>24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 t="s">
        <v>1015</v>
      </c>
      <c r="C454" s="58">
        <v>18763</v>
      </c>
      <c r="D454" s="10" t="s">
        <v>27</v>
      </c>
      <c r="E454" s="4"/>
      <c r="F454" s="4"/>
      <c r="G454" s="4" t="s">
        <v>806</v>
      </c>
      <c r="H454" s="4" t="s">
        <v>764</v>
      </c>
      <c r="I454" s="4"/>
      <c r="J454" s="4" t="s">
        <v>808</v>
      </c>
      <c r="K454" s="4" t="s">
        <v>809</v>
      </c>
      <c r="L454" s="4" t="s">
        <v>24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 t="s">
        <v>1016</v>
      </c>
      <c r="C455" s="58">
        <v>18786</v>
      </c>
      <c r="D455" s="10" t="s">
        <v>32</v>
      </c>
      <c r="E455" s="4"/>
      <c r="F455" s="4"/>
      <c r="G455" s="4" t="s">
        <v>895</v>
      </c>
      <c r="H455" s="4" t="s">
        <v>764</v>
      </c>
      <c r="I455" s="4"/>
      <c r="J455" s="4"/>
      <c r="K455" s="4" t="s">
        <v>633</v>
      </c>
      <c r="L455" s="4" t="s">
        <v>24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 t="s">
        <v>1017</v>
      </c>
      <c r="B456" s="4" t="s">
        <v>1018</v>
      </c>
      <c r="C456" s="13">
        <v>3500</v>
      </c>
      <c r="D456" s="10" t="s">
        <v>32</v>
      </c>
      <c r="E456" s="4"/>
      <c r="F456" s="4"/>
      <c r="G456" s="4" t="s">
        <v>806</v>
      </c>
      <c r="H456" s="4" t="s">
        <v>764</v>
      </c>
      <c r="I456" s="4"/>
      <c r="J456" s="4" t="s">
        <v>632</v>
      </c>
      <c r="K456" s="4" t="s">
        <v>633</v>
      </c>
      <c r="L456" s="4" t="s">
        <v>24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 t="s">
        <v>1019</v>
      </c>
      <c r="B457" s="4" t="s">
        <v>1020</v>
      </c>
      <c r="C457" s="13">
        <v>1000</v>
      </c>
      <c r="D457" s="10" t="s">
        <v>32</v>
      </c>
      <c r="E457" s="4"/>
      <c r="F457" s="4"/>
      <c r="G457" s="4" t="s">
        <v>806</v>
      </c>
      <c r="H457" s="4" t="s">
        <v>764</v>
      </c>
      <c r="I457" s="4"/>
      <c r="J457" s="4" t="s">
        <v>824</v>
      </c>
      <c r="K457" s="4" t="s">
        <v>825</v>
      </c>
      <c r="L457" s="4" t="s">
        <v>24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 t="s">
        <v>1021</v>
      </c>
      <c r="B458" s="4" t="s">
        <v>1022</v>
      </c>
      <c r="C458" s="13">
        <v>1000</v>
      </c>
      <c r="D458" s="10" t="s">
        <v>32</v>
      </c>
      <c r="E458" s="4"/>
      <c r="F458" s="4"/>
      <c r="G458" s="4" t="s">
        <v>806</v>
      </c>
      <c r="H458" s="4" t="s">
        <v>764</v>
      </c>
      <c r="I458" s="4"/>
      <c r="J458" s="4" t="s">
        <v>824</v>
      </c>
      <c r="K458" s="4" t="s">
        <v>825</v>
      </c>
      <c r="L458" s="4" t="s">
        <v>24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 t="s">
        <v>1023</v>
      </c>
      <c r="B459" s="4" t="s">
        <v>1024</v>
      </c>
      <c r="C459" s="13">
        <v>100</v>
      </c>
      <c r="D459" s="10" t="s">
        <v>27</v>
      </c>
      <c r="E459" s="4"/>
      <c r="F459" s="4"/>
      <c r="G459" s="4" t="s">
        <v>806</v>
      </c>
      <c r="H459" s="4" t="s">
        <v>764</v>
      </c>
      <c r="I459" s="4"/>
      <c r="J459" s="4" t="s">
        <v>824</v>
      </c>
      <c r="K459" s="4" t="s">
        <v>825</v>
      </c>
      <c r="L459" s="4" t="s">
        <v>24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 t="s">
        <v>1025</v>
      </c>
      <c r="B460" s="4" t="s">
        <v>1026</v>
      </c>
      <c r="C460" s="13">
        <v>150</v>
      </c>
      <c r="D460" s="10" t="s">
        <v>27</v>
      </c>
      <c r="E460" s="4"/>
      <c r="F460" s="4"/>
      <c r="G460" s="4" t="s">
        <v>806</v>
      </c>
      <c r="H460" s="4" t="s">
        <v>764</v>
      </c>
      <c r="I460" s="4"/>
      <c r="J460" s="4" t="s">
        <v>824</v>
      </c>
      <c r="K460" s="4" t="s">
        <v>825</v>
      </c>
      <c r="L460" s="4" t="s">
        <v>24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 t="s">
        <v>1027</v>
      </c>
      <c r="C461" s="58">
        <v>2500</v>
      </c>
      <c r="D461" s="10" t="s">
        <v>19</v>
      </c>
      <c r="E461" s="4"/>
      <c r="F461" s="4"/>
      <c r="G461" s="4" t="s">
        <v>806</v>
      </c>
      <c r="H461" s="4" t="s">
        <v>764</v>
      </c>
      <c r="I461" s="4"/>
      <c r="J461" s="4" t="s">
        <v>321</v>
      </c>
      <c r="K461" s="4" t="s">
        <v>240</v>
      </c>
      <c r="L461" s="4" t="s">
        <v>24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 t="s">
        <v>1028</v>
      </c>
      <c r="C462" s="58">
        <v>2500</v>
      </c>
      <c r="D462" s="10" t="s">
        <v>19</v>
      </c>
      <c r="E462" s="4"/>
      <c r="F462" s="4"/>
      <c r="G462" s="4" t="s">
        <v>806</v>
      </c>
      <c r="H462" s="4" t="s">
        <v>764</v>
      </c>
      <c r="I462" s="4"/>
      <c r="J462" s="4" t="s">
        <v>321</v>
      </c>
      <c r="K462" s="4" t="s">
        <v>240</v>
      </c>
      <c r="L462" s="4" t="s">
        <v>24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 t="s">
        <v>1029</v>
      </c>
      <c r="B463" s="4" t="s">
        <v>1030</v>
      </c>
      <c r="C463" s="13">
        <v>424</v>
      </c>
      <c r="D463" s="10" t="s">
        <v>27</v>
      </c>
      <c r="E463" s="4"/>
      <c r="F463" s="4"/>
      <c r="G463" s="4" t="s">
        <v>806</v>
      </c>
      <c r="H463" s="4" t="s">
        <v>764</v>
      </c>
      <c r="I463" s="4"/>
      <c r="J463" s="4" t="s">
        <v>808</v>
      </c>
      <c r="K463" s="4" t="s">
        <v>809</v>
      </c>
      <c r="L463" s="4" t="s">
        <v>24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 t="s">
        <v>1031</v>
      </c>
      <c r="B464" s="4" t="s">
        <v>1032</v>
      </c>
      <c r="C464" s="13">
        <v>401</v>
      </c>
      <c r="D464" s="10" t="s">
        <v>27</v>
      </c>
      <c r="E464" s="4"/>
      <c r="F464" s="4"/>
      <c r="G464" s="4" t="s">
        <v>806</v>
      </c>
      <c r="H464" s="4" t="s">
        <v>764</v>
      </c>
      <c r="I464" s="4"/>
      <c r="J464" s="4" t="s">
        <v>808</v>
      </c>
      <c r="K464" s="4" t="s">
        <v>809</v>
      </c>
      <c r="L464" s="4" t="s">
        <v>24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 t="s">
        <v>1033</v>
      </c>
      <c r="B465" s="4" t="s">
        <v>1034</v>
      </c>
      <c r="C465" s="13">
        <v>591</v>
      </c>
      <c r="D465" s="10" t="s">
        <v>194</v>
      </c>
      <c r="E465" s="4"/>
      <c r="F465" s="4"/>
      <c r="G465" s="4" t="s">
        <v>806</v>
      </c>
      <c r="H465" s="4" t="s">
        <v>764</v>
      </c>
      <c r="I465" s="4"/>
      <c r="J465" s="4" t="s">
        <v>808</v>
      </c>
      <c r="K465" s="4" t="s">
        <v>809</v>
      </c>
      <c r="L465" s="4" t="s">
        <v>24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 t="s">
        <v>1035</v>
      </c>
      <c r="B466" s="4" t="s">
        <v>1036</v>
      </c>
      <c r="C466" s="13">
        <v>2000</v>
      </c>
      <c r="D466" s="10" t="s">
        <v>27</v>
      </c>
      <c r="E466" s="4"/>
      <c r="F466" s="4"/>
      <c r="G466" s="4" t="s">
        <v>806</v>
      </c>
      <c r="H466" s="4" t="s">
        <v>764</v>
      </c>
      <c r="I466" s="4"/>
      <c r="J466" s="4" t="s">
        <v>828</v>
      </c>
      <c r="K466" s="4" t="s">
        <v>829</v>
      </c>
      <c r="L466" s="4" t="s">
        <v>24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 t="s">
        <v>1037</v>
      </c>
      <c r="B467" s="4" t="s">
        <v>1038</v>
      </c>
      <c r="C467" s="13">
        <v>700</v>
      </c>
      <c r="D467" s="10" t="s">
        <v>27</v>
      </c>
      <c r="E467" s="4"/>
      <c r="F467" s="4"/>
      <c r="G467" s="4" t="s">
        <v>806</v>
      </c>
      <c r="H467" s="4" t="s">
        <v>764</v>
      </c>
      <c r="I467" s="4"/>
      <c r="J467" s="4" t="s">
        <v>808</v>
      </c>
      <c r="K467" s="4" t="s">
        <v>809</v>
      </c>
      <c r="L467" s="4" t="s">
        <v>24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 t="s">
        <v>1039</v>
      </c>
      <c r="C468" s="58">
        <v>1000</v>
      </c>
      <c r="D468" s="10" t="s">
        <v>19</v>
      </c>
      <c r="E468" s="4"/>
      <c r="F468" s="4"/>
      <c r="G468" s="4" t="s">
        <v>806</v>
      </c>
      <c r="H468" s="4" t="s">
        <v>764</v>
      </c>
      <c r="I468" s="4"/>
      <c r="J468" s="4" t="s">
        <v>321</v>
      </c>
      <c r="K468" s="4" t="s">
        <v>240</v>
      </c>
      <c r="L468" s="4" t="s">
        <v>24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 t="s">
        <v>1040</v>
      </c>
      <c r="B469" s="4" t="s">
        <v>1041</v>
      </c>
      <c r="C469" s="13">
        <v>1500</v>
      </c>
      <c r="D469" s="10" t="s">
        <v>37</v>
      </c>
      <c r="E469" s="4"/>
      <c r="F469" s="4"/>
      <c r="G469" s="4" t="s">
        <v>806</v>
      </c>
      <c r="H469" s="4" t="s">
        <v>764</v>
      </c>
      <c r="I469" s="4"/>
      <c r="J469" s="4" t="s">
        <v>632</v>
      </c>
      <c r="K469" s="4" t="s">
        <v>633</v>
      </c>
      <c r="L469" s="4" t="s">
        <v>24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 t="s">
        <v>1042</v>
      </c>
      <c r="B470" s="4" t="s">
        <v>1043</v>
      </c>
      <c r="C470" s="13">
        <v>1000</v>
      </c>
      <c r="D470" s="10" t="s">
        <v>42</v>
      </c>
      <c r="E470" s="4"/>
      <c r="F470" s="4"/>
      <c r="G470" s="4" t="s">
        <v>806</v>
      </c>
      <c r="H470" s="4" t="s">
        <v>764</v>
      </c>
      <c r="I470" s="4"/>
      <c r="J470" s="4" t="s">
        <v>824</v>
      </c>
      <c r="K470" s="4" t="s">
        <v>825</v>
      </c>
      <c r="L470" s="4" t="s">
        <v>24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 t="s">
        <v>1044</v>
      </c>
      <c r="B471" s="4" t="s">
        <v>1045</v>
      </c>
      <c r="C471" s="13">
        <v>3000</v>
      </c>
      <c r="D471" s="10" t="s">
        <v>32</v>
      </c>
      <c r="E471" s="4"/>
      <c r="F471" s="4"/>
      <c r="G471" s="4" t="s">
        <v>806</v>
      </c>
      <c r="H471" s="4" t="s">
        <v>764</v>
      </c>
      <c r="I471" s="4"/>
      <c r="J471" s="4" t="s">
        <v>632</v>
      </c>
      <c r="K471" s="4" t="s">
        <v>633</v>
      </c>
      <c r="L471" s="4" t="s">
        <v>24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 t="s">
        <v>1046</v>
      </c>
      <c r="B472" s="4" t="s">
        <v>1047</v>
      </c>
      <c r="C472" s="13">
        <v>2000</v>
      </c>
      <c r="D472" s="10" t="s">
        <v>37</v>
      </c>
      <c r="E472" s="4"/>
      <c r="F472" s="4"/>
      <c r="G472" s="4" t="s">
        <v>806</v>
      </c>
      <c r="H472" s="4" t="s">
        <v>764</v>
      </c>
      <c r="I472" s="4"/>
      <c r="J472" s="4" t="s">
        <v>632</v>
      </c>
      <c r="K472" s="4" t="s">
        <v>633</v>
      </c>
      <c r="L472" s="4" t="s">
        <v>24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 t="s">
        <v>1048</v>
      </c>
      <c r="B473" s="4" t="s">
        <v>1049</v>
      </c>
      <c r="C473" s="71">
        <v>157.94</v>
      </c>
      <c r="D473" s="10" t="s">
        <v>32</v>
      </c>
      <c r="E473" s="4"/>
      <c r="F473" s="4"/>
      <c r="G473" s="4" t="s">
        <v>806</v>
      </c>
      <c r="H473" s="4" t="s">
        <v>764</v>
      </c>
      <c r="I473" s="4"/>
      <c r="J473" s="4" t="s">
        <v>33</v>
      </c>
      <c r="K473" s="4" t="s">
        <v>34</v>
      </c>
      <c r="L473" s="4" t="s">
        <v>24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 t="s">
        <v>1050</v>
      </c>
      <c r="B474" s="4" t="s">
        <v>1051</v>
      </c>
      <c r="C474" s="13">
        <v>3000</v>
      </c>
      <c r="D474" s="10" t="s">
        <v>32</v>
      </c>
      <c r="E474" s="4"/>
      <c r="F474" s="4"/>
      <c r="G474" s="4" t="s">
        <v>806</v>
      </c>
      <c r="H474" s="4" t="s">
        <v>764</v>
      </c>
      <c r="I474" s="4"/>
      <c r="J474" s="4" t="s">
        <v>632</v>
      </c>
      <c r="K474" s="4" t="s">
        <v>633</v>
      </c>
      <c r="L474" s="4" t="s">
        <v>24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 t="s">
        <v>1052</v>
      </c>
      <c r="B475" s="4" t="s">
        <v>1053</v>
      </c>
      <c r="C475" s="13">
        <v>2500</v>
      </c>
      <c r="D475" s="10" t="s">
        <v>42</v>
      </c>
      <c r="E475" s="4"/>
      <c r="F475" s="4"/>
      <c r="G475" s="4" t="s">
        <v>806</v>
      </c>
      <c r="H475" s="4" t="s">
        <v>764</v>
      </c>
      <c r="I475" s="4"/>
      <c r="J475" s="4" t="s">
        <v>632</v>
      </c>
      <c r="K475" s="4" t="s">
        <v>633</v>
      </c>
      <c r="L475" s="4" t="s">
        <v>24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 t="s">
        <v>1054</v>
      </c>
      <c r="C476" s="58">
        <v>3500</v>
      </c>
      <c r="D476" s="10" t="s">
        <v>19</v>
      </c>
      <c r="E476" s="4"/>
      <c r="F476" s="4"/>
      <c r="G476" s="4" t="s">
        <v>806</v>
      </c>
      <c r="H476" s="4" t="s">
        <v>764</v>
      </c>
      <c r="I476" s="4"/>
      <c r="J476" s="4" t="s">
        <v>33</v>
      </c>
      <c r="K476" s="4" t="s">
        <v>34</v>
      </c>
      <c r="L476" s="4" t="s">
        <v>24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 t="s">
        <v>1055</v>
      </c>
      <c r="B477" s="4" t="s">
        <v>1056</v>
      </c>
      <c r="C477" s="67">
        <v>372.5</v>
      </c>
      <c r="D477" s="10" t="s">
        <v>27</v>
      </c>
      <c r="E477" s="4"/>
      <c r="F477" s="4"/>
      <c r="G477" s="4" t="s">
        <v>806</v>
      </c>
      <c r="H477" s="4" t="s">
        <v>764</v>
      </c>
      <c r="I477" s="4"/>
      <c r="J477" s="4" t="s">
        <v>1057</v>
      </c>
      <c r="K477" s="4" t="s">
        <v>1058</v>
      </c>
      <c r="L477" s="4" t="s">
        <v>24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 t="s">
        <v>1059</v>
      </c>
      <c r="B478" s="4" t="s">
        <v>1060</v>
      </c>
      <c r="C478" s="13">
        <v>2500</v>
      </c>
      <c r="D478" s="10" t="s">
        <v>32</v>
      </c>
      <c r="E478" s="4"/>
      <c r="F478" s="4"/>
      <c r="G478" s="4" t="s">
        <v>806</v>
      </c>
      <c r="H478" s="4" t="s">
        <v>764</v>
      </c>
      <c r="I478" s="4"/>
      <c r="J478" s="4" t="s">
        <v>824</v>
      </c>
      <c r="K478" s="4" t="s">
        <v>825</v>
      </c>
      <c r="L478" s="4" t="s">
        <v>24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 t="s">
        <v>1061</v>
      </c>
      <c r="B479" s="4" t="s">
        <v>1062</v>
      </c>
      <c r="C479" s="13">
        <v>1000</v>
      </c>
      <c r="D479" s="10" t="s">
        <v>27</v>
      </c>
      <c r="E479" s="4"/>
      <c r="F479" s="4"/>
      <c r="G479" s="4" t="s">
        <v>806</v>
      </c>
      <c r="H479" s="4" t="s">
        <v>764</v>
      </c>
      <c r="I479" s="4"/>
      <c r="J479" s="4" t="s">
        <v>916</v>
      </c>
      <c r="K479" s="4" t="s">
        <v>1063</v>
      </c>
      <c r="L479" s="4" t="s">
        <v>24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 t="s">
        <v>1064</v>
      </c>
      <c r="B480" s="4" t="s">
        <v>1065</v>
      </c>
      <c r="C480" s="13">
        <v>3000</v>
      </c>
      <c r="D480" s="10" t="s">
        <v>27</v>
      </c>
      <c r="E480" s="4"/>
      <c r="F480" s="4"/>
      <c r="G480" s="4" t="s">
        <v>806</v>
      </c>
      <c r="H480" s="4" t="s">
        <v>764</v>
      </c>
      <c r="I480" s="4"/>
      <c r="J480" s="4" t="s">
        <v>828</v>
      </c>
      <c r="K480" s="4" t="s">
        <v>829</v>
      </c>
      <c r="L480" s="4" t="s">
        <v>24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 t="s">
        <v>1066</v>
      </c>
      <c r="B481" s="4" t="s">
        <v>1067</v>
      </c>
      <c r="C481" s="67">
        <v>2716.27</v>
      </c>
      <c r="D481" s="10" t="s">
        <v>27</v>
      </c>
      <c r="E481" s="4"/>
      <c r="F481" s="4"/>
      <c r="G481" s="4" t="s">
        <v>806</v>
      </c>
      <c r="H481" s="4" t="s">
        <v>764</v>
      </c>
      <c r="I481" s="4"/>
      <c r="J481" s="4" t="s">
        <v>898</v>
      </c>
      <c r="K481" s="4" t="s">
        <v>899</v>
      </c>
      <c r="L481" s="4" t="s">
        <v>24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 t="s">
        <v>1068</v>
      </c>
      <c r="B482" s="4" t="s">
        <v>1069</v>
      </c>
      <c r="C482" s="67">
        <v>2902.52</v>
      </c>
      <c r="D482" s="10" t="s">
        <v>27</v>
      </c>
      <c r="E482" s="4"/>
      <c r="F482" s="4"/>
      <c r="G482" s="4" t="s">
        <v>806</v>
      </c>
      <c r="H482" s="4" t="s">
        <v>764</v>
      </c>
      <c r="I482" s="4"/>
      <c r="J482" s="4" t="s">
        <v>824</v>
      </c>
      <c r="K482" s="4" t="s">
        <v>825</v>
      </c>
      <c r="L482" s="4" t="s">
        <v>24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 t="s">
        <v>1070</v>
      </c>
      <c r="C483" s="58">
        <v>4500</v>
      </c>
      <c r="D483" s="10" t="s">
        <v>27</v>
      </c>
      <c r="E483" s="4"/>
      <c r="F483" s="4"/>
      <c r="G483" s="4" t="s">
        <v>763</v>
      </c>
      <c r="H483" s="4" t="s">
        <v>764</v>
      </c>
      <c r="I483" s="4"/>
      <c r="J483" s="4"/>
      <c r="K483" s="4" t="s">
        <v>633</v>
      </c>
      <c r="L483" s="4" t="s">
        <v>24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 t="s">
        <v>1071</v>
      </c>
      <c r="B484" s="4" t="s">
        <v>1072</v>
      </c>
      <c r="C484" s="13">
        <v>900</v>
      </c>
      <c r="D484" s="10" t="s">
        <v>27</v>
      </c>
      <c r="E484" s="4"/>
      <c r="F484" s="4"/>
      <c r="G484" s="4" t="s">
        <v>806</v>
      </c>
      <c r="H484" s="4" t="s">
        <v>764</v>
      </c>
      <c r="I484" s="4"/>
      <c r="J484" s="4" t="s">
        <v>632</v>
      </c>
      <c r="K484" s="4" t="s">
        <v>633</v>
      </c>
      <c r="L484" s="4" t="s">
        <v>24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 t="s">
        <v>1073</v>
      </c>
      <c r="B485" s="4" t="s">
        <v>1074</v>
      </c>
      <c r="C485" s="13">
        <v>3000</v>
      </c>
      <c r="D485" s="10" t="s">
        <v>27</v>
      </c>
      <c r="E485" s="4"/>
      <c r="F485" s="4"/>
      <c r="G485" s="4" t="s">
        <v>806</v>
      </c>
      <c r="H485" s="4" t="s">
        <v>764</v>
      </c>
      <c r="I485" s="4"/>
      <c r="J485" s="4" t="s">
        <v>824</v>
      </c>
      <c r="K485" s="4" t="s">
        <v>825</v>
      </c>
      <c r="L485" s="4" t="s">
        <v>24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 t="s">
        <v>1075</v>
      </c>
      <c r="B486" s="4" t="s">
        <v>1076</v>
      </c>
      <c r="C486" s="13">
        <v>1500</v>
      </c>
      <c r="D486" s="10" t="s">
        <v>27</v>
      </c>
      <c r="E486" s="4"/>
      <c r="F486" s="4"/>
      <c r="G486" s="4" t="s">
        <v>806</v>
      </c>
      <c r="H486" s="4" t="s">
        <v>764</v>
      </c>
      <c r="I486" s="4"/>
      <c r="J486" s="4" t="s">
        <v>824</v>
      </c>
      <c r="K486" s="4" t="s">
        <v>825</v>
      </c>
      <c r="L486" s="4" t="s">
        <v>24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 t="s">
        <v>1077</v>
      </c>
      <c r="C487" s="66">
        <v>25123</v>
      </c>
      <c r="D487" s="10" t="s">
        <v>27</v>
      </c>
      <c r="E487" s="4"/>
      <c r="F487" s="4"/>
      <c r="G487" s="4" t="s">
        <v>895</v>
      </c>
      <c r="H487" s="4" t="s">
        <v>764</v>
      </c>
      <c r="I487" s="4"/>
      <c r="J487" s="4"/>
      <c r="K487" s="4" t="s">
        <v>633</v>
      </c>
      <c r="L487" s="4" t="s">
        <v>24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 t="s">
        <v>1078</v>
      </c>
      <c r="C488" s="69">
        <v>20664.810000000001</v>
      </c>
      <c r="D488" s="10" t="s">
        <v>27</v>
      </c>
      <c r="E488" s="4"/>
      <c r="F488" s="4"/>
      <c r="G488" s="4" t="s">
        <v>763</v>
      </c>
      <c r="H488" s="4" t="s">
        <v>764</v>
      </c>
      <c r="I488" s="4"/>
      <c r="J488" s="4"/>
      <c r="K488" s="4" t="s">
        <v>633</v>
      </c>
      <c r="L488" s="4" t="s">
        <v>24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 t="s">
        <v>1079</v>
      </c>
      <c r="C489" s="66">
        <v>39448</v>
      </c>
      <c r="D489" s="10" t="s">
        <v>27</v>
      </c>
      <c r="E489" s="4"/>
      <c r="F489" s="4"/>
      <c r="G489" s="4" t="s">
        <v>1080</v>
      </c>
      <c r="H489" s="4" t="s">
        <v>764</v>
      </c>
      <c r="I489" s="4"/>
      <c r="J489" s="4"/>
      <c r="K489" s="4" t="s">
        <v>633</v>
      </c>
      <c r="L489" s="4" t="s">
        <v>24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 t="s">
        <v>1081</v>
      </c>
      <c r="C490" s="66">
        <v>24625</v>
      </c>
      <c r="D490" s="10" t="s">
        <v>27</v>
      </c>
      <c r="E490" s="4"/>
      <c r="F490" s="4"/>
      <c r="G490" s="4" t="s">
        <v>1082</v>
      </c>
      <c r="H490" s="4" t="s">
        <v>764</v>
      </c>
      <c r="I490" s="4"/>
      <c r="J490" s="4"/>
      <c r="K490" s="4" t="s">
        <v>633</v>
      </c>
      <c r="L490" s="4" t="s">
        <v>24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 t="s">
        <v>1083</v>
      </c>
      <c r="C491" s="67">
        <v>41244.69</v>
      </c>
      <c r="D491" s="10" t="s">
        <v>27</v>
      </c>
      <c r="E491" s="4"/>
      <c r="F491" s="4"/>
      <c r="G491" s="4" t="s">
        <v>1084</v>
      </c>
      <c r="H491" s="4" t="s">
        <v>764</v>
      </c>
      <c r="I491" s="4"/>
      <c r="J491" s="4"/>
      <c r="K491" s="4" t="s">
        <v>633</v>
      </c>
      <c r="L491" s="4" t="s">
        <v>24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 t="s">
        <v>1085</v>
      </c>
      <c r="C492" s="67">
        <v>28764.45</v>
      </c>
      <c r="D492" s="10" t="s">
        <v>27</v>
      </c>
      <c r="E492" s="4"/>
      <c r="F492" s="4"/>
      <c r="G492" s="4" t="s">
        <v>1086</v>
      </c>
      <c r="H492" s="4" t="s">
        <v>764</v>
      </c>
      <c r="I492" s="4"/>
      <c r="J492" s="4"/>
      <c r="K492" s="4" t="s">
        <v>633</v>
      </c>
      <c r="L492" s="4" t="s">
        <v>24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 t="s">
        <v>1087</v>
      </c>
      <c r="C493" s="67">
        <v>27119.489999999998</v>
      </c>
      <c r="D493" s="10" t="s">
        <v>27</v>
      </c>
      <c r="E493" s="4"/>
      <c r="F493" s="4"/>
      <c r="G493" s="4" t="s">
        <v>1088</v>
      </c>
      <c r="H493" s="4" t="s">
        <v>764</v>
      </c>
      <c r="I493" s="4"/>
      <c r="J493" s="4"/>
      <c r="K493" s="4" t="s">
        <v>633</v>
      </c>
      <c r="L493" s="4" t="s">
        <v>24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 t="s">
        <v>1089</v>
      </c>
      <c r="C494" s="67">
        <v>15670.33</v>
      </c>
      <c r="D494" s="10" t="s">
        <v>27</v>
      </c>
      <c r="E494" s="4"/>
      <c r="F494" s="4"/>
      <c r="G494" s="4" t="s">
        <v>1090</v>
      </c>
      <c r="H494" s="4" t="s">
        <v>764</v>
      </c>
      <c r="I494" s="4"/>
      <c r="J494" s="4"/>
      <c r="K494" s="4" t="s">
        <v>633</v>
      </c>
      <c r="L494" s="4" t="s">
        <v>24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 t="s">
        <v>1091</v>
      </c>
      <c r="B495" s="4" t="s">
        <v>1092</v>
      </c>
      <c r="C495" s="13">
        <v>3000</v>
      </c>
      <c r="D495" s="10" t="s">
        <v>32</v>
      </c>
      <c r="E495" s="4"/>
      <c r="F495" s="4"/>
      <c r="G495" s="4" t="s">
        <v>806</v>
      </c>
      <c r="H495" s="4" t="s">
        <v>764</v>
      </c>
      <c r="I495" s="4"/>
      <c r="J495" s="4" t="s">
        <v>632</v>
      </c>
      <c r="K495" s="4" t="s">
        <v>633</v>
      </c>
      <c r="L495" s="4" t="s">
        <v>24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 t="s">
        <v>1093</v>
      </c>
      <c r="B496" s="4" t="s">
        <v>1094</v>
      </c>
      <c r="C496" s="13">
        <v>6674</v>
      </c>
      <c r="D496" s="10" t="s">
        <v>42</v>
      </c>
      <c r="E496" s="4"/>
      <c r="F496" s="4"/>
      <c r="G496" s="4" t="s">
        <v>806</v>
      </c>
      <c r="H496" s="4" t="s">
        <v>764</v>
      </c>
      <c r="I496" s="4"/>
      <c r="J496" s="4" t="s">
        <v>632</v>
      </c>
      <c r="K496" s="4" t="s">
        <v>633</v>
      </c>
      <c r="L496" s="4" t="s">
        <v>24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 t="s">
        <v>1095</v>
      </c>
      <c r="B497" s="4" t="s">
        <v>1096</v>
      </c>
      <c r="C497" s="13">
        <v>300</v>
      </c>
      <c r="D497" s="10" t="s">
        <v>27</v>
      </c>
      <c r="E497" s="4"/>
      <c r="F497" s="4"/>
      <c r="G497" s="4" t="s">
        <v>806</v>
      </c>
      <c r="H497" s="4" t="s">
        <v>764</v>
      </c>
      <c r="I497" s="4"/>
      <c r="J497" s="4" t="s">
        <v>824</v>
      </c>
      <c r="K497" s="4" t="s">
        <v>825</v>
      </c>
      <c r="L497" s="4" t="s">
        <v>24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 t="s">
        <v>1097</v>
      </c>
      <c r="B498" s="4" t="s">
        <v>1098</v>
      </c>
      <c r="C498" s="13">
        <v>1500</v>
      </c>
      <c r="D498" s="10" t="s">
        <v>27</v>
      </c>
      <c r="E498" s="4"/>
      <c r="F498" s="4"/>
      <c r="G498" s="4" t="s">
        <v>806</v>
      </c>
      <c r="H498" s="4" t="s">
        <v>764</v>
      </c>
      <c r="I498" s="4"/>
      <c r="J498" s="4" t="s">
        <v>824</v>
      </c>
      <c r="K498" s="4" t="s">
        <v>825</v>
      </c>
      <c r="L498" s="4" t="s">
        <v>24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 t="s">
        <v>1099</v>
      </c>
      <c r="B499" s="4" t="s">
        <v>1100</v>
      </c>
      <c r="C499" s="13">
        <v>3000</v>
      </c>
      <c r="D499" s="10" t="s">
        <v>32</v>
      </c>
      <c r="E499" s="4"/>
      <c r="F499" s="4"/>
      <c r="G499" s="4" t="s">
        <v>806</v>
      </c>
      <c r="H499" s="4" t="s">
        <v>764</v>
      </c>
      <c r="I499" s="4"/>
      <c r="J499" s="4" t="s">
        <v>824</v>
      </c>
      <c r="K499" s="4" t="s">
        <v>825</v>
      </c>
      <c r="L499" s="4" t="s">
        <v>24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 t="s">
        <v>1101</v>
      </c>
      <c r="B500" s="4" t="s">
        <v>1102</v>
      </c>
      <c r="C500" s="13">
        <v>1500</v>
      </c>
      <c r="D500" s="10" t="s">
        <v>32</v>
      </c>
      <c r="E500" s="4"/>
      <c r="F500" s="4"/>
      <c r="G500" s="4" t="s">
        <v>806</v>
      </c>
      <c r="H500" s="4" t="s">
        <v>764</v>
      </c>
      <c r="I500" s="4"/>
      <c r="J500" s="4" t="s">
        <v>824</v>
      </c>
      <c r="K500" s="4" t="s">
        <v>825</v>
      </c>
      <c r="L500" s="4" t="s">
        <v>24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 t="s">
        <v>1103</v>
      </c>
      <c r="B501" s="4" t="s">
        <v>1104</v>
      </c>
      <c r="C501" s="13">
        <v>1500</v>
      </c>
      <c r="D501" s="10" t="s">
        <v>27</v>
      </c>
      <c r="E501" s="4"/>
      <c r="F501" s="4"/>
      <c r="G501" s="4" t="s">
        <v>806</v>
      </c>
      <c r="H501" s="4" t="s">
        <v>764</v>
      </c>
      <c r="I501" s="4"/>
      <c r="J501" s="4" t="s">
        <v>824</v>
      </c>
      <c r="K501" s="4" t="s">
        <v>825</v>
      </c>
      <c r="L501" s="4" t="s">
        <v>24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 t="s">
        <v>1105</v>
      </c>
      <c r="B502" s="4" t="s">
        <v>1106</v>
      </c>
      <c r="C502" s="13">
        <v>1500</v>
      </c>
      <c r="D502" s="10" t="s">
        <v>27</v>
      </c>
      <c r="E502" s="4"/>
      <c r="F502" s="4"/>
      <c r="G502" s="4" t="s">
        <v>806</v>
      </c>
      <c r="H502" s="4" t="s">
        <v>764</v>
      </c>
      <c r="I502" s="4"/>
      <c r="J502" s="4" t="s">
        <v>824</v>
      </c>
      <c r="K502" s="4" t="s">
        <v>825</v>
      </c>
      <c r="L502" s="4" t="s">
        <v>24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 t="s">
        <v>1107</v>
      </c>
      <c r="B503" s="4" t="s">
        <v>1108</v>
      </c>
      <c r="C503" s="13">
        <v>1500</v>
      </c>
      <c r="D503" s="10" t="s">
        <v>27</v>
      </c>
      <c r="E503" s="4"/>
      <c r="F503" s="4"/>
      <c r="G503" s="4" t="s">
        <v>806</v>
      </c>
      <c r="H503" s="4" t="s">
        <v>764</v>
      </c>
      <c r="I503" s="4"/>
      <c r="J503" s="4" t="s">
        <v>824</v>
      </c>
      <c r="K503" s="4" t="s">
        <v>825</v>
      </c>
      <c r="L503" s="4" t="s">
        <v>24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 t="s">
        <v>1109</v>
      </c>
      <c r="B504" s="4" t="s">
        <v>1110</v>
      </c>
      <c r="C504" s="13">
        <v>1500</v>
      </c>
      <c r="D504" s="10" t="s">
        <v>42</v>
      </c>
      <c r="E504" s="4"/>
      <c r="F504" s="4"/>
      <c r="G504" s="4" t="s">
        <v>806</v>
      </c>
      <c r="H504" s="4" t="s">
        <v>764</v>
      </c>
      <c r="I504" s="4"/>
      <c r="J504" s="4" t="s">
        <v>824</v>
      </c>
      <c r="K504" s="4" t="s">
        <v>825</v>
      </c>
      <c r="L504" s="4" t="s">
        <v>24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 t="s">
        <v>1111</v>
      </c>
      <c r="B505" s="4" t="s">
        <v>1112</v>
      </c>
      <c r="C505" s="13">
        <v>2500</v>
      </c>
      <c r="D505" s="10" t="s">
        <v>27</v>
      </c>
      <c r="E505" s="4"/>
      <c r="F505" s="4"/>
      <c r="G505" s="4" t="s">
        <v>806</v>
      </c>
      <c r="H505" s="4" t="s">
        <v>764</v>
      </c>
      <c r="I505" s="4"/>
      <c r="J505" s="4" t="s">
        <v>828</v>
      </c>
      <c r="K505" s="4" t="s">
        <v>829</v>
      </c>
      <c r="L505" s="4" t="s">
        <v>24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 t="s">
        <v>1113</v>
      </c>
      <c r="B506" s="4" t="s">
        <v>1114</v>
      </c>
      <c r="C506" s="13">
        <v>2500</v>
      </c>
      <c r="D506" s="10" t="s">
        <v>27</v>
      </c>
      <c r="E506" s="4"/>
      <c r="F506" s="4"/>
      <c r="G506" s="4" t="s">
        <v>806</v>
      </c>
      <c r="H506" s="4" t="s">
        <v>764</v>
      </c>
      <c r="I506" s="4"/>
      <c r="J506" s="4" t="s">
        <v>828</v>
      </c>
      <c r="K506" s="4" t="s">
        <v>829</v>
      </c>
      <c r="L506" s="4" t="s">
        <v>24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 t="s">
        <v>1115</v>
      </c>
      <c r="B507" s="4" t="s">
        <v>1116</v>
      </c>
      <c r="C507" s="58">
        <v>3500</v>
      </c>
      <c r="D507" s="10" t="s">
        <v>32</v>
      </c>
      <c r="E507" s="4"/>
      <c r="F507" s="4"/>
      <c r="G507" s="4" t="s">
        <v>806</v>
      </c>
      <c r="H507" s="4" t="s">
        <v>764</v>
      </c>
      <c r="I507" s="4"/>
      <c r="J507" s="4" t="s">
        <v>33</v>
      </c>
      <c r="K507" s="4" t="s">
        <v>34</v>
      </c>
      <c r="L507" s="4" t="s">
        <v>24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 t="s">
        <v>1117</v>
      </c>
      <c r="B508" s="4" t="s">
        <v>1118</v>
      </c>
      <c r="C508" s="13">
        <v>688</v>
      </c>
      <c r="D508" s="10" t="s">
        <v>27</v>
      </c>
      <c r="E508" s="4"/>
      <c r="F508" s="4"/>
      <c r="G508" s="4" t="s">
        <v>806</v>
      </c>
      <c r="H508" s="4" t="s">
        <v>764</v>
      </c>
      <c r="I508" s="4"/>
      <c r="J508" s="4" t="s">
        <v>808</v>
      </c>
      <c r="K508" s="4" t="s">
        <v>809</v>
      </c>
      <c r="L508" s="4" t="s">
        <v>24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 t="s">
        <v>1119</v>
      </c>
      <c r="B509" s="4" t="s">
        <v>1120</v>
      </c>
      <c r="C509" s="13">
        <v>700</v>
      </c>
      <c r="D509" s="10" t="s">
        <v>27</v>
      </c>
      <c r="E509" s="4"/>
      <c r="F509" s="4"/>
      <c r="G509" s="4" t="s">
        <v>806</v>
      </c>
      <c r="H509" s="4" t="s">
        <v>764</v>
      </c>
      <c r="I509" s="4"/>
      <c r="J509" s="4" t="s">
        <v>808</v>
      </c>
      <c r="K509" s="4" t="s">
        <v>809</v>
      </c>
      <c r="L509" s="4" t="s">
        <v>24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 t="s">
        <v>1121</v>
      </c>
      <c r="B510" s="4" t="s">
        <v>1122</v>
      </c>
      <c r="C510" s="13">
        <v>607</v>
      </c>
      <c r="D510" s="10" t="s">
        <v>27</v>
      </c>
      <c r="E510" s="4"/>
      <c r="F510" s="4"/>
      <c r="G510" s="4" t="s">
        <v>806</v>
      </c>
      <c r="H510" s="4" t="s">
        <v>764</v>
      </c>
      <c r="I510" s="4"/>
      <c r="J510" s="4" t="s">
        <v>808</v>
      </c>
      <c r="K510" s="4" t="s">
        <v>809</v>
      </c>
      <c r="L510" s="4" t="s">
        <v>24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 t="s">
        <v>1123</v>
      </c>
      <c r="B511" s="4" t="s">
        <v>1124</v>
      </c>
      <c r="C511" s="13">
        <v>300</v>
      </c>
      <c r="D511" s="10" t="s">
        <v>27</v>
      </c>
      <c r="E511" s="4"/>
      <c r="F511" s="4"/>
      <c r="G511" s="4" t="s">
        <v>806</v>
      </c>
      <c r="H511" s="4" t="s">
        <v>764</v>
      </c>
      <c r="I511" s="4"/>
      <c r="J511" s="4" t="s">
        <v>808</v>
      </c>
      <c r="K511" s="4" t="s">
        <v>809</v>
      </c>
      <c r="L511" s="4" t="s">
        <v>24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 t="s">
        <v>1125</v>
      </c>
      <c r="B512" s="4" t="s">
        <v>1126</v>
      </c>
      <c r="C512" s="13">
        <v>150</v>
      </c>
      <c r="D512" s="10" t="s">
        <v>27</v>
      </c>
      <c r="E512" s="4"/>
      <c r="F512" s="4"/>
      <c r="G512" s="4" t="s">
        <v>806</v>
      </c>
      <c r="H512" s="4" t="s">
        <v>764</v>
      </c>
      <c r="I512" s="4"/>
      <c r="J512" s="4" t="s">
        <v>632</v>
      </c>
      <c r="K512" s="4" t="s">
        <v>633</v>
      </c>
      <c r="L512" s="4" t="s">
        <v>24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 t="s">
        <v>1127</v>
      </c>
      <c r="B513" s="4" t="s">
        <v>1128</v>
      </c>
      <c r="C513" s="13">
        <v>387</v>
      </c>
      <c r="D513" s="10" t="s">
        <v>27</v>
      </c>
      <c r="E513" s="4"/>
      <c r="F513" s="4"/>
      <c r="G513" s="4" t="s">
        <v>806</v>
      </c>
      <c r="H513" s="4" t="s">
        <v>764</v>
      </c>
      <c r="I513" s="4"/>
      <c r="J513" s="4" t="s">
        <v>808</v>
      </c>
      <c r="K513" s="4" t="s">
        <v>809</v>
      </c>
      <c r="L513" s="4" t="s">
        <v>24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 t="s">
        <v>1129</v>
      </c>
      <c r="B514" s="4" t="s">
        <v>1130</v>
      </c>
      <c r="C514" s="58">
        <v>3000</v>
      </c>
      <c r="D514" s="10" t="s">
        <v>32</v>
      </c>
      <c r="E514" s="4"/>
      <c r="F514" s="4"/>
      <c r="G514" s="4" t="s">
        <v>806</v>
      </c>
      <c r="H514" s="4" t="s">
        <v>764</v>
      </c>
      <c r="I514" s="4"/>
      <c r="J514" s="4" t="s">
        <v>33</v>
      </c>
      <c r="K514" s="4" t="s">
        <v>34</v>
      </c>
      <c r="L514" s="4" t="s">
        <v>24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 t="s">
        <v>1131</v>
      </c>
      <c r="B515" s="4" t="s">
        <v>1132</v>
      </c>
      <c r="C515" s="13">
        <v>250</v>
      </c>
      <c r="D515" s="10" t="s">
        <v>27</v>
      </c>
      <c r="E515" s="4"/>
      <c r="F515" s="4"/>
      <c r="G515" s="4" t="s">
        <v>806</v>
      </c>
      <c r="H515" s="4" t="s">
        <v>764</v>
      </c>
      <c r="I515" s="4"/>
      <c r="J515" s="4" t="s">
        <v>808</v>
      </c>
      <c r="K515" s="4" t="s">
        <v>809</v>
      </c>
      <c r="L515" s="4" t="s">
        <v>24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 t="s">
        <v>1133</v>
      </c>
      <c r="B516" s="4" t="s">
        <v>1134</v>
      </c>
      <c r="C516" s="13">
        <v>250</v>
      </c>
      <c r="D516" s="10" t="s">
        <v>27</v>
      </c>
      <c r="E516" s="4"/>
      <c r="F516" s="4"/>
      <c r="G516" s="4" t="s">
        <v>806</v>
      </c>
      <c r="H516" s="4" t="s">
        <v>764</v>
      </c>
      <c r="I516" s="4"/>
      <c r="J516" s="4" t="s">
        <v>808</v>
      </c>
      <c r="K516" s="4" t="s">
        <v>809</v>
      </c>
      <c r="L516" s="4" t="s">
        <v>24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 t="s">
        <v>1135</v>
      </c>
      <c r="B517" s="4" t="s">
        <v>1136</v>
      </c>
      <c r="C517" s="13">
        <v>250</v>
      </c>
      <c r="D517" s="10" t="s">
        <v>27</v>
      </c>
      <c r="E517" s="4"/>
      <c r="F517" s="4"/>
      <c r="G517" s="4" t="s">
        <v>806</v>
      </c>
      <c r="H517" s="4" t="s">
        <v>764</v>
      </c>
      <c r="I517" s="4"/>
      <c r="J517" s="4" t="s">
        <v>808</v>
      </c>
      <c r="K517" s="4" t="s">
        <v>809</v>
      </c>
      <c r="L517" s="4" t="s">
        <v>24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 t="s">
        <v>1137</v>
      </c>
      <c r="B518" s="4" t="s">
        <v>1138</v>
      </c>
      <c r="C518" s="13">
        <v>250</v>
      </c>
      <c r="D518" s="10" t="s">
        <v>27</v>
      </c>
      <c r="E518" s="4"/>
      <c r="F518" s="4"/>
      <c r="G518" s="4" t="s">
        <v>806</v>
      </c>
      <c r="H518" s="4" t="s">
        <v>764</v>
      </c>
      <c r="I518" s="4"/>
      <c r="J518" s="4" t="s">
        <v>808</v>
      </c>
      <c r="K518" s="4" t="s">
        <v>809</v>
      </c>
      <c r="L518" s="4" t="s">
        <v>24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 t="s">
        <v>1139</v>
      </c>
      <c r="B519" s="4" t="s">
        <v>1140</v>
      </c>
      <c r="C519" s="13">
        <v>1500</v>
      </c>
      <c r="D519" s="10" t="s">
        <v>27</v>
      </c>
      <c r="E519" s="4"/>
      <c r="F519" s="4"/>
      <c r="G519" s="4" t="s">
        <v>806</v>
      </c>
      <c r="H519" s="4" t="s">
        <v>764</v>
      </c>
      <c r="I519" s="4"/>
      <c r="J519" s="4" t="s">
        <v>628</v>
      </c>
      <c r="K519" s="4" t="s">
        <v>629</v>
      </c>
      <c r="L519" s="4" t="s">
        <v>24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 t="s">
        <v>1141</v>
      </c>
      <c r="B520" s="4" t="s">
        <v>1142</v>
      </c>
      <c r="C520" s="13">
        <v>500</v>
      </c>
      <c r="D520" s="10" t="s">
        <v>27</v>
      </c>
      <c r="E520" s="4"/>
      <c r="F520" s="4"/>
      <c r="G520" s="4" t="s">
        <v>806</v>
      </c>
      <c r="H520" s="4" t="s">
        <v>764</v>
      </c>
      <c r="I520" s="4"/>
      <c r="J520" s="4" t="s">
        <v>828</v>
      </c>
      <c r="K520" s="4" t="s">
        <v>829</v>
      </c>
      <c r="L520" s="4" t="s">
        <v>24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 t="s">
        <v>1143</v>
      </c>
      <c r="B521" s="4" t="s">
        <v>1144</v>
      </c>
      <c r="C521" s="13">
        <v>3500</v>
      </c>
      <c r="D521" s="10" t="s">
        <v>32</v>
      </c>
      <c r="E521" s="4"/>
      <c r="F521" s="4"/>
      <c r="G521" s="4" t="s">
        <v>806</v>
      </c>
      <c r="H521" s="4" t="s">
        <v>764</v>
      </c>
      <c r="I521" s="4"/>
      <c r="J521" s="4" t="s">
        <v>33</v>
      </c>
      <c r="K521" s="4" t="s">
        <v>34</v>
      </c>
      <c r="L521" s="4" t="s">
        <v>24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 t="s">
        <v>1145</v>
      </c>
      <c r="B522" s="4" t="s">
        <v>1146</v>
      </c>
      <c r="C522" s="13">
        <v>3500</v>
      </c>
      <c r="D522" s="10" t="s">
        <v>32</v>
      </c>
      <c r="E522" s="4"/>
      <c r="F522" s="4"/>
      <c r="G522" s="4" t="s">
        <v>806</v>
      </c>
      <c r="H522" s="4" t="s">
        <v>764</v>
      </c>
      <c r="I522" s="4"/>
      <c r="J522" s="4" t="s">
        <v>632</v>
      </c>
      <c r="K522" s="4" t="s">
        <v>633</v>
      </c>
      <c r="L522" s="4" t="s">
        <v>24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 t="s">
        <v>1147</v>
      </c>
      <c r="B523" s="4" t="s">
        <v>1148</v>
      </c>
      <c r="C523" s="13">
        <v>3500</v>
      </c>
      <c r="D523" s="10" t="s">
        <v>32</v>
      </c>
      <c r="E523" s="4"/>
      <c r="F523" s="4"/>
      <c r="G523" s="4" t="s">
        <v>806</v>
      </c>
      <c r="H523" s="4" t="s">
        <v>764</v>
      </c>
      <c r="I523" s="4"/>
      <c r="J523" s="4" t="s">
        <v>632</v>
      </c>
      <c r="K523" s="4" t="s">
        <v>633</v>
      </c>
      <c r="L523" s="4" t="s">
        <v>24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 t="s">
        <v>1149</v>
      </c>
      <c r="C524" s="58">
        <v>4500</v>
      </c>
      <c r="D524" s="10" t="s">
        <v>32</v>
      </c>
      <c r="E524" s="4"/>
      <c r="F524" s="4"/>
      <c r="G524" s="4" t="s">
        <v>806</v>
      </c>
      <c r="H524" s="4" t="s">
        <v>764</v>
      </c>
      <c r="I524" s="4"/>
      <c r="J524" s="4" t="s">
        <v>632</v>
      </c>
      <c r="K524" s="4" t="s">
        <v>633</v>
      </c>
      <c r="L524" s="4" t="s">
        <v>24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 t="s">
        <v>1150</v>
      </c>
      <c r="C525" s="58">
        <v>4500</v>
      </c>
      <c r="D525" s="10" t="s">
        <v>32</v>
      </c>
      <c r="E525" s="4"/>
      <c r="F525" s="4"/>
      <c r="G525" s="4" t="s">
        <v>895</v>
      </c>
      <c r="H525" s="4" t="s">
        <v>764</v>
      </c>
      <c r="I525" s="4"/>
      <c r="J525" s="4"/>
      <c r="K525" s="4" t="s">
        <v>633</v>
      </c>
      <c r="L525" s="4" t="s">
        <v>24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 t="s">
        <v>1151</v>
      </c>
      <c r="C526" s="13">
        <v>19572</v>
      </c>
      <c r="D526" s="10" t="s">
        <v>32</v>
      </c>
      <c r="E526" s="4"/>
      <c r="F526" s="4"/>
      <c r="G526" s="4" t="s">
        <v>895</v>
      </c>
      <c r="H526" s="4" t="s">
        <v>764</v>
      </c>
      <c r="I526" s="4"/>
      <c r="J526" s="4"/>
      <c r="K526" s="4" t="s">
        <v>633</v>
      </c>
      <c r="L526" s="4" t="s">
        <v>24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 t="s">
        <v>1152</v>
      </c>
      <c r="C527" s="58">
        <v>1500</v>
      </c>
      <c r="D527" s="10" t="s">
        <v>32</v>
      </c>
      <c r="E527" s="4"/>
      <c r="F527" s="4"/>
      <c r="G527" s="4" t="s">
        <v>763</v>
      </c>
      <c r="H527" s="4" t="s">
        <v>764</v>
      </c>
      <c r="I527" s="4"/>
      <c r="J527" s="4" t="s">
        <v>632</v>
      </c>
      <c r="K527" s="4" t="s">
        <v>633</v>
      </c>
      <c r="L527" s="4" t="s">
        <v>474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 t="s">
        <v>1153</v>
      </c>
      <c r="B528" s="4" t="s">
        <v>1154</v>
      </c>
      <c r="C528" s="13">
        <v>3500</v>
      </c>
      <c r="D528" s="10" t="s">
        <v>32</v>
      </c>
      <c r="E528" s="4"/>
      <c r="F528" s="4"/>
      <c r="G528" s="4" t="s">
        <v>806</v>
      </c>
      <c r="H528" s="4" t="s">
        <v>764</v>
      </c>
      <c r="I528" s="4"/>
      <c r="J528" s="4" t="s">
        <v>828</v>
      </c>
      <c r="K528" s="4" t="s">
        <v>829</v>
      </c>
      <c r="L528" s="4" t="s">
        <v>24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 t="s">
        <v>1155</v>
      </c>
      <c r="B529" s="4" t="s">
        <v>1156</v>
      </c>
      <c r="C529" s="13">
        <v>3500</v>
      </c>
      <c r="D529" s="10" t="s">
        <v>32</v>
      </c>
      <c r="E529" s="4"/>
      <c r="F529" s="4"/>
      <c r="G529" s="4" t="s">
        <v>806</v>
      </c>
      <c r="H529" s="4" t="s">
        <v>764</v>
      </c>
      <c r="I529" s="4"/>
      <c r="J529" s="4" t="s">
        <v>632</v>
      </c>
      <c r="K529" s="4" t="s">
        <v>633</v>
      </c>
      <c r="L529" s="4" t="s">
        <v>24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 t="s">
        <v>1157</v>
      </c>
      <c r="C530" s="58">
        <v>7500</v>
      </c>
      <c r="D530" s="10" t="s">
        <v>32</v>
      </c>
      <c r="E530" s="4"/>
      <c r="F530" s="4"/>
      <c r="G530" s="4" t="s">
        <v>806</v>
      </c>
      <c r="H530" s="4" t="s">
        <v>764</v>
      </c>
      <c r="I530" s="4"/>
      <c r="J530" s="4" t="s">
        <v>632</v>
      </c>
      <c r="K530" s="4" t="s">
        <v>633</v>
      </c>
      <c r="L530" s="4" t="s">
        <v>24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 t="s">
        <v>1158</v>
      </c>
      <c r="C531" s="58">
        <v>4500</v>
      </c>
      <c r="D531" s="10" t="s">
        <v>32</v>
      </c>
      <c r="E531" s="4"/>
      <c r="F531" s="4"/>
      <c r="G531" s="4" t="s">
        <v>806</v>
      </c>
      <c r="H531" s="4" t="s">
        <v>764</v>
      </c>
      <c r="I531" s="4"/>
      <c r="J531" s="4" t="s">
        <v>632</v>
      </c>
      <c r="K531" s="4" t="s">
        <v>633</v>
      </c>
      <c r="L531" s="4" t="s">
        <v>24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 t="s">
        <v>1159</v>
      </c>
      <c r="B532" s="4" t="s">
        <v>1160</v>
      </c>
      <c r="C532" s="58">
        <v>4000</v>
      </c>
      <c r="D532" s="10" t="s">
        <v>42</v>
      </c>
      <c r="E532" s="4"/>
      <c r="F532" s="4"/>
      <c r="G532" s="4" t="s">
        <v>806</v>
      </c>
      <c r="H532" s="4" t="s">
        <v>764</v>
      </c>
      <c r="I532" s="4"/>
      <c r="J532" s="4" t="s">
        <v>33</v>
      </c>
      <c r="K532" s="4" t="s">
        <v>34</v>
      </c>
      <c r="L532" s="4" t="s">
        <v>24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 t="s">
        <v>1161</v>
      </c>
      <c r="B533" s="4" t="s">
        <v>1162</v>
      </c>
      <c r="C533" s="13">
        <v>3500</v>
      </c>
      <c r="D533" s="10" t="s">
        <v>32</v>
      </c>
      <c r="E533" s="4"/>
      <c r="F533" s="4"/>
      <c r="G533" s="4" t="s">
        <v>806</v>
      </c>
      <c r="H533" s="4" t="s">
        <v>764</v>
      </c>
      <c r="I533" s="4"/>
      <c r="J533" s="4" t="s">
        <v>632</v>
      </c>
      <c r="K533" s="4" t="s">
        <v>633</v>
      </c>
      <c r="L533" s="4" t="s">
        <v>24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 t="s">
        <v>1163</v>
      </c>
      <c r="B534" s="4" t="s">
        <v>1164</v>
      </c>
      <c r="C534" s="13">
        <v>3500</v>
      </c>
      <c r="D534" s="10" t="s">
        <v>42</v>
      </c>
      <c r="E534" s="4"/>
      <c r="F534" s="4"/>
      <c r="G534" s="4" t="s">
        <v>806</v>
      </c>
      <c r="H534" s="4" t="s">
        <v>764</v>
      </c>
      <c r="I534" s="4"/>
      <c r="J534" s="4" t="s">
        <v>632</v>
      </c>
      <c r="K534" s="4" t="s">
        <v>633</v>
      </c>
      <c r="L534" s="4" t="s">
        <v>24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 t="s">
        <v>1165</v>
      </c>
      <c r="C535" s="58">
        <v>6000</v>
      </c>
      <c r="D535" s="10" t="s">
        <v>32</v>
      </c>
      <c r="E535" s="4"/>
      <c r="F535" s="4"/>
      <c r="G535" s="4" t="s">
        <v>806</v>
      </c>
      <c r="H535" s="4" t="s">
        <v>764</v>
      </c>
      <c r="I535" s="4"/>
      <c r="J535" s="4" t="s">
        <v>632</v>
      </c>
      <c r="K535" s="4" t="s">
        <v>633</v>
      </c>
      <c r="L535" s="4" t="s">
        <v>24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 t="s">
        <v>1166</v>
      </c>
      <c r="B536" s="7" t="s">
        <v>1167</v>
      </c>
      <c r="C536" s="66">
        <v>7516</v>
      </c>
      <c r="D536" s="10" t="s">
        <v>32</v>
      </c>
      <c r="E536" s="4"/>
      <c r="F536" s="4"/>
      <c r="G536" s="4" t="s">
        <v>806</v>
      </c>
      <c r="H536" s="4" t="s">
        <v>764</v>
      </c>
      <c r="I536" s="4"/>
      <c r="J536" s="4" t="s">
        <v>33</v>
      </c>
      <c r="K536" s="4" t="s">
        <v>34</v>
      </c>
      <c r="L536" s="4" t="s">
        <v>24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 t="s">
        <v>1168</v>
      </c>
      <c r="B537" s="7" t="s">
        <v>1169</v>
      </c>
      <c r="C537" s="13">
        <v>3500</v>
      </c>
      <c r="D537" s="10" t="s">
        <v>37</v>
      </c>
      <c r="E537" s="4"/>
      <c r="F537" s="4"/>
      <c r="G537" s="4" t="s">
        <v>806</v>
      </c>
      <c r="H537" s="4" t="s">
        <v>764</v>
      </c>
      <c r="I537" s="4"/>
      <c r="J537" s="4" t="s">
        <v>632</v>
      </c>
      <c r="K537" s="4" t="s">
        <v>633</v>
      </c>
      <c r="L537" s="4" t="s">
        <v>24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 t="s">
        <v>1170</v>
      </c>
      <c r="B538" s="7" t="s">
        <v>1171</v>
      </c>
      <c r="C538" s="13">
        <v>3500</v>
      </c>
      <c r="D538" s="10" t="s">
        <v>42</v>
      </c>
      <c r="E538" s="4"/>
      <c r="F538" s="4"/>
      <c r="G538" s="4" t="s">
        <v>806</v>
      </c>
      <c r="H538" s="4" t="s">
        <v>764</v>
      </c>
      <c r="I538" s="4"/>
      <c r="J538" s="4" t="s">
        <v>632</v>
      </c>
      <c r="K538" s="4" t="s">
        <v>633</v>
      </c>
      <c r="L538" s="4" t="s">
        <v>24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7" t="s">
        <v>1172</v>
      </c>
      <c r="C539" s="58">
        <v>4500</v>
      </c>
      <c r="D539" s="10" t="s">
        <v>32</v>
      </c>
      <c r="E539" s="4"/>
      <c r="F539" s="4"/>
      <c r="G539" s="4" t="s">
        <v>895</v>
      </c>
      <c r="H539" s="4" t="s">
        <v>764</v>
      </c>
      <c r="I539" s="4"/>
      <c r="J539" s="4"/>
      <c r="K539" s="4" t="s">
        <v>633</v>
      </c>
      <c r="L539" s="4" t="s">
        <v>24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 t="s">
        <v>1173</v>
      </c>
      <c r="B540" s="4" t="s">
        <v>1174</v>
      </c>
      <c r="C540" s="13">
        <v>500</v>
      </c>
      <c r="D540" s="10" t="s">
        <v>27</v>
      </c>
      <c r="E540" s="4"/>
      <c r="F540" s="4"/>
      <c r="G540" s="4" t="s">
        <v>806</v>
      </c>
      <c r="H540" s="4" t="s">
        <v>764</v>
      </c>
      <c r="I540" s="4"/>
      <c r="J540" s="4" t="s">
        <v>824</v>
      </c>
      <c r="K540" s="4" t="s">
        <v>825</v>
      </c>
      <c r="L540" s="4" t="s">
        <v>24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 t="s">
        <v>1175</v>
      </c>
      <c r="B541" s="4" t="s">
        <v>1176</v>
      </c>
      <c r="C541" s="13">
        <v>250</v>
      </c>
      <c r="D541" s="10" t="s">
        <v>27</v>
      </c>
      <c r="E541" s="4"/>
      <c r="F541" s="4"/>
      <c r="G541" s="4" t="s">
        <v>806</v>
      </c>
      <c r="H541" s="4" t="s">
        <v>764</v>
      </c>
      <c r="I541" s="4"/>
      <c r="J541" s="4" t="s">
        <v>824</v>
      </c>
      <c r="K541" s="4" t="s">
        <v>825</v>
      </c>
      <c r="L541" s="4" t="s">
        <v>24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 t="s">
        <v>1177</v>
      </c>
      <c r="C542" s="58">
        <v>3500</v>
      </c>
      <c r="D542" s="10" t="s">
        <v>19</v>
      </c>
      <c r="E542" s="4"/>
      <c r="F542" s="4"/>
      <c r="G542" s="4" t="s">
        <v>806</v>
      </c>
      <c r="H542" s="4" t="s">
        <v>764</v>
      </c>
      <c r="I542" s="4"/>
      <c r="J542" s="4" t="s">
        <v>33</v>
      </c>
      <c r="K542" s="4" t="s">
        <v>34</v>
      </c>
      <c r="L542" s="4" t="s">
        <v>24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 t="s">
        <v>1178</v>
      </c>
      <c r="B543" s="4" t="s">
        <v>1179</v>
      </c>
      <c r="C543" s="13">
        <v>3500</v>
      </c>
      <c r="D543" s="10" t="s">
        <v>32</v>
      </c>
      <c r="E543" s="4"/>
      <c r="F543" s="4"/>
      <c r="G543" s="4" t="s">
        <v>806</v>
      </c>
      <c r="H543" s="4" t="s">
        <v>764</v>
      </c>
      <c r="I543" s="4"/>
      <c r="J543" s="4" t="s">
        <v>632</v>
      </c>
      <c r="K543" s="4" t="s">
        <v>633</v>
      </c>
      <c r="L543" s="4" t="s">
        <v>24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 t="s">
        <v>1180</v>
      </c>
      <c r="B544" s="4" t="s">
        <v>1181</v>
      </c>
      <c r="C544" s="13">
        <v>3500</v>
      </c>
      <c r="D544" s="10" t="s">
        <v>32</v>
      </c>
      <c r="E544" s="4"/>
      <c r="F544" s="4"/>
      <c r="G544" s="4" t="s">
        <v>806</v>
      </c>
      <c r="H544" s="4" t="s">
        <v>764</v>
      </c>
      <c r="I544" s="4"/>
      <c r="J544" s="4" t="s">
        <v>632</v>
      </c>
      <c r="K544" s="4" t="s">
        <v>633</v>
      </c>
      <c r="L544" s="4" t="s">
        <v>24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 t="s">
        <v>1182</v>
      </c>
      <c r="B545" s="4" t="s">
        <v>1183</v>
      </c>
      <c r="C545" s="13">
        <v>750</v>
      </c>
      <c r="D545" s="10" t="s">
        <v>27</v>
      </c>
      <c r="E545" s="4"/>
      <c r="F545" s="4"/>
      <c r="G545" s="4" t="s">
        <v>806</v>
      </c>
      <c r="H545" s="4" t="s">
        <v>764</v>
      </c>
      <c r="I545" s="4"/>
      <c r="J545" s="4" t="s">
        <v>828</v>
      </c>
      <c r="K545" s="4" t="s">
        <v>829</v>
      </c>
      <c r="L545" s="4" t="s">
        <v>24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 t="s">
        <v>1184</v>
      </c>
      <c r="C546" s="58">
        <v>4500</v>
      </c>
      <c r="D546" s="10" t="s">
        <v>32</v>
      </c>
      <c r="E546" s="4"/>
      <c r="F546" s="4"/>
      <c r="G546" s="4" t="s">
        <v>806</v>
      </c>
      <c r="H546" s="4" t="s">
        <v>764</v>
      </c>
      <c r="I546" s="4"/>
      <c r="J546" s="4" t="s">
        <v>33</v>
      </c>
      <c r="K546" s="4" t="s">
        <v>34</v>
      </c>
      <c r="L546" s="4" t="s">
        <v>24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 t="s">
        <v>1185</v>
      </c>
      <c r="B547" s="4" t="s">
        <v>1186</v>
      </c>
      <c r="C547" s="13">
        <v>702</v>
      </c>
      <c r="D547" s="10" t="s">
        <v>27</v>
      </c>
      <c r="E547" s="4"/>
      <c r="F547" s="4"/>
      <c r="G547" s="4" t="s">
        <v>806</v>
      </c>
      <c r="H547" s="4" t="s">
        <v>764</v>
      </c>
      <c r="I547" s="4"/>
      <c r="J547" s="4" t="s">
        <v>808</v>
      </c>
      <c r="K547" s="4" t="s">
        <v>809</v>
      </c>
      <c r="L547" s="4" t="s">
        <v>24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 t="s">
        <v>1187</v>
      </c>
      <c r="B548" s="4" t="s">
        <v>1188</v>
      </c>
      <c r="C548" s="13">
        <v>578</v>
      </c>
      <c r="D548" s="10" t="s">
        <v>27</v>
      </c>
      <c r="E548" s="4"/>
      <c r="F548" s="4"/>
      <c r="G548" s="4" t="s">
        <v>806</v>
      </c>
      <c r="H548" s="4" t="s">
        <v>764</v>
      </c>
      <c r="I548" s="4"/>
      <c r="J548" s="4" t="s">
        <v>808</v>
      </c>
      <c r="K548" s="4" t="s">
        <v>809</v>
      </c>
      <c r="L548" s="4" t="s">
        <v>24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 t="s">
        <v>1189</v>
      </c>
      <c r="B549" s="4" t="s">
        <v>1190</v>
      </c>
      <c r="C549" s="13">
        <v>1153</v>
      </c>
      <c r="D549" s="10" t="s">
        <v>27</v>
      </c>
      <c r="E549" s="4"/>
      <c r="F549" s="4"/>
      <c r="G549" s="4" t="s">
        <v>806</v>
      </c>
      <c r="H549" s="4" t="s">
        <v>764</v>
      </c>
      <c r="I549" s="4"/>
      <c r="J549" s="4" t="s">
        <v>808</v>
      </c>
      <c r="K549" s="4" t="s">
        <v>809</v>
      </c>
      <c r="L549" s="4" t="s">
        <v>24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 t="s">
        <v>1191</v>
      </c>
      <c r="B550" s="4" t="s">
        <v>1192</v>
      </c>
      <c r="C550" s="13">
        <v>10000</v>
      </c>
      <c r="D550" s="10" t="s">
        <v>27</v>
      </c>
      <c r="E550" s="4"/>
      <c r="F550" s="4"/>
      <c r="G550" s="4" t="s">
        <v>806</v>
      </c>
      <c r="H550" s="4" t="s">
        <v>764</v>
      </c>
      <c r="I550" s="4"/>
      <c r="J550" s="4" t="s">
        <v>808</v>
      </c>
      <c r="K550" s="4" t="s">
        <v>809</v>
      </c>
      <c r="L550" s="4" t="s">
        <v>24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 t="s">
        <v>1193</v>
      </c>
      <c r="B551" s="4" t="s">
        <v>1194</v>
      </c>
      <c r="C551" s="13">
        <v>10000</v>
      </c>
      <c r="D551" s="10" t="s">
        <v>27</v>
      </c>
      <c r="E551" s="4"/>
      <c r="F551" s="4"/>
      <c r="G551" s="4" t="s">
        <v>806</v>
      </c>
      <c r="H551" s="4" t="s">
        <v>764</v>
      </c>
      <c r="I551" s="4"/>
      <c r="J551" s="4" t="s">
        <v>808</v>
      </c>
      <c r="K551" s="4" t="s">
        <v>809</v>
      </c>
      <c r="L551" s="4" t="s">
        <v>24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 t="s">
        <v>1195</v>
      </c>
      <c r="B552" s="4" t="s">
        <v>1196</v>
      </c>
      <c r="C552" s="13">
        <v>10000</v>
      </c>
      <c r="D552" s="10" t="s">
        <v>27</v>
      </c>
      <c r="E552" s="4"/>
      <c r="F552" s="4"/>
      <c r="G552" s="4" t="s">
        <v>806</v>
      </c>
      <c r="H552" s="4" t="s">
        <v>764</v>
      </c>
      <c r="I552" s="4"/>
      <c r="J552" s="4" t="s">
        <v>808</v>
      </c>
      <c r="K552" s="4" t="s">
        <v>809</v>
      </c>
      <c r="L552" s="4" t="s">
        <v>24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 t="s">
        <v>1197</v>
      </c>
      <c r="B553" s="4" t="s">
        <v>1198</v>
      </c>
      <c r="C553" s="13">
        <v>10000</v>
      </c>
      <c r="D553" s="10" t="s">
        <v>194</v>
      </c>
      <c r="E553" s="4"/>
      <c r="F553" s="4"/>
      <c r="G553" s="4" t="s">
        <v>806</v>
      </c>
      <c r="H553" s="4" t="s">
        <v>764</v>
      </c>
      <c r="I553" s="4"/>
      <c r="J553" s="4" t="s">
        <v>808</v>
      </c>
      <c r="K553" s="4" t="s">
        <v>809</v>
      </c>
      <c r="L553" s="4" t="s">
        <v>24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 t="s">
        <v>1199</v>
      </c>
      <c r="B554" s="4" t="s">
        <v>1200</v>
      </c>
      <c r="C554" s="13">
        <v>10000</v>
      </c>
      <c r="D554" s="10" t="s">
        <v>27</v>
      </c>
      <c r="E554" s="4"/>
      <c r="F554" s="4"/>
      <c r="G554" s="4" t="s">
        <v>806</v>
      </c>
      <c r="H554" s="4" t="s">
        <v>764</v>
      </c>
      <c r="I554" s="4"/>
      <c r="J554" s="4" t="s">
        <v>808</v>
      </c>
      <c r="K554" s="4" t="s">
        <v>809</v>
      </c>
      <c r="L554" s="4" t="s">
        <v>24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 t="s">
        <v>1201</v>
      </c>
      <c r="B555" s="4" t="s">
        <v>1202</v>
      </c>
      <c r="C555" s="13">
        <v>1103</v>
      </c>
      <c r="D555" s="10" t="s">
        <v>27</v>
      </c>
      <c r="E555" s="4"/>
      <c r="F555" s="4"/>
      <c r="G555" s="4" t="s">
        <v>806</v>
      </c>
      <c r="H555" s="4" t="s">
        <v>764</v>
      </c>
      <c r="I555" s="4"/>
      <c r="J555" s="4" t="s">
        <v>808</v>
      </c>
      <c r="K555" s="4" t="s">
        <v>809</v>
      </c>
      <c r="L555" s="4" t="s">
        <v>24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 t="s">
        <v>1203</v>
      </c>
      <c r="B556" s="4" t="s">
        <v>1204</v>
      </c>
      <c r="C556" s="13">
        <v>1103</v>
      </c>
      <c r="D556" s="10" t="s">
        <v>27</v>
      </c>
      <c r="E556" s="4"/>
      <c r="F556" s="4"/>
      <c r="G556" s="4" t="s">
        <v>806</v>
      </c>
      <c r="H556" s="4" t="s">
        <v>764</v>
      </c>
      <c r="I556" s="4"/>
      <c r="J556" s="4" t="s">
        <v>808</v>
      </c>
      <c r="K556" s="4" t="s">
        <v>809</v>
      </c>
      <c r="L556" s="4" t="s">
        <v>24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 t="s">
        <v>1205</v>
      </c>
      <c r="B557" s="4" t="s">
        <v>1206</v>
      </c>
      <c r="C557" s="13">
        <v>7000</v>
      </c>
      <c r="D557" s="10" t="s">
        <v>27</v>
      </c>
      <c r="E557" s="4"/>
      <c r="F557" s="4"/>
      <c r="G557" s="4" t="s">
        <v>806</v>
      </c>
      <c r="H557" s="4" t="s">
        <v>764</v>
      </c>
      <c r="I557" s="4"/>
      <c r="J557" s="4" t="s">
        <v>808</v>
      </c>
      <c r="K557" s="4" t="s">
        <v>809</v>
      </c>
      <c r="L557" s="4" t="s">
        <v>24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 t="s">
        <v>1207</v>
      </c>
      <c r="B558" s="4" t="s">
        <v>1208</v>
      </c>
      <c r="C558" s="13">
        <v>7000</v>
      </c>
      <c r="D558" s="10" t="s">
        <v>27</v>
      </c>
      <c r="E558" s="4"/>
      <c r="F558" s="4"/>
      <c r="G558" s="4" t="s">
        <v>806</v>
      </c>
      <c r="H558" s="4" t="s">
        <v>764</v>
      </c>
      <c r="I558" s="4"/>
      <c r="J558" s="4" t="s">
        <v>808</v>
      </c>
      <c r="K558" s="4" t="s">
        <v>809</v>
      </c>
      <c r="L558" s="4" t="s">
        <v>24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 t="s">
        <v>1209</v>
      </c>
      <c r="B559" s="4" t="s">
        <v>1210</v>
      </c>
      <c r="C559" s="13">
        <v>7000</v>
      </c>
      <c r="D559" s="10" t="s">
        <v>27</v>
      </c>
      <c r="E559" s="4"/>
      <c r="F559" s="4"/>
      <c r="G559" s="4" t="s">
        <v>806</v>
      </c>
      <c r="H559" s="4" t="s">
        <v>764</v>
      </c>
      <c r="I559" s="4"/>
      <c r="J559" s="4" t="s">
        <v>808</v>
      </c>
      <c r="K559" s="4" t="s">
        <v>809</v>
      </c>
      <c r="L559" s="4" t="s">
        <v>24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 t="s">
        <v>1211</v>
      </c>
      <c r="B560" s="4" t="s">
        <v>1212</v>
      </c>
      <c r="C560" s="13">
        <v>7000</v>
      </c>
      <c r="D560" s="10" t="s">
        <v>27</v>
      </c>
      <c r="E560" s="4"/>
      <c r="F560" s="4"/>
      <c r="G560" s="4" t="s">
        <v>806</v>
      </c>
      <c r="H560" s="4" t="s">
        <v>764</v>
      </c>
      <c r="I560" s="4"/>
      <c r="J560" s="4" t="s">
        <v>808</v>
      </c>
      <c r="K560" s="4" t="s">
        <v>809</v>
      </c>
      <c r="L560" s="4" t="s">
        <v>24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 t="s">
        <v>1213</v>
      </c>
      <c r="B561" s="4" t="s">
        <v>1214</v>
      </c>
      <c r="C561" s="13">
        <v>7000</v>
      </c>
      <c r="D561" s="10" t="s">
        <v>27</v>
      </c>
      <c r="E561" s="4"/>
      <c r="F561" s="4"/>
      <c r="G561" s="4" t="s">
        <v>806</v>
      </c>
      <c r="H561" s="4" t="s">
        <v>764</v>
      </c>
      <c r="I561" s="4"/>
      <c r="J561" s="4" t="s">
        <v>808</v>
      </c>
      <c r="K561" s="4" t="s">
        <v>809</v>
      </c>
      <c r="L561" s="4" t="s">
        <v>24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 t="s">
        <v>1215</v>
      </c>
      <c r="B562" s="4" t="s">
        <v>1216</v>
      </c>
      <c r="C562" s="13">
        <v>7000</v>
      </c>
      <c r="D562" s="10" t="s">
        <v>27</v>
      </c>
      <c r="E562" s="4"/>
      <c r="F562" s="4"/>
      <c r="G562" s="4" t="s">
        <v>806</v>
      </c>
      <c r="H562" s="4" t="s">
        <v>764</v>
      </c>
      <c r="I562" s="4"/>
      <c r="J562" s="4" t="s">
        <v>808</v>
      </c>
      <c r="K562" s="4" t="s">
        <v>809</v>
      </c>
      <c r="L562" s="4" t="s">
        <v>24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 t="s">
        <v>1217</v>
      </c>
      <c r="B563" s="4" t="s">
        <v>1218</v>
      </c>
      <c r="C563" s="13">
        <v>7000</v>
      </c>
      <c r="D563" s="10" t="s">
        <v>27</v>
      </c>
      <c r="E563" s="4"/>
      <c r="F563" s="4"/>
      <c r="G563" s="4" t="s">
        <v>806</v>
      </c>
      <c r="H563" s="4" t="s">
        <v>764</v>
      </c>
      <c r="I563" s="4"/>
      <c r="J563" s="4" t="s">
        <v>808</v>
      </c>
      <c r="K563" s="4" t="s">
        <v>809</v>
      </c>
      <c r="L563" s="4" t="s">
        <v>24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 t="s">
        <v>1219</v>
      </c>
      <c r="B564" s="7" t="s">
        <v>1220</v>
      </c>
      <c r="C564" s="13">
        <v>689</v>
      </c>
      <c r="D564" s="10" t="s">
        <v>27</v>
      </c>
      <c r="E564" s="4"/>
      <c r="F564" s="4"/>
      <c r="G564" s="4" t="s">
        <v>806</v>
      </c>
      <c r="H564" s="4" t="s">
        <v>764</v>
      </c>
      <c r="I564" s="4"/>
      <c r="J564" s="4" t="s">
        <v>808</v>
      </c>
      <c r="K564" s="4" t="s">
        <v>809</v>
      </c>
      <c r="L564" s="4" t="s">
        <v>24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 t="s">
        <v>1221</v>
      </c>
      <c r="B565" s="7" t="s">
        <v>1222</v>
      </c>
      <c r="C565" s="13">
        <v>804</v>
      </c>
      <c r="D565" s="10" t="s">
        <v>27</v>
      </c>
      <c r="E565" s="4"/>
      <c r="F565" s="4"/>
      <c r="G565" s="4" t="s">
        <v>806</v>
      </c>
      <c r="H565" s="4" t="s">
        <v>764</v>
      </c>
      <c r="I565" s="4"/>
      <c r="J565" s="4" t="s">
        <v>808</v>
      </c>
      <c r="K565" s="4" t="s">
        <v>809</v>
      </c>
      <c r="L565" s="4" t="s">
        <v>24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 t="s">
        <v>1223</v>
      </c>
      <c r="B566" s="7" t="s">
        <v>1224</v>
      </c>
      <c r="C566" s="13">
        <v>758</v>
      </c>
      <c r="D566" s="10" t="s">
        <v>27</v>
      </c>
      <c r="E566" s="4"/>
      <c r="F566" s="4"/>
      <c r="G566" s="4" t="s">
        <v>806</v>
      </c>
      <c r="H566" s="4" t="s">
        <v>764</v>
      </c>
      <c r="I566" s="4"/>
      <c r="J566" s="4" t="s">
        <v>808</v>
      </c>
      <c r="K566" s="4" t="s">
        <v>809</v>
      </c>
      <c r="L566" s="4" t="s">
        <v>24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 t="s">
        <v>1225</v>
      </c>
      <c r="B567" s="7" t="s">
        <v>1226</v>
      </c>
      <c r="C567" s="13">
        <v>438</v>
      </c>
      <c r="D567" s="10" t="s">
        <v>27</v>
      </c>
      <c r="E567" s="4"/>
      <c r="F567" s="4"/>
      <c r="G567" s="4" t="s">
        <v>806</v>
      </c>
      <c r="H567" s="4" t="s">
        <v>764</v>
      </c>
      <c r="I567" s="4"/>
      <c r="J567" s="4" t="s">
        <v>808</v>
      </c>
      <c r="K567" s="4" t="s">
        <v>809</v>
      </c>
      <c r="L567" s="4" t="s">
        <v>24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 t="s">
        <v>1227</v>
      </c>
      <c r="B568" s="7" t="s">
        <v>1228</v>
      </c>
      <c r="C568" s="74">
        <v>600</v>
      </c>
      <c r="D568" s="10" t="s">
        <v>27</v>
      </c>
      <c r="E568" s="4"/>
      <c r="F568" s="4"/>
      <c r="G568" s="4" t="s">
        <v>806</v>
      </c>
      <c r="H568" s="4" t="s">
        <v>764</v>
      </c>
      <c r="I568" s="4"/>
      <c r="J568" s="4" t="s">
        <v>916</v>
      </c>
      <c r="K568" s="4" t="s">
        <v>1063</v>
      </c>
      <c r="L568" s="4" t="s">
        <v>24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 t="s">
        <v>1229</v>
      </c>
      <c r="B569" s="4" t="s">
        <v>1230</v>
      </c>
      <c r="C569" s="13">
        <v>500</v>
      </c>
      <c r="D569" s="10" t="s">
        <v>27</v>
      </c>
      <c r="E569" s="4"/>
      <c r="F569" s="4"/>
      <c r="G569" s="4" t="s">
        <v>806</v>
      </c>
      <c r="H569" s="4" t="s">
        <v>764</v>
      </c>
      <c r="I569" s="4"/>
      <c r="J569" s="4" t="s">
        <v>808</v>
      </c>
      <c r="K569" s="4" t="s">
        <v>809</v>
      </c>
      <c r="L569" s="4" t="s">
        <v>24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 t="s">
        <v>1231</v>
      </c>
      <c r="C570" s="13">
        <v>6811</v>
      </c>
      <c r="D570" s="10" t="s">
        <v>32</v>
      </c>
      <c r="E570" s="4"/>
      <c r="F570" s="4"/>
      <c r="G570" s="4"/>
      <c r="H570" s="4" t="s">
        <v>144</v>
      </c>
      <c r="I570" s="4"/>
      <c r="J570" s="4" t="s">
        <v>138</v>
      </c>
      <c r="K570" s="4" t="s">
        <v>139</v>
      </c>
      <c r="L570" s="4" t="s">
        <v>24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 t="s">
        <v>1232</v>
      </c>
      <c r="B571" s="4" t="s">
        <v>1233</v>
      </c>
      <c r="C571" s="13">
        <v>58.739199999999997</v>
      </c>
      <c r="D571" s="10" t="s">
        <v>27</v>
      </c>
      <c r="E571" s="4"/>
      <c r="F571" s="4"/>
      <c r="G571" s="4"/>
      <c r="H571" s="4" t="s">
        <v>144</v>
      </c>
      <c r="I571" s="4"/>
      <c r="J571" s="4" t="s">
        <v>138</v>
      </c>
      <c r="K571" s="4" t="s">
        <v>139</v>
      </c>
      <c r="L571" s="4" t="s">
        <v>24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 t="s">
        <v>1234</v>
      </c>
      <c r="C572" s="9">
        <v>9908</v>
      </c>
      <c r="D572" s="10" t="s">
        <v>32</v>
      </c>
      <c r="E572" s="4"/>
      <c r="F572" s="4"/>
      <c r="G572" s="4"/>
      <c r="H572" s="4" t="s">
        <v>144</v>
      </c>
      <c r="I572" s="4"/>
      <c r="J572" s="4" t="s">
        <v>138</v>
      </c>
      <c r="K572" s="4" t="s">
        <v>139</v>
      </c>
      <c r="L572" s="4" t="s">
        <v>24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 t="s">
        <v>1235</v>
      </c>
      <c r="B573" s="4" t="s">
        <v>1236</v>
      </c>
      <c r="C573" s="9">
        <v>161</v>
      </c>
      <c r="D573" s="10" t="s">
        <v>27</v>
      </c>
      <c r="E573" s="4"/>
      <c r="F573" s="4"/>
      <c r="G573" s="4"/>
      <c r="H573" s="4" t="s">
        <v>144</v>
      </c>
      <c r="I573" s="4"/>
      <c r="J573" s="4" t="s">
        <v>138</v>
      </c>
      <c r="K573" s="4" t="s">
        <v>139</v>
      </c>
      <c r="L573" s="4" t="s">
        <v>24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 t="s">
        <v>1237</v>
      </c>
      <c r="B574" s="4" t="s">
        <v>1238</v>
      </c>
      <c r="C574" s="9">
        <v>161</v>
      </c>
      <c r="D574" s="10" t="s">
        <v>27</v>
      </c>
      <c r="E574" s="4"/>
      <c r="F574" s="4"/>
      <c r="G574" s="4"/>
      <c r="H574" s="4" t="s">
        <v>144</v>
      </c>
      <c r="I574" s="4"/>
      <c r="J574" s="4" t="s">
        <v>138</v>
      </c>
      <c r="K574" s="4" t="s">
        <v>139</v>
      </c>
      <c r="L574" s="4" t="s">
        <v>24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 t="s">
        <v>1239</v>
      </c>
      <c r="B575" s="4" t="s">
        <v>1240</v>
      </c>
      <c r="C575" s="9">
        <v>161</v>
      </c>
      <c r="D575" s="10" t="s">
        <v>27</v>
      </c>
      <c r="E575" s="4"/>
      <c r="F575" s="4"/>
      <c r="G575" s="4"/>
      <c r="H575" s="4" t="s">
        <v>144</v>
      </c>
      <c r="I575" s="4"/>
      <c r="J575" s="4" t="s">
        <v>138</v>
      </c>
      <c r="K575" s="4" t="s">
        <v>139</v>
      </c>
      <c r="L575" s="4" t="s">
        <v>24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 t="s">
        <v>1241</v>
      </c>
      <c r="B576" s="4" t="s">
        <v>1242</v>
      </c>
      <c r="C576" s="9">
        <v>161</v>
      </c>
      <c r="D576" s="10" t="s">
        <v>27</v>
      </c>
      <c r="E576" s="4"/>
      <c r="F576" s="4"/>
      <c r="G576" s="4"/>
      <c r="H576" s="4" t="s">
        <v>144</v>
      </c>
      <c r="I576" s="4"/>
      <c r="J576" s="4" t="s">
        <v>138</v>
      </c>
      <c r="K576" s="4" t="s">
        <v>139</v>
      </c>
      <c r="L576" s="4" t="s">
        <v>24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 t="s">
        <v>1243</v>
      </c>
      <c r="B577" s="4" t="s">
        <v>1244</v>
      </c>
      <c r="C577" s="9">
        <v>161</v>
      </c>
      <c r="D577" s="10" t="s">
        <v>27</v>
      </c>
      <c r="E577" s="4"/>
      <c r="F577" s="4"/>
      <c r="G577" s="4"/>
      <c r="H577" s="4" t="s">
        <v>144</v>
      </c>
      <c r="I577" s="4"/>
      <c r="J577" s="4" t="s">
        <v>138</v>
      </c>
      <c r="K577" s="4" t="s">
        <v>139</v>
      </c>
      <c r="L577" s="4" t="s">
        <v>24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 t="s">
        <v>1245</v>
      </c>
      <c r="B578" s="4" t="s">
        <v>1246</v>
      </c>
      <c r="C578" s="9">
        <v>161</v>
      </c>
      <c r="D578" s="10" t="s">
        <v>27</v>
      </c>
      <c r="E578" s="4"/>
      <c r="F578" s="4"/>
      <c r="G578" s="4"/>
      <c r="H578" s="4" t="s">
        <v>144</v>
      </c>
      <c r="I578" s="4"/>
      <c r="J578" s="4" t="s">
        <v>138</v>
      </c>
      <c r="K578" s="4" t="s">
        <v>139</v>
      </c>
      <c r="L578" s="4" t="s">
        <v>24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 t="s">
        <v>1247</v>
      </c>
      <c r="B579" s="4" t="s">
        <v>1248</v>
      </c>
      <c r="C579" s="9">
        <v>8369</v>
      </c>
      <c r="D579" s="10" t="s">
        <v>27</v>
      </c>
      <c r="E579" s="4"/>
      <c r="F579" s="4"/>
      <c r="G579" s="4"/>
      <c r="H579" s="4" t="s">
        <v>144</v>
      </c>
      <c r="I579" s="4"/>
      <c r="J579" s="4" t="s">
        <v>138</v>
      </c>
      <c r="K579" s="4" t="s">
        <v>139</v>
      </c>
      <c r="L579" s="4" t="s">
        <v>24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 t="s">
        <v>1249</v>
      </c>
      <c r="B580" s="4" t="s">
        <v>1250</v>
      </c>
      <c r="C580" s="9">
        <v>59.9</v>
      </c>
      <c r="D580" s="10" t="s">
        <v>27</v>
      </c>
      <c r="E580" s="4"/>
      <c r="F580" s="4"/>
      <c r="G580" s="4"/>
      <c r="H580" s="4" t="s">
        <v>144</v>
      </c>
      <c r="I580" s="4"/>
      <c r="J580" s="4" t="s">
        <v>138</v>
      </c>
      <c r="K580" s="4" t="s">
        <v>139</v>
      </c>
      <c r="L580" s="4" t="s">
        <v>24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C960" s="79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3:26">
      <c r="C961" s="79"/>
      <c r="D961" s="10"/>
      <c r="E961" s="4"/>
      <c r="F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</sheetData>
  <autoFilter ref="A1:Z580" xr:uid="{00000000-0009-0000-0000-000001000000}"/>
  <mergeCells count="4">
    <mergeCell ref="L112:M112"/>
    <mergeCell ref="L310:M310"/>
    <mergeCell ref="L334:M334"/>
    <mergeCell ref="L339:M339"/>
  </mergeCells>
  <conditionalFormatting sqref="C1:C961">
    <cfRule type="cellIs" dxfId="0" priority="1" operator="equal">
      <formula>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99"/>
  <sheetViews>
    <sheetView workbookViewId="0">
      <pane ySplit="2" topLeftCell="A272" activePane="bottomLeft" state="frozen"/>
      <selection pane="bottomLeft" activeCell="J1" sqref="J1:J1048576"/>
    </sheetView>
  </sheetViews>
  <sheetFormatPr baseColWidth="10" defaultColWidth="11.25" defaultRowHeight="15" customHeight="1"/>
  <cols>
    <col min="1" max="1" width="11.5" customWidth="1"/>
    <col min="2" max="2" width="45.625" customWidth="1"/>
    <col min="3" max="3" width="8.625" customWidth="1"/>
    <col min="4" max="4" width="7.625" customWidth="1"/>
    <col min="5" max="5" width="9.75" customWidth="1"/>
    <col min="6" max="6" width="16.5" customWidth="1"/>
    <col min="7" max="7" width="12.625" customWidth="1"/>
    <col min="8" max="8" width="8" customWidth="1"/>
    <col min="9" max="10" width="10.5" customWidth="1"/>
    <col min="11" max="11" width="4.125" customWidth="1"/>
    <col min="12" max="12" width="8.625" customWidth="1"/>
    <col min="13" max="13" width="7.5" customWidth="1"/>
    <col min="14" max="14" width="8.625" customWidth="1"/>
    <col min="15" max="15" width="7.5" customWidth="1"/>
    <col min="16" max="16" width="10.125" customWidth="1"/>
    <col min="17" max="17" width="9.375" customWidth="1"/>
    <col min="18" max="18" width="12.5" customWidth="1"/>
    <col min="19" max="21" width="8.625" customWidth="1"/>
    <col min="22" max="22" width="14.625" customWidth="1"/>
    <col min="23" max="23" width="9.75" customWidth="1"/>
    <col min="24" max="24" width="7.5" customWidth="1"/>
    <col min="25" max="25" width="9.5" customWidth="1"/>
    <col min="26" max="26" width="8.5" customWidth="1"/>
  </cols>
  <sheetData>
    <row r="1" spans="1:26" ht="27.75" customHeight="1">
      <c r="A1" s="11" t="s">
        <v>18</v>
      </c>
      <c r="B1" s="140" t="s">
        <v>18</v>
      </c>
      <c r="C1" s="141"/>
      <c r="D1" s="141"/>
      <c r="E1" s="141"/>
      <c r="F1" s="141"/>
      <c r="G1" s="12"/>
      <c r="H1" s="12"/>
      <c r="I1" s="12"/>
      <c r="J1" s="12"/>
      <c r="K1" s="12"/>
      <c r="L1" s="12"/>
      <c r="M1" s="14"/>
      <c r="N1" s="14"/>
      <c r="O1" s="14"/>
      <c r="P1" s="12"/>
      <c r="Q1" s="14"/>
      <c r="R1" s="15"/>
      <c r="S1" s="12"/>
      <c r="T1" s="12"/>
      <c r="U1" s="14"/>
      <c r="V1" s="12"/>
      <c r="W1" s="14"/>
      <c r="X1" s="14"/>
      <c r="Y1" s="14"/>
      <c r="Z1" s="14"/>
    </row>
    <row r="2" spans="1:26" ht="15.75">
      <c r="A2" s="16" t="s">
        <v>53</v>
      </c>
      <c r="B2" s="16" t="s">
        <v>54</v>
      </c>
      <c r="C2" s="16" t="s">
        <v>55</v>
      </c>
      <c r="D2" s="16" t="s">
        <v>57</v>
      </c>
      <c r="E2" s="16" t="s">
        <v>59</v>
      </c>
      <c r="F2" s="16" t="s">
        <v>60</v>
      </c>
      <c r="G2" s="17" t="s">
        <v>61</v>
      </c>
      <c r="H2" s="17" t="s">
        <v>64</v>
      </c>
      <c r="I2" s="17" t="s">
        <v>65</v>
      </c>
      <c r="J2" s="154" t="s">
        <v>57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>
      <c r="A3" s="6" t="str">
        <f ca="1">IFERROR(__xludf.DUMMYFUNCTION("FILTER('UNIVERSO PRODUCTOS'!A1:B958, ISNUMBER(SEARCH(A1, 'UNIVERSO PRODUCTOS'!K1:K958)))"),"ti-ing-b69bd6ae-ccae-4801-af83-bece901d304f")</f>
        <v>ti-ing-b69bd6ae-ccae-4801-af83-bece901d304f</v>
      </c>
      <c r="B3" s="7" t="str">
        <f ca="1">IFERROR(__xludf.DUMMYFUNCTION("""COMPUTED_VALUE"""),"Aceite oliva extra virgen 5 lts")</f>
        <v>Aceite oliva extra virgen 5 lts</v>
      </c>
      <c r="C3" s="8">
        <v>5</v>
      </c>
      <c r="D3" s="21">
        <f ca="1">IFERROR(__xludf.DUMMYFUNCTION("FILTER('UNIVERSO PRODUCTOS'!C1:C961, ISNUMBER(SEARCH(A1, 'UNIVERSO PRODUCTOS'!K1:K961)))"),4646.2)</f>
        <v>4646.2</v>
      </c>
      <c r="E3" s="6" t="str">
        <f ca="1">IFERROR(__xludf.DUMMYFUNCTION("FILTER('UNIVERSO PRODUCTOS'!D1:D958, ISNUMBER(SEARCH(A1, 'UNIVERSO PRODUCTOS'!K1:K958)))"),"LT")</f>
        <v>LT</v>
      </c>
      <c r="F3" s="22" t="str">
        <f ca="1">IFERROR(__xludf.DUMMYFUNCTION("FILTER('UNIVERSO PRODUCTOS'!H1:H958, ISNUMBER(SEARCH(A1, 'UNIVERSO PRODUCTOS'!K1:K958)))"),"Abarrotes")</f>
        <v>Abarrotes</v>
      </c>
      <c r="G3" s="25">
        <f t="shared" ref="G3:G257" ca="1" si="0">(C3)*D3</f>
        <v>23231</v>
      </c>
      <c r="H3" s="25">
        <f t="shared" ref="H3:H116" ca="1" si="1">G3*19%</f>
        <v>4413.8900000000003</v>
      </c>
      <c r="I3" s="25">
        <f t="shared" ref="I3:I116" ca="1" si="2">G3+H3</f>
        <v>27644.89</v>
      </c>
      <c r="J3" s="156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8"/>
      <c r="Z3" s="28"/>
    </row>
    <row r="4" spans="1:26" ht="15.75">
      <c r="A4" s="7" t="str">
        <f ca="1">IFERROR(__xludf.DUMMYFUNCTION("""COMPUTED_VALUE"""),"ti-ing-5a1041f6-5fed-4ae0-8d00-dee7d47968a3")</f>
        <v>ti-ing-5a1041f6-5fed-4ae0-8d00-dee7d47968a3</v>
      </c>
      <c r="B4" s="7" t="str">
        <f ca="1">IFERROR(__xludf.DUMMYFUNCTION("""COMPUTED_VALUE"""),"Aceite vegetal 900 ml")</f>
        <v>Aceite vegetal 900 ml</v>
      </c>
      <c r="C4" s="8">
        <v>22</v>
      </c>
      <c r="D4" s="21">
        <f ca="1">IFERROR(__xludf.DUMMYFUNCTION("""COMPUTED_VALUE"""),1540.6)</f>
        <v>1540.6</v>
      </c>
      <c r="E4" s="6" t="str">
        <f ca="1">IFERROR(__xludf.DUMMYFUNCTION("""COMPUTED_VALUE"""),"UN")</f>
        <v>UN</v>
      </c>
      <c r="F4" s="22" t="str">
        <f ca="1">IFERROR(__xludf.DUMMYFUNCTION("""COMPUTED_VALUE"""),"Abarrotes")</f>
        <v>Abarrotes</v>
      </c>
      <c r="G4" s="25">
        <f t="shared" ca="1" si="0"/>
        <v>33893.199999999997</v>
      </c>
      <c r="H4" s="25">
        <f t="shared" ca="1" si="1"/>
        <v>6439.7079999999996</v>
      </c>
      <c r="I4" s="25">
        <f t="shared" ca="1" si="2"/>
        <v>40332.907999999996</v>
      </c>
      <c r="J4" s="156"/>
      <c r="L4" s="137" t="s">
        <v>21</v>
      </c>
      <c r="M4" s="137" t="s">
        <v>127</v>
      </c>
      <c r="N4" s="137" t="s">
        <v>128</v>
      </c>
      <c r="O4" s="137" t="s">
        <v>129</v>
      </c>
      <c r="P4" s="137" t="s">
        <v>130</v>
      </c>
      <c r="Q4" s="137" t="s">
        <v>131</v>
      </c>
      <c r="R4" s="137" t="s">
        <v>132</v>
      </c>
      <c r="S4" s="137" t="s">
        <v>133</v>
      </c>
      <c r="T4" s="137" t="s">
        <v>136</v>
      </c>
      <c r="U4" s="137" t="s">
        <v>137</v>
      </c>
      <c r="V4" s="137" t="s">
        <v>140</v>
      </c>
      <c r="W4" s="137" t="s">
        <v>142</v>
      </c>
      <c r="X4" s="137" t="s">
        <v>144</v>
      </c>
      <c r="Y4" s="139" t="s">
        <v>145</v>
      </c>
      <c r="Z4" s="33"/>
    </row>
    <row r="5" spans="1:26" ht="15.75">
      <c r="A5" s="7" t="str">
        <f ca="1">IFERROR(__xludf.DUMMYFUNCTION("""COMPUTED_VALUE"""),"ti-ing-581e5046-d41b-44fd-981a-fa5ec2c4d4ba")</f>
        <v>ti-ing-581e5046-d41b-44fd-981a-fa5ec2c4d4ba</v>
      </c>
      <c r="B5" s="7" t="str">
        <f ca="1">IFERROR(__xludf.DUMMYFUNCTION("""COMPUTED_VALUE"""),"Ajinomoto")</f>
        <v>Ajinomoto</v>
      </c>
      <c r="C5" s="8">
        <v>0</v>
      </c>
      <c r="D5" s="21">
        <f ca="1">IFERROR(__xludf.DUMMYFUNCTION("""COMPUTED_VALUE"""),3354)</f>
        <v>3354</v>
      </c>
      <c r="E5" s="6" t="str">
        <f ca="1">IFERROR(__xludf.DUMMYFUNCTION("""COMPUTED_VALUE"""),"kg")</f>
        <v>kg</v>
      </c>
      <c r="F5" s="22" t="str">
        <f ca="1">IFERROR(__xludf.DUMMYFUNCTION("""COMPUTED_VALUE"""),"Abarrotes")</f>
        <v>Abarrotes</v>
      </c>
      <c r="G5" s="25">
        <f t="shared" ca="1" si="0"/>
        <v>0</v>
      </c>
      <c r="H5" s="25">
        <f t="shared" ca="1" si="1"/>
        <v>0</v>
      </c>
      <c r="I5" s="25">
        <f t="shared" ca="1" si="2"/>
        <v>0</v>
      </c>
      <c r="J5" s="156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33"/>
    </row>
    <row r="6" spans="1:26" ht="15.75">
      <c r="A6" s="7" t="str">
        <f ca="1">IFERROR(__xludf.DUMMYFUNCTION("""COMPUTED_VALUE"""),"ti-ing-65292276-c9a9-4569-b8ff-19a5a3fea424")</f>
        <v>ti-ing-65292276-c9a9-4569-b8ff-19a5a3fea424</v>
      </c>
      <c r="B6" s="7" t="str">
        <f ca="1">IFERROR(__xludf.DUMMYFUNCTION("""COMPUTED_VALUE"""),"Anis kg")</f>
        <v>Anis kg</v>
      </c>
      <c r="C6" s="8">
        <v>0</v>
      </c>
      <c r="D6" s="21">
        <f ca="1">IFERROR(__xludf.DUMMYFUNCTION("""COMPUTED_VALUE"""),13854)</f>
        <v>13854</v>
      </c>
      <c r="E6" s="6" t="str">
        <f ca="1">IFERROR(__xludf.DUMMYFUNCTION("""COMPUTED_VALUE"""),"Kg")</f>
        <v>Kg</v>
      </c>
      <c r="F6" s="22" t="str">
        <f ca="1">IFERROR(__xludf.DUMMYFUNCTION("""COMPUTED_VALUE"""),"Abarrotes")</f>
        <v>Abarrotes</v>
      </c>
      <c r="G6" s="25">
        <f t="shared" ca="1" si="0"/>
        <v>0</v>
      </c>
      <c r="H6" s="25">
        <f t="shared" ca="1" si="1"/>
        <v>0</v>
      </c>
      <c r="I6" s="25">
        <f t="shared" ca="1" si="2"/>
        <v>0</v>
      </c>
      <c r="J6" s="156"/>
      <c r="L6" s="37">
        <f ca="1">SUM(G3:G69)</f>
        <v>614037.05146799993</v>
      </c>
      <c r="M6" s="38">
        <f ca="1">SUM(G70:G103)</f>
        <v>181265.803235</v>
      </c>
      <c r="N6" s="39">
        <f ca="1">SUM(G104:G124)</f>
        <v>600175.24160000007</v>
      </c>
      <c r="O6" s="39">
        <f ca="1">SUM(G125:G140)</f>
        <v>601709.13049999997</v>
      </c>
      <c r="P6" s="40">
        <f>SUM(G288)</f>
        <v>55904.424535000006</v>
      </c>
      <c r="Q6" s="37">
        <f ca="1">SUM(G141:G216)</f>
        <v>6014459.5790565014</v>
      </c>
      <c r="R6" s="40">
        <f ca="1">SUM(G217:G218)</f>
        <v>109881</v>
      </c>
      <c r="S6" s="40">
        <f ca="1">SUM(G219:G222)</f>
        <v>513224</v>
      </c>
      <c r="T6" s="37">
        <f ca="1">SUM(G223:G240,G289:G290)</f>
        <v>1024809.453262</v>
      </c>
      <c r="U6" s="37">
        <f ca="1">SUM(G241:G276)</f>
        <v>788878.55063199997</v>
      </c>
      <c r="V6" s="42"/>
      <c r="W6" s="40">
        <f ca="1">SUM(G277)</f>
        <v>0</v>
      </c>
      <c r="X6" s="40">
        <f ca="1">SUM(G278:G288)</f>
        <v>75720.424534999998</v>
      </c>
      <c r="Y6" s="46">
        <f ca="1">SUM(L6:X6)</f>
        <v>10580064.658823501</v>
      </c>
      <c r="Z6" s="28"/>
    </row>
    <row r="7" spans="1:26" ht="15.75">
      <c r="A7" s="7" t="str">
        <f ca="1">IFERROR(__xludf.DUMMYFUNCTION("""COMPUTED_VALUE"""),"ti-ing-bfd5d10e-d265-4e6e-b05a-79c836269380")</f>
        <v>ti-ing-bfd5d10e-d265-4e6e-b05a-79c836269380</v>
      </c>
      <c r="B7" s="7" t="str">
        <f ca="1">IFERROR(__xludf.DUMMYFUNCTION("""COMPUTED_VALUE"""),"Arroz (colacion)")</f>
        <v>Arroz (colacion)</v>
      </c>
      <c r="C7" s="6">
        <v>15</v>
      </c>
      <c r="D7" s="21">
        <f ca="1">IFERROR(__xludf.DUMMYFUNCTION("""COMPUTED_VALUE"""),905)</f>
        <v>905</v>
      </c>
      <c r="E7" s="6" t="str">
        <f ca="1">IFERROR(__xludf.DUMMYFUNCTION("""COMPUTED_VALUE"""),"KG")</f>
        <v>KG</v>
      </c>
      <c r="F7" s="22" t="str">
        <f ca="1">IFERROR(__xludf.DUMMYFUNCTION("""COMPUTED_VALUE"""),"Abarrotes")</f>
        <v>Abarrotes</v>
      </c>
      <c r="G7" s="25">
        <f t="shared" ca="1" si="0"/>
        <v>13575</v>
      </c>
      <c r="H7" s="25">
        <f t="shared" ca="1" si="1"/>
        <v>2579.25</v>
      </c>
      <c r="I7" s="25">
        <f t="shared" ca="1" si="2"/>
        <v>16154.25</v>
      </c>
      <c r="J7" s="15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8"/>
      <c r="Z7" s="28"/>
    </row>
    <row r="8" spans="1:26" ht="15.75">
      <c r="A8" s="7" t="str">
        <f ca="1">IFERROR(__xludf.DUMMYFUNCTION("""COMPUTED_VALUE"""),"ti-ing-5c316419-1759-4d90-bb2e-e9025a87d122")</f>
        <v>ti-ing-5c316419-1759-4d90-bb2e-e9025a87d122</v>
      </c>
      <c r="B8" s="7" t="str">
        <f ca="1">IFERROR(__xludf.DUMMYFUNCTION("""COMPUTED_VALUE"""),"Atun Coliseo Al Agua")</f>
        <v>Atun Coliseo Al Agua</v>
      </c>
      <c r="C8" s="8">
        <v>0</v>
      </c>
      <c r="D8" s="21">
        <f ca="1">IFERROR(__xludf.DUMMYFUNCTION("""COMPUTED_VALUE"""),879)</f>
        <v>879</v>
      </c>
      <c r="E8" s="6" t="str">
        <f ca="1">IFERROR(__xludf.DUMMYFUNCTION("""COMPUTED_VALUE"""),"UN")</f>
        <v>UN</v>
      </c>
      <c r="F8" s="22" t="str">
        <f ca="1">IFERROR(__xludf.DUMMYFUNCTION("""COMPUTED_VALUE"""),"Abarrotes")</f>
        <v>Abarrotes</v>
      </c>
      <c r="G8" s="25">
        <f t="shared" ca="1" si="0"/>
        <v>0</v>
      </c>
      <c r="H8" s="25">
        <f t="shared" ca="1" si="1"/>
        <v>0</v>
      </c>
      <c r="I8" s="25">
        <f t="shared" ca="1" si="2"/>
        <v>0</v>
      </c>
      <c r="J8" s="156"/>
      <c r="L8" s="137" t="s">
        <v>21</v>
      </c>
      <c r="M8" s="137" t="s">
        <v>127</v>
      </c>
      <c r="N8" s="137" t="s">
        <v>128</v>
      </c>
      <c r="O8" s="137" t="s">
        <v>129</v>
      </c>
      <c r="P8" s="137" t="s">
        <v>130</v>
      </c>
      <c r="Q8" s="137" t="s">
        <v>131</v>
      </c>
      <c r="R8" s="137" t="s">
        <v>132</v>
      </c>
      <c r="S8" s="137" t="s">
        <v>133</v>
      </c>
      <c r="T8" s="137" t="s">
        <v>136</v>
      </c>
      <c r="U8" s="137" t="s">
        <v>137</v>
      </c>
      <c r="V8" s="137" t="s">
        <v>140</v>
      </c>
      <c r="W8" s="137" t="s">
        <v>142</v>
      </c>
      <c r="X8" s="137" t="s">
        <v>144</v>
      </c>
      <c r="Y8" s="139" t="s">
        <v>219</v>
      </c>
      <c r="Z8" s="33"/>
    </row>
    <row r="9" spans="1:26" ht="15.75">
      <c r="A9" s="7" t="str">
        <f ca="1">IFERROR(__xludf.DUMMYFUNCTION("""COMPUTED_VALUE"""),"ti-ing-363a5ec1-8d6b-4612-be6a-7a19b61ab7e2")</f>
        <v>ti-ing-363a5ec1-8d6b-4612-be6a-7a19b61ab7e2</v>
      </c>
      <c r="B9" s="7" t="str">
        <f ca="1">IFERROR(__xludf.DUMMYFUNCTION("""COMPUTED_VALUE"""),"Atun Dorasol Al Agua")</f>
        <v>Atun Dorasol Al Agua</v>
      </c>
      <c r="C9" s="8">
        <v>0</v>
      </c>
      <c r="D9" s="21">
        <f ca="1">IFERROR(__xludf.DUMMYFUNCTION("""COMPUTED_VALUE"""),879)</f>
        <v>879</v>
      </c>
      <c r="E9" s="6" t="str">
        <f ca="1">IFERROR(__xludf.DUMMYFUNCTION("""COMPUTED_VALUE"""),"UN")</f>
        <v>UN</v>
      </c>
      <c r="F9" s="22" t="str">
        <f ca="1">IFERROR(__xludf.DUMMYFUNCTION("""COMPUTED_VALUE"""),"Abarrotes")</f>
        <v>Abarrotes</v>
      </c>
      <c r="G9" s="25">
        <f t="shared" ca="1" si="0"/>
        <v>0</v>
      </c>
      <c r="H9" s="25">
        <f t="shared" ca="1" si="1"/>
        <v>0</v>
      </c>
      <c r="I9" s="25">
        <f t="shared" ca="1" si="2"/>
        <v>0</v>
      </c>
      <c r="J9" s="156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42"/>
      <c r="Z9" s="33"/>
    </row>
    <row r="10" spans="1:26" ht="15.75">
      <c r="A10" s="7" t="str">
        <f ca="1">IFERROR(__xludf.DUMMYFUNCTION("""COMPUTED_VALUE"""),"ti-ing-c1414efc-1614-40c6-a7e8-2f6efb3e0401")</f>
        <v>ti-ing-c1414efc-1614-40c6-a7e8-2f6efb3e0401</v>
      </c>
      <c r="B10" s="7" t="str">
        <f ca="1">IFERROR(__xludf.DUMMYFUNCTION("""COMPUTED_VALUE"""),"Avena")</f>
        <v>Avena</v>
      </c>
      <c r="C10" s="8">
        <v>7</v>
      </c>
      <c r="D10" s="21">
        <f ca="1">IFERROR(__xludf.DUMMYFUNCTION("""COMPUTED_VALUE"""),1050)</f>
        <v>1050</v>
      </c>
      <c r="E10" s="6" t="str">
        <f ca="1">IFERROR(__xludf.DUMMYFUNCTION("""COMPUTED_VALUE"""),"KG")</f>
        <v>KG</v>
      </c>
      <c r="F10" s="22" t="str">
        <f ca="1">IFERROR(__xludf.DUMMYFUNCTION("""COMPUTED_VALUE"""),"Abarrotes")</f>
        <v>Abarrotes</v>
      </c>
      <c r="G10" s="25">
        <f t="shared" ca="1" si="0"/>
        <v>7350</v>
      </c>
      <c r="H10" s="25">
        <f t="shared" ca="1" si="1"/>
        <v>1396.5</v>
      </c>
      <c r="I10" s="25">
        <f t="shared" ca="1" si="2"/>
        <v>8746.5</v>
      </c>
      <c r="J10" s="156"/>
      <c r="L10" s="37">
        <f ca="1">SUM(I3:I69)</f>
        <v>730704.09124692006</v>
      </c>
      <c r="M10" s="38">
        <f ca="1">SUM(I70:I103)</f>
        <v>215706.30584965</v>
      </c>
      <c r="N10" s="40">
        <f ca="1">SUM(I104:I124)</f>
        <v>696885.23245600006</v>
      </c>
      <c r="O10" s="37">
        <f ca="1">SUM(I125:I140)</f>
        <v>716033.86529499991</v>
      </c>
      <c r="P10" s="40">
        <f>SUM(I288)</f>
        <v>66526.265196650013</v>
      </c>
      <c r="Q10" s="39">
        <f ca="1">SUM(I141:I216)</f>
        <v>7157206.8990772348</v>
      </c>
      <c r="R10" s="40">
        <f ca="1">SUM(I217:I218)</f>
        <v>130758.39</v>
      </c>
      <c r="S10" s="40">
        <f ca="1">SUM(I219:I222)</f>
        <v>610736.56000000006</v>
      </c>
      <c r="T10" s="37">
        <f ca="1">SUM(I223:I240,I289:I290)</f>
        <v>1219523.2493817799</v>
      </c>
      <c r="U10" s="37">
        <f ca="1">SUM(I241:I276)</f>
        <v>938765.47525207989</v>
      </c>
      <c r="V10" s="42"/>
      <c r="W10" s="40">
        <f ca="1">SUM(I277)</f>
        <v>0</v>
      </c>
      <c r="X10" s="39">
        <f ca="1">SUM(I278:I288)</f>
        <v>90107.305196650006</v>
      </c>
      <c r="Y10" s="46">
        <f ca="1">SUM(L10:X10)</f>
        <v>12572953.638951967</v>
      </c>
      <c r="Z10" s="28"/>
    </row>
    <row r="11" spans="1:26" ht="15.75">
      <c r="A11" s="7" t="str">
        <f ca="1">IFERROR(__xludf.DUMMYFUNCTION("""COMPUTED_VALUE"""),"ti-ing-531d1d9b-814d-49bc-9bbf-06be4ae2e6d5")</f>
        <v>ti-ing-531d1d9b-814d-49bc-9bbf-06be4ae2e6d5</v>
      </c>
      <c r="B11" s="7" t="str">
        <f ca="1">IFERROR(__xludf.DUMMYFUNCTION("""COMPUTED_VALUE"""),"Azucar blanca")</f>
        <v>Azucar blanca</v>
      </c>
      <c r="C11" s="8">
        <v>50</v>
      </c>
      <c r="D11" s="21">
        <f ca="1">IFERROR(__xludf.DUMMYFUNCTION("""COMPUTED_VALUE"""),939.9985)</f>
        <v>939.99850000000004</v>
      </c>
      <c r="E11" s="6" t="str">
        <f ca="1">IFERROR(__xludf.DUMMYFUNCTION("""COMPUTED_VALUE"""),"KG")</f>
        <v>KG</v>
      </c>
      <c r="F11" s="6" t="str">
        <f ca="1">IFERROR(__xludf.DUMMYFUNCTION("""COMPUTED_VALUE"""),"Abarrotes")</f>
        <v>Abarrotes</v>
      </c>
      <c r="G11" s="25">
        <f t="shared" ca="1" si="0"/>
        <v>46999.925000000003</v>
      </c>
      <c r="H11" s="25">
        <f t="shared" ca="1" si="1"/>
        <v>8929.9857499999998</v>
      </c>
      <c r="I11" s="25">
        <f t="shared" ca="1" si="2"/>
        <v>55929.910750000003</v>
      </c>
      <c r="J11" s="156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8"/>
      <c r="Z11" s="28"/>
    </row>
    <row r="12" spans="1:26" ht="15.75">
      <c r="A12" s="7"/>
      <c r="B12" s="7" t="str">
        <f ca="1">IFERROR(__xludf.DUMMYFUNCTION("""COMPUTED_VALUE"""),"Azúcar blanca por kilo")</f>
        <v>Azúcar blanca por kilo</v>
      </c>
      <c r="C12" s="8">
        <v>0</v>
      </c>
      <c r="D12" s="21">
        <f ca="1">IFERROR(__xludf.DUMMYFUNCTION("""COMPUTED_VALUE"""),930)</f>
        <v>930</v>
      </c>
      <c r="E12" s="6" t="str">
        <f ca="1">IFERROR(__xludf.DUMMYFUNCTION("""COMPUTED_VALUE"""),"KG")</f>
        <v>KG</v>
      </c>
      <c r="F12" s="6" t="str">
        <f ca="1">IFERROR(__xludf.DUMMYFUNCTION("""COMPUTED_VALUE"""),"Abarrotes")</f>
        <v>Abarrotes</v>
      </c>
      <c r="G12" s="25">
        <f t="shared" ca="1" si="0"/>
        <v>0</v>
      </c>
      <c r="H12" s="25">
        <f t="shared" ca="1" si="1"/>
        <v>0</v>
      </c>
      <c r="I12" s="25">
        <f t="shared" ca="1" si="2"/>
        <v>0</v>
      </c>
      <c r="J12" s="156"/>
      <c r="L12" s="54">
        <f t="shared" ref="L12:X12" ca="1" si="3">(L10*100)/$Y$10</f>
        <v>5.8117138759117291</v>
      </c>
      <c r="M12" s="54">
        <f t="shared" ca="1" si="3"/>
        <v>1.7156374869734305</v>
      </c>
      <c r="N12" s="54">
        <f t="shared" ca="1" si="3"/>
        <v>5.542732857114788</v>
      </c>
      <c r="O12" s="54">
        <f t="shared" ca="1" si="3"/>
        <v>5.6950330515549865</v>
      </c>
      <c r="P12" s="54">
        <f t="shared" ca="1" si="3"/>
        <v>0.52912201147824633</v>
      </c>
      <c r="Q12" s="54">
        <f t="shared" ca="1" si="3"/>
        <v>56.925421858740201</v>
      </c>
      <c r="R12" s="54">
        <f t="shared" ca="1" si="3"/>
        <v>1.0399973924575732</v>
      </c>
      <c r="S12" s="54">
        <f t="shared" ca="1" si="3"/>
        <v>4.8575424481634277</v>
      </c>
      <c r="T12" s="54">
        <f t="shared" ca="1" si="3"/>
        <v>9.6995764432281373</v>
      </c>
      <c r="U12" s="54">
        <f t="shared" ca="1" si="3"/>
        <v>7.4665468609039731</v>
      </c>
      <c r="V12" s="54">
        <f t="shared" ca="1" si="3"/>
        <v>0</v>
      </c>
      <c r="W12" s="54">
        <f t="shared" ca="1" si="3"/>
        <v>0</v>
      </c>
      <c r="X12" s="54">
        <f t="shared" ca="1" si="3"/>
        <v>0.71667571347348902</v>
      </c>
      <c r="Y12" s="28"/>
      <c r="Z12" s="28"/>
    </row>
    <row r="13" spans="1:26" ht="15.75">
      <c r="A13" s="7" t="str">
        <f ca="1">IFERROR(__xludf.DUMMYFUNCTION("""COMPUTED_VALUE"""),"ti-ing-c4486ce7-85c4-49c5-ac82-4d98b0798d01")</f>
        <v>ti-ing-c4486ce7-85c4-49c5-ac82-4d98b0798d01</v>
      </c>
      <c r="B13" s="7" t="str">
        <f ca="1">IFERROR(__xludf.DUMMYFUNCTION("""COMPUTED_VALUE"""),"Azucar rubia")</f>
        <v>Azucar rubia</v>
      </c>
      <c r="C13" s="8">
        <v>5</v>
      </c>
      <c r="D13" s="21">
        <f ca="1">IFERROR(__xludf.DUMMYFUNCTION("""COMPUTED_VALUE"""),1047)</f>
        <v>1047</v>
      </c>
      <c r="E13" s="6" t="str">
        <f ca="1">IFERROR(__xludf.DUMMYFUNCTION("""COMPUTED_VALUE"""),"KG")</f>
        <v>KG</v>
      </c>
      <c r="F13" s="6" t="str">
        <f ca="1">IFERROR(__xludf.DUMMYFUNCTION("""COMPUTED_VALUE"""),"Abarrotes")</f>
        <v>Abarrotes</v>
      </c>
      <c r="G13" s="25">
        <f t="shared" ca="1" si="0"/>
        <v>5235</v>
      </c>
      <c r="H13" s="25">
        <f t="shared" ca="1" si="1"/>
        <v>994.65</v>
      </c>
      <c r="I13" s="25">
        <f t="shared" ca="1" si="2"/>
        <v>6229.65</v>
      </c>
      <c r="J13" s="156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8"/>
      <c r="Z13" s="28"/>
    </row>
    <row r="14" spans="1:26" ht="15.75">
      <c r="A14" s="7" t="str">
        <f ca="1">IFERROR(__xludf.DUMMYFUNCTION("""COMPUTED_VALUE"""),"ti-ing-63a7f9f9-77ff-45f4-9e3f-3feff0b73432")</f>
        <v>ti-ing-63a7f9f9-77ff-45f4-9e3f-3feff0b73432</v>
      </c>
      <c r="B14" s="7" t="str">
        <f ca="1">IFERROR(__xludf.DUMMYFUNCTION("""COMPUTED_VALUE"""),"Café tarro grande (desayuno)")</f>
        <v>Café tarro grande (desayuno)</v>
      </c>
      <c r="C14" s="8">
        <v>4</v>
      </c>
      <c r="D14" s="21">
        <f ca="1">IFERROR(__xludf.DUMMYFUNCTION("""COMPUTED_VALUE"""),12032)</f>
        <v>12032</v>
      </c>
      <c r="E14" s="6" t="str">
        <f ca="1">IFERROR(__xludf.DUMMYFUNCTION("""COMPUTED_VALUE"""),"UN")</f>
        <v>UN</v>
      </c>
      <c r="F14" s="6" t="str">
        <f ca="1">IFERROR(__xludf.DUMMYFUNCTION("""COMPUTED_VALUE"""),"Abarrotes")</f>
        <v>Abarrotes</v>
      </c>
      <c r="G14" s="25">
        <f t="shared" ca="1" si="0"/>
        <v>48128</v>
      </c>
      <c r="H14" s="25">
        <f t="shared" ca="1" si="1"/>
        <v>9144.32</v>
      </c>
      <c r="I14" s="25">
        <f t="shared" ca="1" si="2"/>
        <v>57272.32</v>
      </c>
      <c r="J14" s="156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8"/>
      <c r="Z14" s="28"/>
    </row>
    <row r="15" spans="1:26" ht="15.75">
      <c r="A15" s="7" t="str">
        <f ca="1">IFERROR(__xludf.DUMMYFUNCTION("""COMPUTED_VALUE"""),"ti-ing-f57e1d6d-2d59-440c-a741-794a5d5d1359")</f>
        <v>ti-ing-f57e1d6d-2d59-440c-a741-794a5d5d1359</v>
      </c>
      <c r="B15" s="7" t="str">
        <f ca="1">IFERROR(__xludf.DUMMYFUNCTION("""COMPUTED_VALUE"""),"Chia kg")</f>
        <v>Chia kg</v>
      </c>
      <c r="C15" s="8">
        <v>0</v>
      </c>
      <c r="D15" s="21">
        <f ca="1">IFERROR(__xludf.DUMMYFUNCTION("""COMPUTED_VALUE"""),4152)</f>
        <v>4152</v>
      </c>
      <c r="E15" s="6" t="str">
        <f ca="1">IFERROR(__xludf.DUMMYFUNCTION("""COMPUTED_VALUE"""),"UN")</f>
        <v>UN</v>
      </c>
      <c r="F15" s="6" t="str">
        <f ca="1">IFERROR(__xludf.DUMMYFUNCTION("""COMPUTED_VALUE"""),"Abarrotes")</f>
        <v>Abarrotes</v>
      </c>
      <c r="G15" s="25">
        <f t="shared" ca="1" si="0"/>
        <v>0</v>
      </c>
      <c r="H15" s="25">
        <f t="shared" ca="1" si="1"/>
        <v>0</v>
      </c>
      <c r="I15" s="25">
        <f t="shared" ca="1" si="2"/>
        <v>0</v>
      </c>
      <c r="J15" s="156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8"/>
      <c r="Z15" s="28"/>
    </row>
    <row r="16" spans="1:26" ht="15.75">
      <c r="A16" s="7" t="str">
        <f ca="1">IFERROR(__xludf.DUMMYFUNCTION("""COMPUTED_VALUE"""),"ti-ing-b908bdf8-4d68-4e4a-bca8-67edb76d6236")</f>
        <v>ti-ing-b908bdf8-4d68-4e4a-bca8-67edb76d6236</v>
      </c>
      <c r="B16" s="7" t="str">
        <f ca="1">IFERROR(__xludf.DUMMYFUNCTION("""COMPUTED_VALUE"""),"Chips Chocolate Negro kg")</f>
        <v>Chips Chocolate Negro kg</v>
      </c>
      <c r="C16" s="8">
        <v>9</v>
      </c>
      <c r="D16" s="21">
        <f ca="1">IFERROR(__xludf.DUMMYFUNCTION("""COMPUTED_VALUE"""),6977.75)</f>
        <v>6977.75</v>
      </c>
      <c r="E16" s="6" t="str">
        <f ca="1">IFERROR(__xludf.DUMMYFUNCTION("""COMPUTED_VALUE"""),"KG")</f>
        <v>KG</v>
      </c>
      <c r="F16" s="6" t="str">
        <f ca="1">IFERROR(__xludf.DUMMYFUNCTION("""COMPUTED_VALUE"""),"Abarrotes")</f>
        <v>Abarrotes</v>
      </c>
      <c r="G16" s="25">
        <f t="shared" ca="1" si="0"/>
        <v>62799.75</v>
      </c>
      <c r="H16" s="25">
        <f t="shared" ca="1" si="1"/>
        <v>11931.952499999999</v>
      </c>
      <c r="I16" s="25">
        <f t="shared" ca="1" si="2"/>
        <v>74731.702499999999</v>
      </c>
      <c r="J16" s="156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8"/>
      <c r="Z16" s="28"/>
    </row>
    <row r="17" spans="1:26" ht="15.75">
      <c r="A17" s="7" t="str">
        <f ca="1">IFERROR(__xludf.DUMMYFUNCTION("""COMPUTED_VALUE"""),"ti-ing-89800579-a778-4a4e-8895-e0cc7ed6a986")</f>
        <v>ti-ing-89800579-a778-4a4e-8895-e0cc7ed6a986</v>
      </c>
      <c r="B17" s="7" t="str">
        <f ca="1">IFERROR(__xludf.DUMMYFUNCTION("""COMPUTED_VALUE"""),"Coco Laminado")</f>
        <v>Coco Laminado</v>
      </c>
      <c r="C17" s="8">
        <v>2</v>
      </c>
      <c r="D17" s="21">
        <f ca="1">IFERROR(__xludf.DUMMYFUNCTION("""COMPUTED_VALUE"""),8474)</f>
        <v>8474</v>
      </c>
      <c r="E17" s="6" t="str">
        <f ca="1">IFERROR(__xludf.DUMMYFUNCTION("""COMPUTED_VALUE"""),"KG")</f>
        <v>KG</v>
      </c>
      <c r="F17" s="6" t="str">
        <f ca="1">IFERROR(__xludf.DUMMYFUNCTION("""COMPUTED_VALUE"""),"Abarrotes")</f>
        <v>Abarrotes</v>
      </c>
      <c r="G17" s="25">
        <f t="shared" ca="1" si="0"/>
        <v>16948</v>
      </c>
      <c r="H17" s="25">
        <f t="shared" ca="1" si="1"/>
        <v>3220.12</v>
      </c>
      <c r="I17" s="25">
        <f t="shared" ca="1" si="2"/>
        <v>20168.12</v>
      </c>
      <c r="J17" s="15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8"/>
      <c r="Z17" s="28"/>
    </row>
    <row r="18" spans="1:26" ht="15.75">
      <c r="A18" s="7" t="str">
        <f ca="1">IFERROR(__xludf.DUMMYFUNCTION("""COMPUTED_VALUE"""),"ti-ing-a396335b-a1d5-46a1-874a-de8bd1a3a0de")</f>
        <v>ti-ing-a396335b-a1d5-46a1-874a-de8bd1a3a0de</v>
      </c>
      <c r="B18" s="7" t="str">
        <f ca="1">IFERROR(__xludf.DUMMYFUNCTION("""COMPUTED_VALUE"""),"Coco Rallado")</f>
        <v>Coco Rallado</v>
      </c>
      <c r="C18" s="8">
        <v>3</v>
      </c>
      <c r="D18" s="21">
        <f ca="1">IFERROR(__xludf.DUMMYFUNCTION("""COMPUTED_VALUE"""),4188)</f>
        <v>4188</v>
      </c>
      <c r="E18" s="6" t="str">
        <f ca="1">IFERROR(__xludf.DUMMYFUNCTION("""COMPUTED_VALUE"""),"KG")</f>
        <v>KG</v>
      </c>
      <c r="F18" s="6" t="str">
        <f ca="1">IFERROR(__xludf.DUMMYFUNCTION("""COMPUTED_VALUE"""),"Abarrotes")</f>
        <v>Abarrotes</v>
      </c>
      <c r="G18" s="25">
        <f t="shared" ca="1" si="0"/>
        <v>12564</v>
      </c>
      <c r="H18" s="25">
        <f t="shared" ca="1" si="1"/>
        <v>2387.16</v>
      </c>
      <c r="I18" s="25">
        <f t="shared" ca="1" si="2"/>
        <v>14951.16</v>
      </c>
      <c r="J18" s="156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8"/>
      <c r="Z18" s="28"/>
    </row>
    <row r="19" spans="1:26" ht="15.75">
      <c r="A19" s="7" t="str">
        <f ca="1">IFERROR(__xludf.DUMMYFUNCTION("""COMPUTED_VALUE"""),"ti-ing-280562df-e2c6-469c-bfaf-8f7361fb5c74")</f>
        <v>ti-ing-280562df-e2c6-469c-bfaf-8f7361fb5c74</v>
      </c>
      <c r="B19" s="7" t="str">
        <f ca="1">IFERROR(__xludf.DUMMYFUNCTION("""COMPUTED_VALUE"""),"COMINO")</f>
        <v>COMINO</v>
      </c>
      <c r="C19" s="8">
        <v>0</v>
      </c>
      <c r="D19" s="21">
        <f ca="1">IFERROR(__xludf.DUMMYFUNCTION("""COMPUTED_VALUE"""),5250)</f>
        <v>5250</v>
      </c>
      <c r="E19" s="6" t="str">
        <f ca="1">IFERROR(__xludf.DUMMYFUNCTION("""COMPUTED_VALUE"""),"KG")</f>
        <v>KG</v>
      </c>
      <c r="F19" s="6" t="str">
        <f ca="1">IFERROR(__xludf.DUMMYFUNCTION("""COMPUTED_VALUE"""),"Abarrotes")</f>
        <v>Abarrotes</v>
      </c>
      <c r="G19" s="25">
        <f t="shared" ca="1" si="0"/>
        <v>0</v>
      </c>
      <c r="H19" s="25">
        <f t="shared" ca="1" si="1"/>
        <v>0</v>
      </c>
      <c r="I19" s="25">
        <f t="shared" ca="1" si="2"/>
        <v>0</v>
      </c>
      <c r="J19" s="156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8"/>
      <c r="Z19" s="28"/>
    </row>
    <row r="20" spans="1:26" ht="15.75">
      <c r="A20" s="7" t="str">
        <f ca="1">IFERROR(__xludf.DUMMYFUNCTION("""COMPUTED_VALUE"""),"ti-ing-55e22a4e-70ba-4bfe-9ef6-78d09a6c71b6")</f>
        <v>ti-ing-55e22a4e-70ba-4bfe-9ef6-78d09a6c71b6</v>
      </c>
      <c r="B20" s="7" t="str">
        <f ca="1">IFERROR(__xludf.DUMMYFUNCTION("""COMPUTED_VALUE"""),"Curcuma")</f>
        <v>Curcuma</v>
      </c>
      <c r="C20" s="8">
        <v>1</v>
      </c>
      <c r="D20" s="21">
        <f ca="1">IFERROR(__xludf.DUMMYFUNCTION("""COMPUTED_VALUE"""),5437)</f>
        <v>5437</v>
      </c>
      <c r="E20" s="6" t="str">
        <f ca="1">IFERROR(__xludf.DUMMYFUNCTION("""COMPUTED_VALUE"""),"KG")</f>
        <v>KG</v>
      </c>
      <c r="F20" s="6" t="str">
        <f ca="1">IFERROR(__xludf.DUMMYFUNCTION("""COMPUTED_VALUE"""),"Abarrotes")</f>
        <v>Abarrotes</v>
      </c>
      <c r="G20" s="25">
        <f t="shared" ca="1" si="0"/>
        <v>5437</v>
      </c>
      <c r="H20" s="25">
        <f t="shared" ca="1" si="1"/>
        <v>1033.03</v>
      </c>
      <c r="I20" s="25">
        <f t="shared" ca="1" si="2"/>
        <v>6470.03</v>
      </c>
      <c r="J20" s="156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8"/>
      <c r="Z20" s="28"/>
    </row>
    <row r="21" spans="1:26" ht="15.75">
      <c r="A21" s="7" t="str">
        <f ca="1">IFERROR(__xludf.DUMMYFUNCTION("""COMPUTED_VALUE"""),"ti-ing-064cb0f3-6635-4de8-915c-d57502a19286")</f>
        <v>ti-ing-064cb0f3-6635-4de8-915c-d57502a19286</v>
      </c>
      <c r="B21" s="7" t="str">
        <f ca="1">IFERROR(__xludf.DUMMYFUNCTION("""COMPUTED_VALUE"""),"Esencia vainilla")</f>
        <v>Esencia vainilla</v>
      </c>
      <c r="C21" s="8">
        <v>0</v>
      </c>
      <c r="D21" s="21">
        <f ca="1">IFERROR(__xludf.DUMMYFUNCTION("""COMPUTED_VALUE"""),1000)</f>
        <v>1000</v>
      </c>
      <c r="E21" s="6" t="str">
        <f ca="1">IFERROR(__xludf.DUMMYFUNCTION("""COMPUTED_VALUE"""),"LT")</f>
        <v>LT</v>
      </c>
      <c r="F21" s="6" t="str">
        <f ca="1">IFERROR(__xludf.DUMMYFUNCTION("""COMPUTED_VALUE"""),"Abarrotes")</f>
        <v>Abarrotes</v>
      </c>
      <c r="G21" s="25">
        <f t="shared" ca="1" si="0"/>
        <v>0</v>
      </c>
      <c r="H21" s="25">
        <f t="shared" ca="1" si="1"/>
        <v>0</v>
      </c>
      <c r="I21" s="25">
        <f t="shared" ca="1" si="2"/>
        <v>0</v>
      </c>
      <c r="J21" s="156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8"/>
      <c r="Z21" s="28"/>
    </row>
    <row r="22" spans="1:26" ht="15.75">
      <c r="A22" s="7" t="str">
        <f ca="1">IFERROR(__xludf.DUMMYFUNCTION("""COMPUTED_VALUE"""),"ti-ing-2fbc1c56-3286-4d64-8ddd-b547296361a3")</f>
        <v>ti-ing-2fbc1c56-3286-4d64-8ddd-b547296361a3</v>
      </c>
      <c r="B22" s="7" t="str">
        <f ca="1">IFERROR(__xludf.DUMMYFUNCTION("""COMPUTED_VALUE"""),"Espaguetti")</f>
        <v>Espaguetti</v>
      </c>
      <c r="C22" s="8">
        <v>2</v>
      </c>
      <c r="D22" s="21">
        <f ca="1">IFERROR(__xludf.DUMMYFUNCTION("""COMPUTED_VALUE"""),407)</f>
        <v>407</v>
      </c>
      <c r="E22" s="6" t="str">
        <f ca="1">IFERROR(__xludf.DUMMYFUNCTION("""COMPUTED_VALUE"""),"UN")</f>
        <v>UN</v>
      </c>
      <c r="F22" s="6" t="str">
        <f ca="1">IFERROR(__xludf.DUMMYFUNCTION("""COMPUTED_VALUE"""),"Abarrotes")</f>
        <v>Abarrotes</v>
      </c>
      <c r="G22" s="25">
        <f t="shared" ca="1" si="0"/>
        <v>814</v>
      </c>
      <c r="H22" s="25">
        <f t="shared" ca="1" si="1"/>
        <v>154.66</v>
      </c>
      <c r="I22" s="25">
        <f t="shared" ca="1" si="2"/>
        <v>968.66</v>
      </c>
      <c r="J22" s="15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8"/>
      <c r="Z22" s="28"/>
    </row>
    <row r="23" spans="1:26" ht="15.75">
      <c r="A23" s="7" t="str">
        <f ca="1">IFERROR(__xludf.DUMMYFUNCTION("""COMPUTED_VALUE"""),"ti-ing-446530ff-42dc-41f9-9208-1b6c8dded86f")</f>
        <v>ti-ing-446530ff-42dc-41f9-9208-1b6c8dded86f</v>
      </c>
      <c r="B23" s="7" t="str">
        <f ca="1">IFERROR(__xludf.DUMMYFUNCTION("""COMPUTED_VALUE"""),"Espirales")</f>
        <v>Espirales</v>
      </c>
      <c r="C23" s="8">
        <v>0</v>
      </c>
      <c r="D23" s="21">
        <f ca="1">IFERROR(__xludf.DUMMYFUNCTION("""COMPUTED_VALUE"""),399)</f>
        <v>399</v>
      </c>
      <c r="E23" s="6" t="str">
        <f ca="1">IFERROR(__xludf.DUMMYFUNCTION("""COMPUTED_VALUE"""),"UN")</f>
        <v>UN</v>
      </c>
      <c r="F23" s="6" t="str">
        <f ca="1">IFERROR(__xludf.DUMMYFUNCTION("""COMPUTED_VALUE"""),"Abarrotes")</f>
        <v>Abarrotes</v>
      </c>
      <c r="G23" s="25">
        <f t="shared" ca="1" si="0"/>
        <v>0</v>
      </c>
      <c r="H23" s="25">
        <f t="shared" ca="1" si="1"/>
        <v>0</v>
      </c>
      <c r="I23" s="25">
        <f t="shared" ca="1" si="2"/>
        <v>0</v>
      </c>
      <c r="J23" s="156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8"/>
      <c r="Z23" s="28"/>
    </row>
    <row r="24" spans="1:26" ht="15.75">
      <c r="A24" s="7" t="str">
        <f ca="1">IFERROR(__xludf.DUMMYFUNCTION("""COMPUTED_VALUE"""),"ti-ing-150d078f-94cc-4527-a524-b16516d0adfa")</f>
        <v>ti-ing-150d078f-94cc-4527-a524-b16516d0adfa</v>
      </c>
      <c r="B24" s="7" t="str">
        <f ca="1">IFERROR(__xludf.DUMMYFUNCTION("""COMPUTED_VALUE"""),"Fruta Confitada")</f>
        <v>Fruta Confitada</v>
      </c>
      <c r="C24" s="8">
        <v>4</v>
      </c>
      <c r="D24" s="21">
        <f ca="1">IFERROR(__xludf.DUMMYFUNCTION("""COMPUTED_VALUE"""),3500)</f>
        <v>3500</v>
      </c>
      <c r="E24" s="6" t="str">
        <f ca="1">IFERROR(__xludf.DUMMYFUNCTION("""COMPUTED_VALUE"""),"KG")</f>
        <v>KG</v>
      </c>
      <c r="F24" s="6" t="str">
        <f ca="1">IFERROR(__xludf.DUMMYFUNCTION("""COMPUTED_VALUE"""),"Abarrotes")</f>
        <v>Abarrotes</v>
      </c>
      <c r="G24" s="25">
        <f t="shared" ca="1" si="0"/>
        <v>14000</v>
      </c>
      <c r="H24" s="25">
        <f t="shared" ca="1" si="1"/>
        <v>2660</v>
      </c>
      <c r="I24" s="25">
        <f t="shared" ca="1" si="2"/>
        <v>16660</v>
      </c>
      <c r="J24" s="156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8"/>
      <c r="Z24" s="28"/>
    </row>
    <row r="25" spans="1:26" ht="15.75">
      <c r="A25" s="7" t="str">
        <f ca="1">IFERROR(__xludf.DUMMYFUNCTION("""COMPUTED_VALUE"""),"ti-ing-11a33780-09cc-47f7-b11c-89e4b6139bb9")</f>
        <v>ti-ing-11a33780-09cc-47f7-b11c-89e4b6139bb9</v>
      </c>
      <c r="B25" s="7" t="str">
        <f ca="1">IFERROR(__xludf.DUMMYFUNCTION("""COMPUTED_VALUE"""),"Garbanzos")</f>
        <v>Garbanzos</v>
      </c>
      <c r="C25" s="8">
        <v>1</v>
      </c>
      <c r="D25" s="21">
        <f ca="1">IFERROR(__xludf.DUMMYFUNCTION("""COMPUTED_VALUE"""),2291.25)</f>
        <v>2291.25</v>
      </c>
      <c r="E25" s="6" t="str">
        <f ca="1">IFERROR(__xludf.DUMMYFUNCTION("""COMPUTED_VALUE"""),"KG")</f>
        <v>KG</v>
      </c>
      <c r="F25" s="6" t="str">
        <f ca="1">IFERROR(__xludf.DUMMYFUNCTION("""COMPUTED_VALUE"""),"Abarrotes")</f>
        <v>Abarrotes</v>
      </c>
      <c r="G25" s="25">
        <f t="shared" ca="1" si="0"/>
        <v>2291.25</v>
      </c>
      <c r="H25" s="25">
        <f t="shared" ca="1" si="1"/>
        <v>435.33749999999998</v>
      </c>
      <c r="I25" s="25">
        <f t="shared" ca="1" si="2"/>
        <v>2726.5875000000001</v>
      </c>
      <c r="J25" s="156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8"/>
      <c r="Z25" s="28"/>
    </row>
    <row r="26" spans="1:26" ht="15.75">
      <c r="A26" s="7" t="str">
        <f ca="1">IFERROR(__xludf.DUMMYFUNCTION("""COMPUTED_VALUE"""),"ti-ing-af062f27-295c-456a-9ce5-77fbb725f339")</f>
        <v>ti-ing-af062f27-295c-456a-9ce5-77fbb725f339</v>
      </c>
      <c r="B26" s="7" t="str">
        <f ca="1">IFERROR(__xludf.DUMMYFUNCTION("""COMPUTED_VALUE"""),"Helado Chocolate")</f>
        <v>Helado Chocolate</v>
      </c>
      <c r="C26" s="8">
        <v>0</v>
      </c>
      <c r="D26" s="21">
        <f ca="1">IFERROR(__xludf.DUMMYFUNCTION("""COMPUTED_VALUE"""),2360.6)</f>
        <v>2360.6</v>
      </c>
      <c r="E26" s="6" t="str">
        <f ca="1">IFERROR(__xludf.DUMMYFUNCTION("""COMPUTED_VALUE"""),"LT")</f>
        <v>LT</v>
      </c>
      <c r="F26" s="6" t="str">
        <f ca="1">IFERROR(__xludf.DUMMYFUNCTION("""COMPUTED_VALUE"""),"Abarrotes")</f>
        <v>Abarrotes</v>
      </c>
      <c r="G26" s="25">
        <f t="shared" ca="1" si="0"/>
        <v>0</v>
      </c>
      <c r="H26" s="25">
        <f t="shared" ca="1" si="1"/>
        <v>0</v>
      </c>
      <c r="I26" s="25">
        <f t="shared" ca="1" si="2"/>
        <v>0</v>
      </c>
      <c r="J26" s="156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8"/>
      <c r="Z26" s="28"/>
    </row>
    <row r="27" spans="1:26" ht="15.75">
      <c r="A27" s="7"/>
      <c r="B27" s="7" t="str">
        <f ca="1">IFERROR(__xludf.DUMMYFUNCTION("""COMPUTED_VALUE"""),"Helado frutilla")</f>
        <v>Helado frutilla</v>
      </c>
      <c r="C27" s="8">
        <v>0</v>
      </c>
      <c r="D27" s="21">
        <f ca="1">IFERROR(__xludf.DUMMYFUNCTION("""COMPUTED_VALUE"""),3469)</f>
        <v>3469</v>
      </c>
      <c r="E27" s="6" t="str">
        <f ca="1">IFERROR(__xludf.DUMMYFUNCTION("""COMPUTED_VALUE"""),"LT")</f>
        <v>LT</v>
      </c>
      <c r="F27" s="6" t="str">
        <f ca="1">IFERROR(__xludf.DUMMYFUNCTION("""COMPUTED_VALUE"""),"Abarrotes")</f>
        <v>Abarrotes</v>
      </c>
      <c r="G27" s="25">
        <f t="shared" ca="1" si="0"/>
        <v>0</v>
      </c>
      <c r="H27" s="25">
        <f t="shared" ca="1" si="1"/>
        <v>0</v>
      </c>
      <c r="I27" s="25">
        <f t="shared" ca="1" si="2"/>
        <v>0</v>
      </c>
      <c r="J27" s="15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8"/>
      <c r="Z27" s="28"/>
    </row>
    <row r="28" spans="1:26" ht="15.75">
      <c r="A28" s="7" t="str">
        <f ca="1">IFERROR(__xludf.DUMMYFUNCTION("""COMPUTED_VALUE"""),"ti-ing-12dbd538-5012-4d25-8c02-7d0b4f3fdf45")</f>
        <v>ti-ing-12dbd538-5012-4d25-8c02-7d0b4f3fdf45</v>
      </c>
      <c r="B28" s="7" t="str">
        <f ca="1">IFERROR(__xludf.DUMMYFUNCTION("""COMPUTED_VALUE"""),"Helado Vainilla")</f>
        <v>Helado Vainilla</v>
      </c>
      <c r="C28" s="8">
        <v>0</v>
      </c>
      <c r="D28" s="21">
        <f ca="1">IFERROR(__xludf.DUMMYFUNCTION("""COMPUTED_VALUE"""),2979)</f>
        <v>2979</v>
      </c>
      <c r="E28" s="6" t="str">
        <f ca="1">IFERROR(__xludf.DUMMYFUNCTION("""COMPUTED_VALUE"""),"LT")</f>
        <v>LT</v>
      </c>
      <c r="F28" s="6" t="str">
        <f ca="1">IFERROR(__xludf.DUMMYFUNCTION("""COMPUTED_VALUE"""),"Abarrotes")</f>
        <v>Abarrotes</v>
      </c>
      <c r="G28" s="25">
        <f t="shared" ca="1" si="0"/>
        <v>0</v>
      </c>
      <c r="H28" s="25">
        <f t="shared" ca="1" si="1"/>
        <v>0</v>
      </c>
      <c r="I28" s="25">
        <f t="shared" ca="1" si="2"/>
        <v>0</v>
      </c>
      <c r="J28" s="156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8"/>
      <c r="Z28" s="28"/>
    </row>
    <row r="29" spans="1:26" ht="15.75">
      <c r="A29" s="7" t="str">
        <f ca="1">IFERROR(__xludf.DUMMYFUNCTION("""COMPUTED_VALUE"""),"ti-ing-e6ff2cd2-0729-44b9-b0d3-457299c1ead8")</f>
        <v>ti-ing-e6ff2cd2-0729-44b9-b0d3-457299c1ead8</v>
      </c>
      <c r="B29" s="7" t="str">
        <f ca="1">IFERROR(__xludf.DUMMYFUNCTION("""COMPUTED_VALUE"""),"Huevos Arizona")</f>
        <v>Huevos Arizona</v>
      </c>
      <c r="C29" s="8">
        <v>1.08</v>
      </c>
      <c r="D29" s="21">
        <f ca="1">IFERROR(__xludf.DUMMYFUNCTION("""COMPUTED_VALUE"""),138)</f>
        <v>138</v>
      </c>
      <c r="E29" s="6" t="str">
        <f ca="1">IFERROR(__xludf.DUMMYFUNCTION("""COMPUTED_VALUE"""),"UN")</f>
        <v>UN</v>
      </c>
      <c r="F29" s="6" t="str">
        <f ca="1">IFERROR(__xludf.DUMMYFUNCTION("""COMPUTED_VALUE"""),"Abarrotes")</f>
        <v>Abarrotes</v>
      </c>
      <c r="G29" s="25">
        <f t="shared" ca="1" si="0"/>
        <v>149.04000000000002</v>
      </c>
      <c r="H29" s="25">
        <f t="shared" ca="1" si="1"/>
        <v>28.317600000000006</v>
      </c>
      <c r="I29" s="25">
        <f t="shared" ca="1" si="2"/>
        <v>177.35760000000002</v>
      </c>
      <c r="J29" s="156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8"/>
      <c r="Z29" s="28"/>
    </row>
    <row r="30" spans="1:26" ht="15.75">
      <c r="A30" s="7" t="str">
        <f ca="1">IFERROR(__xludf.DUMMYFUNCTION("""COMPUTED_VALUE"""),"ti-ing-06898fd0-9448-431b-9bad-3526a93cf181")</f>
        <v>ti-ing-06898fd0-9448-431b-9bad-3526a93cf181</v>
      </c>
      <c r="B30" s="7" t="str">
        <f ca="1">IFERROR(__xludf.DUMMYFUNCTION("""COMPUTED_VALUE"""),"Ketchup kg")</f>
        <v>Ketchup kg</v>
      </c>
      <c r="C30" s="8">
        <v>0</v>
      </c>
      <c r="D30" s="21">
        <f ca="1">IFERROR(__xludf.DUMMYFUNCTION("""COMPUTED_VALUE"""),1550)</f>
        <v>1550</v>
      </c>
      <c r="E30" s="6" t="str">
        <f ca="1">IFERROR(__xludf.DUMMYFUNCTION("""COMPUTED_VALUE"""),"KG")</f>
        <v>KG</v>
      </c>
      <c r="F30" s="6" t="str">
        <f ca="1">IFERROR(__xludf.DUMMYFUNCTION("""COMPUTED_VALUE"""),"Abarrotes")</f>
        <v>Abarrotes</v>
      </c>
      <c r="G30" s="25">
        <f t="shared" ca="1" si="0"/>
        <v>0</v>
      </c>
      <c r="H30" s="25">
        <f t="shared" ca="1" si="1"/>
        <v>0</v>
      </c>
      <c r="I30" s="25">
        <f t="shared" ca="1" si="2"/>
        <v>0</v>
      </c>
      <c r="J30" s="156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8"/>
      <c r="Z30" s="28"/>
    </row>
    <row r="31" spans="1:26" ht="15.75">
      <c r="A31" s="7" t="str">
        <f ca="1">IFERROR(__xludf.DUMMYFUNCTION("""COMPUTED_VALUE"""),"ti-ing-f3eeca8c-b308-4136-a438-0f68fc53c279")</f>
        <v>ti-ing-f3eeca8c-b308-4136-a438-0f68fc53c279</v>
      </c>
      <c r="B31" s="7" t="str">
        <f ca="1">IFERROR(__xludf.DUMMYFUNCTION("""COMPUTED_VALUE"""),"Lasagne Chef")</f>
        <v>Lasagne Chef</v>
      </c>
      <c r="C31" s="8">
        <v>6.6</v>
      </c>
      <c r="D31" s="21">
        <f ca="1">IFERROR(__xludf.DUMMYFUNCTION("""COMPUTED_VALUE"""),3831.8)</f>
        <v>3831.8</v>
      </c>
      <c r="E31" s="6" t="str">
        <f ca="1">IFERROR(__xludf.DUMMYFUNCTION("""COMPUTED_VALUE"""),"kg")</f>
        <v>kg</v>
      </c>
      <c r="F31" s="6" t="str">
        <f ca="1">IFERROR(__xludf.DUMMYFUNCTION("""COMPUTED_VALUE"""),"Abarrotes")</f>
        <v>Abarrotes</v>
      </c>
      <c r="G31" s="25">
        <f t="shared" ca="1" si="0"/>
        <v>25289.88</v>
      </c>
      <c r="H31" s="25">
        <f t="shared" ca="1" si="1"/>
        <v>4805.0772000000006</v>
      </c>
      <c r="I31" s="25">
        <f t="shared" ca="1" si="2"/>
        <v>30094.957200000001</v>
      </c>
      <c r="J31" s="156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8"/>
      <c r="Z31" s="28"/>
    </row>
    <row r="32" spans="1:26" ht="15.75">
      <c r="A32" s="7" t="str">
        <f ca="1">IFERROR(__xludf.DUMMYFUNCTION("""COMPUTED_VALUE"""),"ti-ing-20a9682d-4a6c-42c4-a3ed-312cab8df904")</f>
        <v>ti-ing-20a9682d-4a6c-42c4-a3ed-312cab8df904</v>
      </c>
      <c r="B32" s="7" t="str">
        <f ca="1">IFERROR(__xludf.DUMMYFUNCTION("""COMPUTED_VALUE"""),"Laurel")</f>
        <v>Laurel</v>
      </c>
      <c r="C32" s="8">
        <v>0.3</v>
      </c>
      <c r="D32" s="21">
        <f ca="1">IFERROR(__xludf.DUMMYFUNCTION("""COMPUTED_VALUE"""),75280)</f>
        <v>75280</v>
      </c>
      <c r="E32" s="6" t="str">
        <f ca="1">IFERROR(__xludf.DUMMYFUNCTION("""COMPUTED_VALUE"""),"KG")</f>
        <v>KG</v>
      </c>
      <c r="F32" s="6" t="str">
        <f ca="1">IFERROR(__xludf.DUMMYFUNCTION("""COMPUTED_VALUE"""),"Abarrotes")</f>
        <v>Abarrotes</v>
      </c>
      <c r="G32" s="25">
        <f t="shared" ca="1" si="0"/>
        <v>22584</v>
      </c>
      <c r="H32" s="25">
        <f t="shared" ca="1" si="1"/>
        <v>4290.96</v>
      </c>
      <c r="I32" s="25">
        <f t="shared" ca="1" si="2"/>
        <v>26874.959999999999</v>
      </c>
      <c r="J32" s="15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8"/>
      <c r="Z32" s="28"/>
    </row>
    <row r="33" spans="1:26" ht="15.75">
      <c r="A33" s="7" t="str">
        <f ca="1">IFERROR(__xludf.DUMMYFUNCTION("""COMPUTED_VALUE"""),"ti-ing-772eef79-e2de-41fa-b52c-f097abd8b4a8")</f>
        <v>ti-ing-772eef79-e2de-41fa-b52c-f097abd8b4a8</v>
      </c>
      <c r="B33" s="7" t="str">
        <f ca="1">IFERROR(__xludf.DUMMYFUNCTION("""COMPUTED_VALUE"""),"Leche Entera En Polvo")</f>
        <v>Leche Entera En Polvo</v>
      </c>
      <c r="C33" s="8">
        <v>7.2</v>
      </c>
      <c r="D33" s="21">
        <f ca="1">IFERROR(__xludf.DUMMYFUNCTION("""COMPUTED_VALUE"""),7079.167)</f>
        <v>7079.1670000000004</v>
      </c>
      <c r="E33" s="6" t="str">
        <f ca="1">IFERROR(__xludf.DUMMYFUNCTION("""COMPUTED_VALUE"""),"KG")</f>
        <v>KG</v>
      </c>
      <c r="F33" s="6" t="str">
        <f ca="1">IFERROR(__xludf.DUMMYFUNCTION("""COMPUTED_VALUE"""),"Abarrotes")</f>
        <v>Abarrotes</v>
      </c>
      <c r="G33" s="25">
        <f t="shared" ca="1" si="0"/>
        <v>50970.002400000005</v>
      </c>
      <c r="H33" s="25">
        <f t="shared" ca="1" si="1"/>
        <v>9684.3004560000008</v>
      </c>
      <c r="I33" s="25">
        <f t="shared" ca="1" si="2"/>
        <v>60654.302856000009</v>
      </c>
      <c r="J33" s="156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8"/>
      <c r="Z33" s="28"/>
    </row>
    <row r="34" spans="1:26" ht="15.75">
      <c r="A34" s="7" t="str">
        <f ca="1">IFERROR(__xludf.DUMMYFUNCTION("""COMPUTED_VALUE"""),"ti-ing-a5f32751-2fe1-4388-acd1-977dd4d921a6")</f>
        <v>ti-ing-a5f32751-2fe1-4388-acd1-977dd4d921a6</v>
      </c>
      <c r="B34" s="7" t="str">
        <f ca="1">IFERROR(__xludf.DUMMYFUNCTION("""COMPUTED_VALUE"""),"Lentejas (colacion personal)")</f>
        <v>Lentejas (colacion personal)</v>
      </c>
      <c r="C34" s="8">
        <v>0</v>
      </c>
      <c r="D34" s="21">
        <f ca="1">IFERROR(__xludf.DUMMYFUNCTION("""COMPUTED_VALUE"""),2118)</f>
        <v>2118</v>
      </c>
      <c r="E34" s="6" t="str">
        <f ca="1">IFERROR(__xludf.DUMMYFUNCTION("""COMPUTED_VALUE"""),"KG")</f>
        <v>KG</v>
      </c>
      <c r="F34" s="6" t="str">
        <f ca="1">IFERROR(__xludf.DUMMYFUNCTION("""COMPUTED_VALUE"""),"Abarrotes")</f>
        <v>Abarrotes</v>
      </c>
      <c r="G34" s="25">
        <f t="shared" ca="1" si="0"/>
        <v>0</v>
      </c>
      <c r="H34" s="25">
        <f t="shared" ca="1" si="1"/>
        <v>0</v>
      </c>
      <c r="I34" s="25">
        <f t="shared" ca="1" si="2"/>
        <v>0</v>
      </c>
      <c r="J34" s="156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8"/>
      <c r="Z34" s="28"/>
    </row>
    <row r="35" spans="1:26" ht="15.75">
      <c r="A35" s="7" t="str">
        <f ca="1">IFERROR(__xludf.DUMMYFUNCTION("""COMPUTED_VALUE"""),"ti-ing-0ec3786c-eec8-4a04-af8d-bda30eac5549")</f>
        <v>ti-ing-0ec3786c-eec8-4a04-af8d-bda30eac5549</v>
      </c>
      <c r="B35" s="7" t="str">
        <f ca="1">IFERROR(__xludf.DUMMYFUNCTION("""COMPUTED_VALUE"""),"Levadura seca (Unidad)")</f>
        <v>Levadura seca (Unidad)</v>
      </c>
      <c r="C35" s="8">
        <v>8</v>
      </c>
      <c r="D35" s="21">
        <f ca="1">IFERROR(__xludf.DUMMYFUNCTION("""COMPUTED_VALUE"""),1711)</f>
        <v>1711</v>
      </c>
      <c r="E35" s="6" t="str">
        <f ca="1">IFERROR(__xludf.DUMMYFUNCTION("""COMPUTED_VALUE"""),"UN")</f>
        <v>UN</v>
      </c>
      <c r="F35" s="6" t="str">
        <f ca="1">IFERROR(__xludf.DUMMYFUNCTION("""COMPUTED_VALUE"""),"Abarrotes")</f>
        <v>Abarrotes</v>
      </c>
      <c r="G35" s="25">
        <f t="shared" ca="1" si="0"/>
        <v>13688</v>
      </c>
      <c r="H35" s="25">
        <f t="shared" ca="1" si="1"/>
        <v>2600.7200000000003</v>
      </c>
      <c r="I35" s="25">
        <f t="shared" ca="1" si="2"/>
        <v>16288.720000000001</v>
      </c>
      <c r="J35" s="156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8"/>
      <c r="Z35" s="28"/>
    </row>
    <row r="36" spans="1:26" ht="15.75">
      <c r="A36" s="7" t="str">
        <f ca="1">IFERROR(__xludf.DUMMYFUNCTION("""COMPUTED_VALUE"""),"ti-ing-b41eeb59-c8ac-4580-b11d-bbd7dc537fd3")</f>
        <v>ti-ing-b41eeb59-c8ac-4580-b11d-bbd7dc537fd3</v>
      </c>
      <c r="B36" s="7" t="str">
        <f ca="1">IFERROR(__xludf.DUMMYFUNCTION("""COMPUTED_VALUE"""),"Linaza kg")</f>
        <v>Linaza kg</v>
      </c>
      <c r="C36" s="8">
        <v>1</v>
      </c>
      <c r="D36" s="21">
        <f ca="1">IFERROR(__xludf.DUMMYFUNCTION("""COMPUTED_VALUE"""),2995)</f>
        <v>2995</v>
      </c>
      <c r="E36" s="6" t="str">
        <f ca="1">IFERROR(__xludf.DUMMYFUNCTION("""COMPUTED_VALUE"""),"KG")</f>
        <v>KG</v>
      </c>
      <c r="F36" s="6" t="str">
        <f ca="1">IFERROR(__xludf.DUMMYFUNCTION("""COMPUTED_VALUE"""),"Abarrotes")</f>
        <v>Abarrotes</v>
      </c>
      <c r="G36" s="25">
        <f t="shared" ca="1" si="0"/>
        <v>2995</v>
      </c>
      <c r="H36" s="25">
        <f t="shared" ca="1" si="1"/>
        <v>569.04999999999995</v>
      </c>
      <c r="I36" s="25">
        <f t="shared" ca="1" si="2"/>
        <v>3564.05</v>
      </c>
      <c r="J36" s="156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8"/>
      <c r="Z36" s="28"/>
    </row>
    <row r="37" spans="1:26" ht="15.75">
      <c r="A37" s="7" t="str">
        <f ca="1">IFERROR(__xludf.DUMMYFUNCTION("""COMPUTED_VALUE"""),"ti-ing-69061f8d-e4d9-4fc4-b44e-0cd173ebf8f3")</f>
        <v>ti-ing-69061f8d-e4d9-4fc4-b44e-0cd173ebf8f3</v>
      </c>
      <c r="B37" s="7" t="str">
        <f ca="1">IFERROR(__xludf.DUMMYFUNCTION("""COMPUTED_VALUE"""),"Maicena kg")</f>
        <v>Maicena kg</v>
      </c>
      <c r="C37" s="8">
        <v>2</v>
      </c>
      <c r="D37" s="21">
        <f ca="1">IFERROR(__xludf.DUMMYFUNCTION("""COMPUTED_VALUE"""),1582)</f>
        <v>1582</v>
      </c>
      <c r="E37" s="6" t="str">
        <f ca="1">IFERROR(__xludf.DUMMYFUNCTION("""COMPUTED_VALUE"""),"KG")</f>
        <v>KG</v>
      </c>
      <c r="F37" s="6" t="str">
        <f ca="1">IFERROR(__xludf.DUMMYFUNCTION("""COMPUTED_VALUE"""),"Abarrotes")</f>
        <v>Abarrotes</v>
      </c>
      <c r="G37" s="25">
        <f t="shared" ca="1" si="0"/>
        <v>3164</v>
      </c>
      <c r="H37" s="25">
        <f t="shared" ca="1" si="1"/>
        <v>601.16</v>
      </c>
      <c r="I37" s="25">
        <f t="shared" ca="1" si="2"/>
        <v>3765.16</v>
      </c>
      <c r="J37" s="15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8"/>
      <c r="Z37" s="28"/>
    </row>
    <row r="38" spans="1:26" ht="15.75">
      <c r="A38" s="7" t="str">
        <f ca="1">IFERROR(__xludf.DUMMYFUNCTION("""COMPUTED_VALUE"""),"ti-ing-3dba6697-1589-49e0-8e6e-951b48b7d160")</f>
        <v>ti-ing-3dba6697-1589-49e0-8e6e-951b48b7d160</v>
      </c>
      <c r="B38" s="7" t="str">
        <f ca="1">IFERROR(__xludf.DUMMYFUNCTION("""COMPUTED_VALUE"""),"Mayonesa Hellmans")</f>
        <v>Mayonesa Hellmans</v>
      </c>
      <c r="C38" s="8">
        <v>5.7</v>
      </c>
      <c r="D38" s="21">
        <f ca="1">IFERROR(__xludf.DUMMYFUNCTION("""COMPUTED_VALUE"""),3989.362)</f>
        <v>3989.3620000000001</v>
      </c>
      <c r="E38" s="6" t="str">
        <f ca="1">IFERROR(__xludf.DUMMYFUNCTION("""COMPUTED_VALUE"""),"Kg")</f>
        <v>Kg</v>
      </c>
      <c r="F38" s="6" t="str">
        <f ca="1">IFERROR(__xludf.DUMMYFUNCTION("""COMPUTED_VALUE"""),"Abarrotes")</f>
        <v>Abarrotes</v>
      </c>
      <c r="G38" s="25">
        <f t="shared" ca="1" si="0"/>
        <v>22739.363400000002</v>
      </c>
      <c r="H38" s="25">
        <f t="shared" ca="1" si="1"/>
        <v>4320.4790460000004</v>
      </c>
      <c r="I38" s="25">
        <f t="shared" ca="1" si="2"/>
        <v>27059.842446000002</v>
      </c>
      <c r="J38" s="156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8"/>
      <c r="Z38" s="28"/>
    </row>
    <row r="39" spans="1:26" ht="15.75">
      <c r="A39" s="7"/>
      <c r="B39" s="7" t="str">
        <f ca="1">IFERROR(__xludf.DUMMYFUNCTION("""COMPUTED_VALUE"""),"Metabisulfito de sodio")</f>
        <v>Metabisulfito de sodio</v>
      </c>
      <c r="C39" s="8">
        <v>0</v>
      </c>
      <c r="D39" s="21">
        <f ca="1">IFERROR(__xludf.DUMMYFUNCTION("""COMPUTED_VALUE"""),14958)</f>
        <v>14958</v>
      </c>
      <c r="E39" s="6" t="str">
        <f ca="1">IFERROR(__xludf.DUMMYFUNCTION("""COMPUTED_VALUE"""),"KG")</f>
        <v>KG</v>
      </c>
      <c r="F39" s="6" t="str">
        <f ca="1">IFERROR(__xludf.DUMMYFUNCTION("""COMPUTED_VALUE"""),"Abarrotes")</f>
        <v>Abarrotes</v>
      </c>
      <c r="G39" s="25">
        <f t="shared" ca="1" si="0"/>
        <v>0</v>
      </c>
      <c r="H39" s="25">
        <f t="shared" ca="1" si="1"/>
        <v>0</v>
      </c>
      <c r="I39" s="25">
        <f t="shared" ca="1" si="2"/>
        <v>0</v>
      </c>
      <c r="J39" s="156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8"/>
      <c r="Z39" s="28"/>
    </row>
    <row r="40" spans="1:26" ht="15.75">
      <c r="A40" s="7" t="str">
        <f ca="1">IFERROR(__xludf.DUMMYFUNCTION("""COMPUTED_VALUE"""),"ti-ing-2758a41a-4b82-4e9c-b888-e1e3498bbd24")</f>
        <v>ti-ing-2758a41a-4b82-4e9c-b888-e1e3498bbd24</v>
      </c>
      <c r="B40" s="7" t="str">
        <f ca="1">IFERROR(__xludf.DUMMYFUNCTION("""COMPUTED_VALUE"""),"Miel")</f>
        <v>Miel</v>
      </c>
      <c r="C40" s="8">
        <v>1</v>
      </c>
      <c r="D40" s="21">
        <f ca="1">IFERROR(__xludf.DUMMYFUNCTION("""COMPUTED_VALUE"""),4117)</f>
        <v>4117</v>
      </c>
      <c r="E40" s="6" t="str">
        <f ca="1">IFERROR(__xludf.DUMMYFUNCTION("""COMPUTED_VALUE"""),"UN")</f>
        <v>UN</v>
      </c>
      <c r="F40" s="6" t="str">
        <f ca="1">IFERROR(__xludf.DUMMYFUNCTION("""COMPUTED_VALUE"""),"Abarrotes")</f>
        <v>Abarrotes</v>
      </c>
      <c r="G40" s="25">
        <f t="shared" ca="1" si="0"/>
        <v>4117</v>
      </c>
      <c r="H40" s="25">
        <f t="shared" ca="1" si="1"/>
        <v>782.23</v>
      </c>
      <c r="I40" s="25">
        <f t="shared" ca="1" si="2"/>
        <v>4899.2299999999996</v>
      </c>
      <c r="J40" s="156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8"/>
      <c r="Z40" s="28"/>
    </row>
    <row r="41" spans="1:26" ht="15.75">
      <c r="A41" s="7" t="str">
        <f ca="1">IFERROR(__xludf.DUMMYFUNCTION("""COMPUTED_VALUE"""),"ti-ing-55acf21a-55c1-406f-a76b-b81347750e20")</f>
        <v>ti-ing-55acf21a-55c1-406f-a76b-b81347750e20</v>
      </c>
      <c r="B41" s="7" t="str">
        <f ca="1">IFERROR(__xludf.DUMMYFUNCTION("""COMPUTED_VALUE"""),"Mostaza")</f>
        <v>Mostaza</v>
      </c>
      <c r="C41" s="8">
        <v>1</v>
      </c>
      <c r="D41" s="21">
        <f ca="1">IFERROR(__xludf.DUMMYFUNCTION("""COMPUTED_VALUE"""),1336)</f>
        <v>1336</v>
      </c>
      <c r="E41" s="6" t="str">
        <f ca="1">IFERROR(__xludf.DUMMYFUNCTION("""COMPUTED_VALUE"""),"KG")</f>
        <v>KG</v>
      </c>
      <c r="F41" s="6" t="str">
        <f ca="1">IFERROR(__xludf.DUMMYFUNCTION("""COMPUTED_VALUE"""),"Abarrotes")</f>
        <v>Abarrotes</v>
      </c>
      <c r="G41" s="25">
        <f t="shared" ca="1" si="0"/>
        <v>1336</v>
      </c>
      <c r="H41" s="25">
        <f t="shared" ca="1" si="1"/>
        <v>253.84</v>
      </c>
      <c r="I41" s="25">
        <f t="shared" ca="1" si="2"/>
        <v>1589.84</v>
      </c>
      <c r="J41" s="156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8"/>
      <c r="Z41" s="28"/>
    </row>
    <row r="42" spans="1:26" ht="15.75">
      <c r="A42" s="7" t="str">
        <f ca="1">IFERROR(__xludf.DUMMYFUNCTION("""COMPUTED_VALUE"""),"ti-ing-1a1ad4e7-e7d7-4d58-a706-bfd83210f90b")</f>
        <v>ti-ing-1a1ad4e7-e7d7-4d58-a706-bfd83210f90b</v>
      </c>
      <c r="B42" s="7" t="str">
        <f ca="1">IFERROR(__xludf.DUMMYFUNCTION("""COMPUTED_VALUE"""),"Oregano kg")</f>
        <v>Oregano kg</v>
      </c>
      <c r="C42" s="8">
        <v>1</v>
      </c>
      <c r="D42" s="21">
        <f ca="1">IFERROR(__xludf.DUMMYFUNCTION("""COMPUTED_VALUE"""),4812)</f>
        <v>4812</v>
      </c>
      <c r="E42" s="6" t="str">
        <f ca="1">IFERROR(__xludf.DUMMYFUNCTION("""COMPUTED_VALUE"""),"KG")</f>
        <v>KG</v>
      </c>
      <c r="F42" s="6" t="str">
        <f ca="1">IFERROR(__xludf.DUMMYFUNCTION("""COMPUTED_VALUE"""),"Abarrotes")</f>
        <v>Abarrotes</v>
      </c>
      <c r="G42" s="25">
        <f t="shared" ca="1" si="0"/>
        <v>4812</v>
      </c>
      <c r="H42" s="25">
        <f t="shared" ca="1" si="1"/>
        <v>914.28</v>
      </c>
      <c r="I42" s="25">
        <f t="shared" ca="1" si="2"/>
        <v>5726.28</v>
      </c>
      <c r="J42" s="15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8"/>
      <c r="Z42" s="28"/>
    </row>
    <row r="43" spans="1:26" ht="15.75">
      <c r="A43" s="7" t="str">
        <f ca="1">IFERROR(__xludf.DUMMYFUNCTION("""COMPUTED_VALUE"""),"ti-ing-dc13f521-8e90-4186-98aa-e2a49341278b")</f>
        <v>ti-ing-dc13f521-8e90-4186-98aa-e2a49341278b</v>
      </c>
      <c r="B43" s="7" t="str">
        <f ca="1">IFERROR(__xludf.DUMMYFUNCTION("""COMPUTED_VALUE"""),"Paprika")</f>
        <v>Paprika</v>
      </c>
      <c r="C43" s="8">
        <v>1</v>
      </c>
      <c r="D43" s="21">
        <f ca="1">IFERROR(__xludf.DUMMYFUNCTION("""COMPUTED_VALUE"""),3850)</f>
        <v>3850</v>
      </c>
      <c r="E43" s="6" t="str">
        <f ca="1">IFERROR(__xludf.DUMMYFUNCTION("""COMPUTED_VALUE"""),"KG")</f>
        <v>KG</v>
      </c>
      <c r="F43" s="6" t="str">
        <f ca="1">IFERROR(__xludf.DUMMYFUNCTION("""COMPUTED_VALUE"""),"Abarrotes")</f>
        <v>Abarrotes</v>
      </c>
      <c r="G43" s="25">
        <f t="shared" ca="1" si="0"/>
        <v>3850</v>
      </c>
      <c r="H43" s="25">
        <f t="shared" ca="1" si="1"/>
        <v>731.5</v>
      </c>
      <c r="I43" s="25">
        <f t="shared" ca="1" si="2"/>
        <v>4581.5</v>
      </c>
      <c r="J43" s="156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8"/>
      <c r="Z43" s="28"/>
    </row>
    <row r="44" spans="1:26" ht="15.75">
      <c r="A44" s="7" t="str">
        <f ca="1">IFERROR(__xludf.DUMMYFUNCTION("""COMPUTED_VALUE"""),"ti-ing-999c769d-83cf-47ce-8cb8-90e72bf3771e")</f>
        <v>ti-ing-999c769d-83cf-47ce-8cb8-90e72bf3771e</v>
      </c>
      <c r="B44" s="7" t="str">
        <f ca="1">IFERROR(__xludf.DUMMYFUNCTION("""COMPUTED_VALUE"""),"Pasas")</f>
        <v>Pasas</v>
      </c>
      <c r="C44" s="8">
        <v>0</v>
      </c>
      <c r="D44" s="21">
        <f ca="1">IFERROR(__xludf.DUMMYFUNCTION("""COMPUTED_VALUE"""),2719)</f>
        <v>2719</v>
      </c>
      <c r="E44" s="6" t="str">
        <f ca="1">IFERROR(__xludf.DUMMYFUNCTION("""COMPUTED_VALUE"""),"KG")</f>
        <v>KG</v>
      </c>
      <c r="F44" s="6" t="str">
        <f ca="1">IFERROR(__xludf.DUMMYFUNCTION("""COMPUTED_VALUE"""),"Abarrotes")</f>
        <v>Abarrotes</v>
      </c>
      <c r="G44" s="25">
        <f t="shared" ca="1" si="0"/>
        <v>0</v>
      </c>
      <c r="H44" s="25">
        <f t="shared" ca="1" si="1"/>
        <v>0</v>
      </c>
      <c r="I44" s="25">
        <f t="shared" ca="1" si="2"/>
        <v>0</v>
      </c>
      <c r="J44" s="156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8"/>
      <c r="Z44" s="28"/>
    </row>
    <row r="45" spans="1:26" ht="15.75">
      <c r="A45" s="7"/>
      <c r="B45" s="7" t="str">
        <f ca="1">IFERROR(__xludf.DUMMYFUNCTION("""COMPUTED_VALUE"""),"Pasta aji panca")</f>
        <v>Pasta aji panca</v>
      </c>
      <c r="C45" s="8">
        <v>0</v>
      </c>
      <c r="D45" s="21">
        <f ca="1">IFERROR(__xludf.DUMMYFUNCTION("""COMPUTED_VALUE"""),14335)</f>
        <v>14335</v>
      </c>
      <c r="E45" s="6" t="str">
        <f ca="1">IFERROR(__xludf.DUMMYFUNCTION("""COMPUTED_VALUE"""),"KG")</f>
        <v>KG</v>
      </c>
      <c r="F45" s="6" t="str">
        <f ca="1">IFERROR(__xludf.DUMMYFUNCTION("""COMPUTED_VALUE"""),"Abarrotes")</f>
        <v>Abarrotes</v>
      </c>
      <c r="G45" s="25">
        <f t="shared" ca="1" si="0"/>
        <v>0</v>
      </c>
      <c r="H45" s="25">
        <f t="shared" ca="1" si="1"/>
        <v>0</v>
      </c>
      <c r="I45" s="25">
        <f t="shared" ca="1" si="2"/>
        <v>0</v>
      </c>
      <c r="J45" s="156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8"/>
      <c r="Z45" s="28"/>
    </row>
    <row r="46" spans="1:26" ht="15.75">
      <c r="A46" s="7" t="str">
        <f ca="1">IFERROR(__xludf.DUMMYFUNCTION("""COMPUTED_VALUE"""),"ti-ing-dce3151a-440e-4adc-b6f6-75fb61de8ac6")</f>
        <v>ti-ing-dce3151a-440e-4adc-b6f6-75fb61de8ac6</v>
      </c>
      <c r="B46" s="7" t="str">
        <f ca="1">IFERROR(__xludf.DUMMYFUNCTION("""COMPUTED_VALUE"""),"Pimienta")</f>
        <v>Pimienta</v>
      </c>
      <c r="C46" s="8">
        <v>1</v>
      </c>
      <c r="D46" s="21">
        <f ca="1">IFERROR(__xludf.DUMMYFUNCTION("""COMPUTED_VALUE"""),11258)</f>
        <v>11258</v>
      </c>
      <c r="E46" s="63" t="str">
        <f ca="1">IFERROR(__xludf.DUMMYFUNCTION("""COMPUTED_VALUE"""),"UN")</f>
        <v>UN</v>
      </c>
      <c r="F46" s="6" t="str">
        <f ca="1">IFERROR(__xludf.DUMMYFUNCTION("""COMPUTED_VALUE"""),"Abarrotes")</f>
        <v>Abarrotes</v>
      </c>
      <c r="G46" s="25">
        <f t="shared" ca="1" si="0"/>
        <v>11258</v>
      </c>
      <c r="H46" s="25">
        <f t="shared" ca="1" si="1"/>
        <v>2139.02</v>
      </c>
      <c r="I46" s="25">
        <f t="shared" ca="1" si="2"/>
        <v>13397.02</v>
      </c>
      <c r="J46" s="156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8"/>
      <c r="Z46" s="28"/>
    </row>
    <row r="47" spans="1:26" ht="15.75">
      <c r="A47" s="7" t="str">
        <f ca="1">IFERROR(__xludf.DUMMYFUNCTION("""COMPUTED_VALUE"""),"ti-ing-5406e51a-e384-417d-9b6d-dfe14303d6be")</f>
        <v>ti-ing-5406e51a-e384-417d-9b6d-dfe14303d6be</v>
      </c>
      <c r="B47" s="7" t="str">
        <f ca="1">IFERROR(__xludf.DUMMYFUNCTION("""COMPUTED_VALUE"""),"Polvos de Hornear")</f>
        <v>Polvos de Hornear</v>
      </c>
      <c r="C47" s="8">
        <v>12</v>
      </c>
      <c r="D47" s="21">
        <f ca="1">IFERROR(__xludf.DUMMYFUNCTION("""COMPUTED_VALUE"""),3941.140889)</f>
        <v>3941.1408889999998</v>
      </c>
      <c r="E47" s="6" t="str">
        <f ca="1">IFERROR(__xludf.DUMMYFUNCTION("""COMPUTED_VALUE"""),"KG")</f>
        <v>KG</v>
      </c>
      <c r="F47" s="6" t="str">
        <f ca="1">IFERROR(__xludf.DUMMYFUNCTION("""COMPUTED_VALUE"""),"Abarrotes")</f>
        <v>Abarrotes</v>
      </c>
      <c r="G47" s="25">
        <f t="shared" ca="1" si="0"/>
        <v>47293.690667999996</v>
      </c>
      <c r="H47" s="25">
        <f t="shared" ca="1" si="1"/>
        <v>8985.801226919999</v>
      </c>
      <c r="I47" s="25">
        <f t="shared" ca="1" si="2"/>
        <v>56279.491894919993</v>
      </c>
      <c r="J47" s="15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8"/>
      <c r="Z47" s="28"/>
    </row>
    <row r="48" spans="1:26" ht="15.75">
      <c r="A48" s="7" t="str">
        <f ca="1">IFERROR(__xludf.DUMMYFUNCTION("""COMPUTED_VALUE"""),"ti-ing-904468d1-7aa3-4ea8-a76b-bb2fb6b316e2")</f>
        <v>ti-ing-904468d1-7aa3-4ea8-a76b-bb2fb6b316e2</v>
      </c>
      <c r="B48" s="7" t="str">
        <f ca="1">IFERROR(__xludf.DUMMYFUNCTION("""COMPUTED_VALUE"""),"Porotos")</f>
        <v>Porotos</v>
      </c>
      <c r="C48" s="8">
        <v>0</v>
      </c>
      <c r="D48" s="21">
        <f ca="1">IFERROR(__xludf.DUMMYFUNCTION("""COMPUTED_VALUE"""),1778)</f>
        <v>1778</v>
      </c>
      <c r="E48" s="6" t="str">
        <f ca="1">IFERROR(__xludf.DUMMYFUNCTION("""COMPUTED_VALUE"""),"KG")</f>
        <v>KG</v>
      </c>
      <c r="F48" s="6" t="str">
        <f ca="1">IFERROR(__xludf.DUMMYFUNCTION("""COMPUTED_VALUE"""),"Abarrotes")</f>
        <v>Abarrotes</v>
      </c>
      <c r="G48" s="25">
        <f t="shared" ca="1" si="0"/>
        <v>0</v>
      </c>
      <c r="H48" s="25">
        <f t="shared" ca="1" si="1"/>
        <v>0</v>
      </c>
      <c r="I48" s="25">
        <f t="shared" ca="1" si="2"/>
        <v>0</v>
      </c>
      <c r="J48" s="156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8"/>
      <c r="Z48" s="28"/>
    </row>
    <row r="49" spans="1:26" ht="15.75">
      <c r="A49" s="7" t="str">
        <f ca="1">IFERROR(__xludf.DUMMYFUNCTION("""COMPUTED_VALUE"""),"ti-ing-2d6c0e54-94ef-4df0-a728-f28c834a70d6")</f>
        <v>ti-ing-2d6c0e54-94ef-4df0-a728-f28c834a70d6</v>
      </c>
      <c r="B49" s="7" t="str">
        <f ca="1">IFERROR(__xludf.DUMMYFUNCTION("""COMPUTED_VALUE"""),"Pre Mezcla Pan De Pascua (Saco 10 kg)")</f>
        <v>Pre Mezcla Pan De Pascua (Saco 10 kg)</v>
      </c>
      <c r="C49" s="8">
        <v>0</v>
      </c>
      <c r="D49" s="21">
        <f ca="1">IFERROR(__xludf.DUMMYFUNCTION("""COMPUTED_VALUE"""),3760)</f>
        <v>3760</v>
      </c>
      <c r="E49" s="6" t="str">
        <f ca="1">IFERROR(__xludf.DUMMYFUNCTION("""COMPUTED_VALUE"""),"KG")</f>
        <v>KG</v>
      </c>
      <c r="F49" s="6" t="str">
        <f ca="1">IFERROR(__xludf.DUMMYFUNCTION("""COMPUTED_VALUE"""),"Abarrotes")</f>
        <v>Abarrotes</v>
      </c>
      <c r="G49" s="25">
        <f t="shared" ca="1" si="0"/>
        <v>0</v>
      </c>
      <c r="H49" s="25">
        <f t="shared" ca="1" si="1"/>
        <v>0</v>
      </c>
      <c r="I49" s="25">
        <f t="shared" ca="1" si="2"/>
        <v>0</v>
      </c>
      <c r="J49" s="156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8"/>
      <c r="Z49" s="28"/>
    </row>
    <row r="50" spans="1:26" ht="15.75">
      <c r="A50" s="7" t="str">
        <f ca="1">IFERROR(__xludf.DUMMYFUNCTION("""COMPUTED_VALUE"""),"ti-ing-fb27813f-4cd7-443f-8a10-e933adbefc38")</f>
        <v>ti-ing-fb27813f-4cd7-443f-8a10-e933adbefc38</v>
      </c>
      <c r="B50" s="7" t="str">
        <f ca="1">IFERROR(__xludf.DUMMYFUNCTION("""COMPUTED_VALUE"""),"Puratos desmoldante ""PURALIX"" (bidon 10 lt)")</f>
        <v>Puratos desmoldante "PURALIX" (bidon 10 lt)</v>
      </c>
      <c r="C50" s="8">
        <v>0</v>
      </c>
      <c r="D50" s="21">
        <f ca="1">IFERROR(__xludf.DUMMYFUNCTION("""COMPUTED_VALUE"""),6456.959305)</f>
        <v>6456.9593050000003</v>
      </c>
      <c r="E50" s="6" t="str">
        <f ca="1">IFERROR(__xludf.DUMMYFUNCTION("""COMPUTED_VALUE"""),"KG")</f>
        <v>KG</v>
      </c>
      <c r="F50" s="6" t="str">
        <f ca="1">IFERROR(__xludf.DUMMYFUNCTION("""COMPUTED_VALUE"""),"Abarrotes")</f>
        <v>Abarrotes</v>
      </c>
      <c r="G50" s="25">
        <f t="shared" ca="1" si="0"/>
        <v>0</v>
      </c>
      <c r="H50" s="25">
        <f t="shared" ca="1" si="1"/>
        <v>0</v>
      </c>
      <c r="I50" s="25">
        <f t="shared" ca="1" si="2"/>
        <v>0</v>
      </c>
      <c r="J50" s="156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8"/>
      <c r="Z50" s="28"/>
    </row>
    <row r="51" spans="1:26" ht="15.75">
      <c r="A51" s="7" t="str">
        <f ca="1">IFERROR(__xludf.DUMMYFUNCTION("""COMPUTED_VALUE"""),"ti-ing-adcc52a1-e0e4-4266-9ae9-20d8c55afb93")</f>
        <v>ti-ing-adcc52a1-e0e4-4266-9ae9-20d8c55afb93</v>
      </c>
      <c r="B51" s="7" t="str">
        <f ca="1">IFERROR(__xludf.DUMMYFUNCTION("""COMPUTED_VALUE"""),"Puratos granos molde ""SOFT GRAIN""")</f>
        <v>Puratos granos molde "SOFT GRAIN"</v>
      </c>
      <c r="C51" s="8">
        <v>0</v>
      </c>
      <c r="D51" s="21">
        <f ca="1">IFERROR(__xludf.DUMMYFUNCTION("""COMPUTED_VALUE"""),4742)</f>
        <v>4742</v>
      </c>
      <c r="E51" s="6" t="str">
        <f ca="1">IFERROR(__xludf.DUMMYFUNCTION("""COMPUTED_VALUE"""),"KG")</f>
        <v>KG</v>
      </c>
      <c r="F51" s="6" t="str">
        <f ca="1">IFERROR(__xludf.DUMMYFUNCTION("""COMPUTED_VALUE"""),"Abarrotes")</f>
        <v>Abarrotes</v>
      </c>
      <c r="G51" s="25">
        <f t="shared" ca="1" si="0"/>
        <v>0</v>
      </c>
      <c r="H51" s="25">
        <f t="shared" ca="1" si="1"/>
        <v>0</v>
      </c>
      <c r="I51" s="25">
        <f t="shared" ca="1" si="2"/>
        <v>0</v>
      </c>
      <c r="J51" s="156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8"/>
      <c r="Z51" s="28"/>
    </row>
    <row r="52" spans="1:26" ht="15.75">
      <c r="A52" s="7" t="str">
        <f ca="1">IFERROR(__xludf.DUMMYFUNCTION("""COMPUTED_VALUE"""),"ti-ing-d7848686-6931-4ec1-ba2c-64fafb54502c")</f>
        <v>ti-ing-d7848686-6931-4ec1-ba2c-64fafb54502c</v>
      </c>
      <c r="B52" s="7" t="str">
        <f ca="1">IFERROR(__xludf.DUMMYFUNCTION("""COMPUTED_VALUE"""),"Puratos mejorador hallulla ""JOKER""")</f>
        <v>Puratos mejorador hallulla "JOKER"</v>
      </c>
      <c r="C52" s="8">
        <v>10</v>
      </c>
      <c r="D52" s="21">
        <f ca="1">IFERROR(__xludf.DUMMYFUNCTION("""COMPUTED_VALUE"""),1779.375)</f>
        <v>1779.375</v>
      </c>
      <c r="E52" s="6" t="str">
        <f ca="1">IFERROR(__xludf.DUMMYFUNCTION("""COMPUTED_VALUE"""),"KG")</f>
        <v>KG</v>
      </c>
      <c r="F52" s="6" t="str">
        <f ca="1">IFERROR(__xludf.DUMMYFUNCTION("""COMPUTED_VALUE"""),"Abarrotes")</f>
        <v>Abarrotes</v>
      </c>
      <c r="G52" s="25">
        <f t="shared" ca="1" si="0"/>
        <v>17793.75</v>
      </c>
      <c r="H52" s="25">
        <f t="shared" ca="1" si="1"/>
        <v>3380.8125</v>
      </c>
      <c r="I52" s="25">
        <f t="shared" ca="1" si="2"/>
        <v>21174.5625</v>
      </c>
      <c r="J52" s="15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8"/>
      <c r="Z52" s="28"/>
    </row>
    <row r="53" spans="1:26" ht="15.75">
      <c r="A53" s="7" t="str">
        <f ca="1">IFERROR(__xludf.DUMMYFUNCTION("""COMPUTED_VALUE"""),"ti-ing-0788472c-969e-4253-a6aa-9419b979f617")</f>
        <v>ti-ing-0788472c-969e-4253-a6aa-9419b979f617</v>
      </c>
      <c r="B53" s="7" t="str">
        <f ca="1">IFERROR(__xludf.DUMMYFUNCTION("""COMPUTED_VALUE"""),"puratos mejorador marraqueta ""TOUPAN"" (caja 20 un./400 gr)")</f>
        <v>puratos mejorador marraqueta "TOUPAN" (caja 20 un./400 gr)</v>
      </c>
      <c r="C53" s="8">
        <v>4.4000000000000004</v>
      </c>
      <c r="D53" s="21">
        <f ca="1">IFERROR(__xludf.DUMMYFUNCTION("""COMPUTED_VALUE"""),1968)</f>
        <v>1968</v>
      </c>
      <c r="E53" s="6" t="str">
        <f ca="1">IFERROR(__xludf.DUMMYFUNCTION("""COMPUTED_VALUE"""),"KG")</f>
        <v>KG</v>
      </c>
      <c r="F53" s="6" t="str">
        <f ca="1">IFERROR(__xludf.DUMMYFUNCTION("""COMPUTED_VALUE"""),"Abarrotes")</f>
        <v>Abarrotes</v>
      </c>
      <c r="G53" s="25">
        <f t="shared" ca="1" si="0"/>
        <v>8659.2000000000007</v>
      </c>
      <c r="H53" s="25">
        <f t="shared" ca="1" si="1"/>
        <v>1645.248</v>
      </c>
      <c r="I53" s="25">
        <f t="shared" ca="1" si="2"/>
        <v>10304.448</v>
      </c>
      <c r="J53" s="156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8"/>
      <c r="Z53" s="28"/>
    </row>
    <row r="54" spans="1:26" ht="15.75">
      <c r="A54" s="7" t="str">
        <f ca="1">IFERROR(__xludf.DUMMYFUNCTION("""COMPUTED_VALUE"""),"ti-ing-2c5ed605-f331-4f63-bc96-caf004c9d9f1")</f>
        <v>ti-ing-2c5ed605-f331-4f63-bc96-caf004c9d9f1</v>
      </c>
      <c r="B54" s="7" t="str">
        <f ca="1">IFERROR(__xludf.DUMMYFUNCTION("""COMPUTED_VALUE"""),"puratos mejorador molde ""TRIM SOFTER"" (caja 12un./1kg)")</f>
        <v>puratos mejorador molde "TRIM SOFTER" (caja 12un./1kg)</v>
      </c>
      <c r="C54" s="8">
        <v>6</v>
      </c>
      <c r="D54" s="21">
        <f ca="1">IFERROR(__xludf.DUMMYFUNCTION("""COMPUTED_VALUE"""),4816)</f>
        <v>4816</v>
      </c>
      <c r="E54" s="6" t="str">
        <f ca="1">IFERROR(__xludf.DUMMYFUNCTION("""COMPUTED_VALUE"""),"KG")</f>
        <v>KG</v>
      </c>
      <c r="F54" s="6" t="str">
        <f ca="1">IFERROR(__xludf.DUMMYFUNCTION("""COMPUTED_VALUE"""),"Abarrotes")</f>
        <v>Abarrotes</v>
      </c>
      <c r="G54" s="25">
        <f t="shared" ca="1" si="0"/>
        <v>28896</v>
      </c>
      <c r="H54" s="25">
        <f t="shared" ca="1" si="1"/>
        <v>5490.24</v>
      </c>
      <c r="I54" s="25">
        <f t="shared" ca="1" si="2"/>
        <v>34386.239999999998</v>
      </c>
      <c r="J54" s="156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8"/>
      <c r="Z54" s="28"/>
    </row>
    <row r="55" spans="1:26" ht="15.75">
      <c r="A55" s="7"/>
      <c r="B55" s="7" t="str">
        <f ca="1">IFERROR(__xludf.DUMMYFUNCTION("""COMPUTED_VALUE"""),"Quinua mixta")</f>
        <v>Quinua mixta</v>
      </c>
      <c r="C55" s="8">
        <v>1</v>
      </c>
      <c r="D55" s="21">
        <f ca="1">IFERROR(__xludf.DUMMYFUNCTION("""COMPUTED_VALUE"""),4596)</f>
        <v>4596</v>
      </c>
      <c r="E55" s="6" t="str">
        <f ca="1">IFERROR(__xludf.DUMMYFUNCTION("""COMPUTED_VALUE"""),"KG")</f>
        <v>KG</v>
      </c>
      <c r="F55" s="6" t="str">
        <f ca="1">IFERROR(__xludf.DUMMYFUNCTION("""COMPUTED_VALUE"""),"Abarrotes")</f>
        <v>Abarrotes</v>
      </c>
      <c r="G55" s="25">
        <f t="shared" ca="1" si="0"/>
        <v>4596</v>
      </c>
      <c r="H55" s="25">
        <f t="shared" ca="1" si="1"/>
        <v>873.24</v>
      </c>
      <c r="I55" s="25">
        <f t="shared" ca="1" si="2"/>
        <v>5469.24</v>
      </c>
      <c r="J55" s="156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8"/>
      <c r="Z55" s="28"/>
    </row>
    <row r="56" spans="1:26" ht="15.75">
      <c r="A56" s="7" t="str">
        <f ca="1">IFERROR(__xludf.DUMMYFUNCTION("""COMPUTED_VALUE"""),"ti-ing-93b9bb76-8e33-404b-b4a2-19bddccf01ff")</f>
        <v>ti-ing-93b9bb76-8e33-404b-b4a2-19bddccf01ff</v>
      </c>
      <c r="B56" s="7" t="str">
        <f ca="1">IFERROR(__xludf.DUMMYFUNCTION("""COMPUTED_VALUE"""),"Romero")</f>
        <v>Romero</v>
      </c>
      <c r="C56" s="8">
        <v>0</v>
      </c>
      <c r="D56" s="21">
        <f ca="1">IFERROR(__xludf.DUMMYFUNCTION("""COMPUTED_VALUE"""),7135.19)</f>
        <v>7135.19</v>
      </c>
      <c r="E56" s="6" t="str">
        <f ca="1">IFERROR(__xludf.DUMMYFUNCTION("""COMPUTED_VALUE"""),"UN")</f>
        <v>UN</v>
      </c>
      <c r="F56" s="6" t="str">
        <f ca="1">IFERROR(__xludf.DUMMYFUNCTION("""COMPUTED_VALUE"""),"Abarrotes")</f>
        <v>Abarrotes</v>
      </c>
      <c r="G56" s="25">
        <f t="shared" ca="1" si="0"/>
        <v>0</v>
      </c>
      <c r="H56" s="25">
        <f t="shared" ca="1" si="1"/>
        <v>0</v>
      </c>
      <c r="I56" s="25">
        <f t="shared" ca="1" si="2"/>
        <v>0</v>
      </c>
      <c r="J56" s="156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8"/>
      <c r="Z56" s="28"/>
    </row>
    <row r="57" spans="1:26" ht="15.75">
      <c r="A57" s="7" t="str">
        <f ca="1">IFERROR(__xludf.DUMMYFUNCTION("""COMPUTED_VALUE"""),"ti-ing-4818468c-bc91-40f7-9fa4-eb19def3bff7")</f>
        <v>ti-ing-4818468c-bc91-40f7-9fa4-eb19def3bff7</v>
      </c>
      <c r="B57" s="7" t="str">
        <f ca="1">IFERROR(__xludf.DUMMYFUNCTION("""COMPUTED_VALUE"""),"Sal fina")</f>
        <v>Sal fina</v>
      </c>
      <c r="C57" s="8">
        <v>24</v>
      </c>
      <c r="D57" s="21">
        <f ca="1">IFERROR(__xludf.DUMMYFUNCTION("""COMPUTED_VALUE"""),290)</f>
        <v>290</v>
      </c>
      <c r="E57" s="6" t="str">
        <f ca="1">IFERROR(__xludf.DUMMYFUNCTION("""COMPUTED_VALUE"""),"KG")</f>
        <v>KG</v>
      </c>
      <c r="F57" s="6" t="str">
        <f ca="1">IFERROR(__xludf.DUMMYFUNCTION("""COMPUTED_VALUE"""),"Abarrotes")</f>
        <v>Abarrotes</v>
      </c>
      <c r="G57" s="25">
        <f t="shared" ca="1" si="0"/>
        <v>6960</v>
      </c>
      <c r="H57" s="25">
        <f t="shared" ca="1" si="1"/>
        <v>1322.4</v>
      </c>
      <c r="I57" s="25">
        <f t="shared" ca="1" si="2"/>
        <v>8282.4</v>
      </c>
      <c r="J57" s="15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8"/>
      <c r="Z57" s="28"/>
    </row>
    <row r="58" spans="1:26" ht="15.75">
      <c r="A58" s="7" t="str">
        <f ca="1">IFERROR(__xludf.DUMMYFUNCTION("""COMPUTED_VALUE"""),"ti-ing-562ebc87-5bd7-439e-9451-999b88fdd759")</f>
        <v>ti-ing-562ebc87-5bd7-439e-9451-999b88fdd759</v>
      </c>
      <c r="B58" s="7" t="str">
        <f ca="1">IFERROR(__xludf.DUMMYFUNCTION("""COMPUTED_VALUE"""),"Salsa De Tomate")</f>
        <v>Salsa De Tomate</v>
      </c>
      <c r="C58" s="8">
        <v>4</v>
      </c>
      <c r="D58" s="21">
        <f ca="1">IFERROR(__xludf.DUMMYFUNCTION("""COMPUTED_VALUE"""),1587)</f>
        <v>1587</v>
      </c>
      <c r="E58" s="6" t="str">
        <f ca="1">IFERROR(__xludf.DUMMYFUNCTION("""COMPUTED_VALUE"""),"KG")</f>
        <v>KG</v>
      </c>
      <c r="F58" s="6" t="str">
        <f ca="1">IFERROR(__xludf.DUMMYFUNCTION("""COMPUTED_VALUE"""),"Abarrotes")</f>
        <v>Abarrotes</v>
      </c>
      <c r="G58" s="25">
        <f t="shared" ca="1" si="0"/>
        <v>6348</v>
      </c>
      <c r="H58" s="25">
        <f t="shared" ca="1" si="1"/>
        <v>1206.1200000000001</v>
      </c>
      <c r="I58" s="25">
        <f t="shared" ca="1" si="2"/>
        <v>7554.12</v>
      </c>
      <c r="J58" s="156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8"/>
      <c r="Z58" s="28"/>
    </row>
    <row r="59" spans="1:26" ht="15.75">
      <c r="A59" s="7" t="str">
        <f ca="1">IFERROR(__xludf.DUMMYFUNCTION("""COMPUTED_VALUE"""),"ti-ing-4f8ac25a-9411-4a59-806f-62cee4c4e0f1")</f>
        <v>ti-ing-4f8ac25a-9411-4a59-806f-62cee4c4e0f1</v>
      </c>
      <c r="B59" s="7" t="str">
        <f ca="1">IFERROR(__xludf.DUMMYFUNCTION("""COMPUTED_VALUE"""),"Salsa inglesa")</f>
        <v>Salsa inglesa</v>
      </c>
      <c r="C59" s="8">
        <v>1</v>
      </c>
      <c r="D59" s="21">
        <f ca="1">IFERROR(__xludf.DUMMYFUNCTION("""COMPUTED_VALUE"""),4035)</f>
        <v>4035</v>
      </c>
      <c r="E59" s="6" t="str">
        <f ca="1">IFERROR(__xludf.DUMMYFUNCTION("""COMPUTED_VALUE"""),"Kg")</f>
        <v>Kg</v>
      </c>
      <c r="F59" s="6" t="str">
        <f ca="1">IFERROR(__xludf.DUMMYFUNCTION("""COMPUTED_VALUE"""),"Abarrotes")</f>
        <v>Abarrotes</v>
      </c>
      <c r="G59" s="25">
        <f t="shared" ca="1" si="0"/>
        <v>4035</v>
      </c>
      <c r="H59" s="25">
        <f t="shared" ca="1" si="1"/>
        <v>766.65</v>
      </c>
      <c r="I59" s="25">
        <f t="shared" ca="1" si="2"/>
        <v>4801.6499999999996</v>
      </c>
      <c r="J59" s="156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8"/>
      <c r="Z59" s="28"/>
    </row>
    <row r="60" spans="1:26" ht="15.75">
      <c r="A60" s="7" t="str">
        <f ca="1">IFERROR(__xludf.DUMMYFUNCTION("""COMPUTED_VALUE"""),"ti-ing-9f3dba64-3cca-408b-ac1e-45359966da75")</f>
        <v>ti-ing-9f3dba64-3cca-408b-ac1e-45359966da75</v>
      </c>
      <c r="B60" s="7" t="str">
        <f ca="1">IFERROR(__xludf.DUMMYFUNCTION("""COMPUTED_VALUE"""),"Salsa Soya")</f>
        <v>Salsa Soya</v>
      </c>
      <c r="C60" s="8">
        <v>0</v>
      </c>
      <c r="D60" s="21">
        <f ca="1">IFERROR(__xludf.DUMMYFUNCTION("""COMPUTED_VALUE"""),1625)</f>
        <v>1625</v>
      </c>
      <c r="E60" s="6" t="str">
        <f ca="1">IFERROR(__xludf.DUMMYFUNCTION("""COMPUTED_VALUE"""),"KG")</f>
        <v>KG</v>
      </c>
      <c r="F60" s="6" t="str">
        <f ca="1">IFERROR(__xludf.DUMMYFUNCTION("""COMPUTED_VALUE"""),"Abarrotes")</f>
        <v>Abarrotes</v>
      </c>
      <c r="G60" s="25">
        <f t="shared" ca="1" si="0"/>
        <v>0</v>
      </c>
      <c r="H60" s="25">
        <f t="shared" ca="1" si="1"/>
        <v>0</v>
      </c>
      <c r="I60" s="25">
        <f t="shared" ca="1" si="2"/>
        <v>0</v>
      </c>
      <c r="J60" s="156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8"/>
      <c r="Z60" s="28"/>
    </row>
    <row r="61" spans="1:26" ht="15.75">
      <c r="A61" s="7" t="str">
        <f ca="1">IFERROR(__xludf.DUMMYFUNCTION("""COMPUTED_VALUE"""),"ti-ing-7e2cee8d-1717-48ff-96be-290c5aa01461")</f>
        <v>ti-ing-7e2cee8d-1717-48ff-96be-290c5aa01461</v>
      </c>
      <c r="B61" s="7" t="str">
        <f ca="1">IFERROR(__xludf.DUMMYFUNCTION("""COMPUTED_VALUE"""),"Semilla cilantro")</f>
        <v>Semilla cilantro</v>
      </c>
      <c r="C61" s="8">
        <v>0</v>
      </c>
      <c r="D61" s="21">
        <f ca="1">IFERROR(__xludf.DUMMYFUNCTION("""COMPUTED_VALUE"""),4874.396)</f>
        <v>4874.3959999999997</v>
      </c>
      <c r="E61" s="6" t="str">
        <f ca="1">IFERROR(__xludf.DUMMYFUNCTION("""COMPUTED_VALUE"""),"KG")</f>
        <v>KG</v>
      </c>
      <c r="F61" s="6" t="str">
        <f ca="1">IFERROR(__xludf.DUMMYFUNCTION("""COMPUTED_VALUE"""),"Abarrotes")</f>
        <v>Abarrotes</v>
      </c>
      <c r="G61" s="25">
        <f t="shared" ca="1" si="0"/>
        <v>0</v>
      </c>
      <c r="H61" s="25">
        <f t="shared" ca="1" si="1"/>
        <v>0</v>
      </c>
      <c r="I61" s="25">
        <f t="shared" ca="1" si="2"/>
        <v>0</v>
      </c>
      <c r="J61" s="156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8"/>
      <c r="Z61" s="28"/>
    </row>
    <row r="62" spans="1:26" ht="15.75">
      <c r="A62" s="7" t="str">
        <f ca="1">IFERROR(__xludf.DUMMYFUNCTION("""COMPUTED_VALUE"""),"ti-ing-f3669215-5eea-4b87-8743-83d65563f01d")</f>
        <v>ti-ing-f3669215-5eea-4b87-8743-83d65563f01d</v>
      </c>
      <c r="B62" s="7" t="str">
        <f ca="1">IFERROR(__xludf.DUMMYFUNCTION("""COMPUTED_VALUE"""),"Semilla De Zapallo kg")</f>
        <v>Semilla De Zapallo kg</v>
      </c>
      <c r="C62" s="8">
        <v>1</v>
      </c>
      <c r="D62" s="21">
        <f ca="1">IFERROR(__xludf.DUMMYFUNCTION("""COMPUTED_VALUE"""),5550)</f>
        <v>5550</v>
      </c>
      <c r="E62" s="6" t="str">
        <f ca="1">IFERROR(__xludf.DUMMYFUNCTION("""COMPUTED_VALUE"""),"Kg")</f>
        <v>Kg</v>
      </c>
      <c r="F62" s="6" t="str">
        <f ca="1">IFERROR(__xludf.DUMMYFUNCTION("""COMPUTED_VALUE"""),"Abarrotes")</f>
        <v>Abarrotes</v>
      </c>
      <c r="G62" s="25">
        <f t="shared" ca="1" si="0"/>
        <v>5550</v>
      </c>
      <c r="H62" s="25">
        <f t="shared" ca="1" si="1"/>
        <v>1054.5</v>
      </c>
      <c r="I62" s="25">
        <f t="shared" ca="1" si="2"/>
        <v>6604.5</v>
      </c>
      <c r="J62" s="15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8"/>
      <c r="Z62" s="28"/>
    </row>
    <row r="63" spans="1:26" ht="15.75">
      <c r="A63" s="7" t="str">
        <f ca="1">IFERROR(__xludf.DUMMYFUNCTION("""COMPUTED_VALUE"""),"ti-ing-ee9260f2-296c-423d-bf8d-ee978626dfa5")</f>
        <v>ti-ing-ee9260f2-296c-423d-bf8d-ee978626dfa5</v>
      </c>
      <c r="B63" s="7" t="str">
        <f ca="1">IFERROR(__xludf.DUMMYFUNCTION("""COMPUTED_VALUE"""),"Sesamo Blanco")</f>
        <v>Sesamo Blanco</v>
      </c>
      <c r="C63" s="8">
        <v>1</v>
      </c>
      <c r="D63" s="21">
        <f ca="1">IFERROR(__xludf.DUMMYFUNCTION("""COMPUTED_VALUE"""),4164)</f>
        <v>4164</v>
      </c>
      <c r="E63" s="6" t="str">
        <f ca="1">IFERROR(__xludf.DUMMYFUNCTION("""COMPUTED_VALUE"""),"KG")</f>
        <v>KG</v>
      </c>
      <c r="F63" s="6" t="str">
        <f ca="1">IFERROR(__xludf.DUMMYFUNCTION("""COMPUTED_VALUE"""),"Abarrotes")</f>
        <v>Abarrotes</v>
      </c>
      <c r="G63" s="25">
        <f t="shared" ca="1" si="0"/>
        <v>4164</v>
      </c>
      <c r="H63" s="25">
        <f t="shared" ca="1" si="1"/>
        <v>791.16</v>
      </c>
      <c r="I63" s="25">
        <f t="shared" ca="1" si="2"/>
        <v>4955.16</v>
      </c>
      <c r="J63" s="156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8"/>
      <c r="Z63" s="28"/>
    </row>
    <row r="64" spans="1:26" ht="15.75">
      <c r="A64" s="7" t="str">
        <f ca="1">IFERROR(__xludf.DUMMYFUNCTION("""COMPUTED_VALUE"""),"ti-ing-eb1cdfba-1bad-4930-a6f4-b0ad48b55576")</f>
        <v>ti-ing-eb1cdfba-1bad-4930-a6f4-b0ad48b55576</v>
      </c>
      <c r="B64" s="7" t="str">
        <f ca="1">IFERROR(__xludf.DUMMYFUNCTION("""COMPUTED_VALUE"""),"Sesamo Negro")</f>
        <v>Sesamo Negro</v>
      </c>
      <c r="C64" s="8">
        <v>1</v>
      </c>
      <c r="D64" s="21">
        <f ca="1">IFERROR(__xludf.DUMMYFUNCTION("""COMPUTED_VALUE"""),5441)</f>
        <v>5441</v>
      </c>
      <c r="E64" s="6" t="str">
        <f ca="1">IFERROR(__xludf.DUMMYFUNCTION("""COMPUTED_VALUE"""),"KG")</f>
        <v>KG</v>
      </c>
      <c r="F64" s="6" t="str">
        <f ca="1">IFERROR(__xludf.DUMMYFUNCTION("""COMPUTED_VALUE"""),"Abarrotes")</f>
        <v>Abarrotes</v>
      </c>
      <c r="G64" s="25">
        <f t="shared" ca="1" si="0"/>
        <v>5441</v>
      </c>
      <c r="H64" s="25">
        <f t="shared" ca="1" si="1"/>
        <v>1033.79</v>
      </c>
      <c r="I64" s="25">
        <f t="shared" ca="1" si="2"/>
        <v>6474.79</v>
      </c>
      <c r="J64" s="156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8"/>
      <c r="Z64" s="28"/>
    </row>
    <row r="65" spans="1:26" ht="15.75">
      <c r="A65" s="7" t="str">
        <f ca="1">IFERROR(__xludf.DUMMYFUNCTION("""COMPUTED_VALUE"""),"ti-ing-802599df-3955-46c2-9418-b1ef4176ed29")</f>
        <v>ti-ing-802599df-3955-46c2-9418-b1ef4176ed29</v>
      </c>
      <c r="B65" s="7" t="str">
        <f ca="1">IFERROR(__xludf.DUMMYFUNCTION("""COMPUTED_VALUE"""),"STEVIA LIQUIDA")</f>
        <v>STEVIA LIQUIDA</v>
      </c>
      <c r="C65" s="8">
        <v>3</v>
      </c>
      <c r="D65" s="21">
        <f ca="1">IFERROR(__xludf.DUMMYFUNCTION("""COMPUTED_VALUE"""),3444)</f>
        <v>3444</v>
      </c>
      <c r="E65" s="6" t="str">
        <f ca="1">IFERROR(__xludf.DUMMYFUNCTION("""COMPUTED_VALUE"""),"un")</f>
        <v>un</v>
      </c>
      <c r="F65" s="6" t="str">
        <f ca="1">IFERROR(__xludf.DUMMYFUNCTION("""COMPUTED_VALUE"""),"Abarrotes")</f>
        <v>Abarrotes</v>
      </c>
      <c r="G65" s="25">
        <f t="shared" ca="1" si="0"/>
        <v>10332</v>
      </c>
      <c r="H65" s="25">
        <f t="shared" ca="1" si="1"/>
        <v>1963.08</v>
      </c>
      <c r="I65" s="25">
        <f t="shared" ca="1" si="2"/>
        <v>12295.08</v>
      </c>
      <c r="J65" s="156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8"/>
      <c r="Z65" s="28"/>
    </row>
    <row r="66" spans="1:26" ht="15.75">
      <c r="A66" s="7" t="str">
        <f ca="1">IFERROR(__xludf.DUMMYFUNCTION("""COMPUTED_VALUE"""),"ti-ing-c5dc548f-f0a9-4499-a4b3-23a34458dbfa")</f>
        <v>ti-ing-c5dc548f-f0a9-4499-a4b3-23a34458dbfa</v>
      </c>
      <c r="B66" s="7" t="str">
        <f ca="1">IFERROR(__xludf.DUMMYFUNCTION("""COMPUTED_VALUE"""),"Te en Bolsa Caja")</f>
        <v>Te en Bolsa Caja</v>
      </c>
      <c r="C66" s="8">
        <v>0</v>
      </c>
      <c r="D66" s="21">
        <f ca="1">IFERROR(__xludf.DUMMYFUNCTION("""COMPUTED_VALUE"""),46.5)</f>
        <v>46.5</v>
      </c>
      <c r="E66" s="6" t="str">
        <f ca="1">IFERROR(__xludf.DUMMYFUNCTION("""COMPUTED_VALUE"""),"UN")</f>
        <v>UN</v>
      </c>
      <c r="F66" s="6" t="str">
        <f ca="1">IFERROR(__xludf.DUMMYFUNCTION("""COMPUTED_VALUE"""),"Abarrotes")</f>
        <v>Abarrotes</v>
      </c>
      <c r="G66" s="25">
        <f t="shared" ca="1" si="0"/>
        <v>0</v>
      </c>
      <c r="H66" s="25">
        <f t="shared" ca="1" si="1"/>
        <v>0</v>
      </c>
      <c r="I66" s="25">
        <f t="shared" ca="1" si="2"/>
        <v>0</v>
      </c>
      <c r="J66" s="156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8"/>
      <c r="Z66" s="28"/>
    </row>
    <row r="67" spans="1:26" ht="15.75">
      <c r="A67" s="7" t="str">
        <f ca="1">IFERROR(__xludf.DUMMYFUNCTION("""COMPUTED_VALUE"""),"ti-ing-7a052395-bb4e-4c4d-a1cf-c498a5386bb1")</f>
        <v>ti-ing-7a052395-bb4e-4c4d-a1cf-c498a5386bb1</v>
      </c>
      <c r="B67" s="7" t="str">
        <f ca="1">IFERROR(__xludf.DUMMYFUNCTION("""COMPUTED_VALUE"""),"Tomillo")</f>
        <v>Tomillo</v>
      </c>
      <c r="C67" s="8">
        <v>0</v>
      </c>
      <c r="D67" s="21">
        <f ca="1">IFERROR(__xludf.DUMMYFUNCTION("""COMPUTED_VALUE"""),9885)</f>
        <v>9885</v>
      </c>
      <c r="E67" s="6" t="str">
        <f ca="1">IFERROR(__xludf.DUMMYFUNCTION("""COMPUTED_VALUE"""),"UN")</f>
        <v>UN</v>
      </c>
      <c r="F67" s="6" t="str">
        <f ca="1">IFERROR(__xludf.DUMMYFUNCTION("""COMPUTED_VALUE"""),"Abarrotes")</f>
        <v>Abarrotes</v>
      </c>
      <c r="G67" s="25">
        <f t="shared" ca="1" si="0"/>
        <v>0</v>
      </c>
      <c r="H67" s="25">
        <f t="shared" ca="1" si="1"/>
        <v>0</v>
      </c>
      <c r="I67" s="25">
        <f t="shared" ca="1" si="2"/>
        <v>0</v>
      </c>
      <c r="J67" s="15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8"/>
      <c r="Z67" s="28"/>
    </row>
    <row r="68" spans="1:26" ht="15.75">
      <c r="A68" s="7" t="str">
        <f ca="1">IFERROR(__xludf.DUMMYFUNCTION("""COMPUTED_VALUE"""),"ti-ing-0e85d9bc-d4c4-4362-994b-91915a9dcf13")</f>
        <v>ti-ing-0e85d9bc-d4c4-4362-994b-91915a9dcf13</v>
      </c>
      <c r="B68" s="7" t="str">
        <f ca="1">IFERROR(__xludf.DUMMYFUNCTION("""COMPUTED_VALUE"""),"Velas cumpleaños")</f>
        <v>Velas cumpleaños</v>
      </c>
      <c r="C68" s="8">
        <v>120</v>
      </c>
      <c r="D68" s="21">
        <f ca="1">IFERROR(__xludf.DUMMYFUNCTION("""COMPUTED_VALUE"""),31.25)</f>
        <v>31.25</v>
      </c>
      <c r="E68" s="6" t="str">
        <f ca="1">IFERROR(__xludf.DUMMYFUNCTION("""COMPUTED_VALUE"""),"un")</f>
        <v>un</v>
      </c>
      <c r="F68" s="6" t="str">
        <f ca="1">IFERROR(__xludf.DUMMYFUNCTION("""COMPUTED_VALUE"""),"Abarrotes")</f>
        <v>Abarrotes</v>
      </c>
      <c r="G68" s="25">
        <f t="shared" ca="1" si="0"/>
        <v>3750</v>
      </c>
      <c r="H68" s="25">
        <f t="shared" ca="1" si="1"/>
        <v>712.5</v>
      </c>
      <c r="I68" s="25">
        <f t="shared" ca="1" si="2"/>
        <v>4462.5</v>
      </c>
      <c r="J68" s="156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8"/>
      <c r="Z68" s="28"/>
    </row>
    <row r="69" spans="1:26" ht="15.75">
      <c r="A69" s="7" t="str">
        <f ca="1">IFERROR(__xludf.DUMMYFUNCTION("""COMPUTED_VALUE"""),"ti-ing-b38390e4-8c11-4339-8209-7a310643c3be")</f>
        <v>ti-ing-b38390e4-8c11-4339-8209-7a310643c3be</v>
      </c>
      <c r="B69" s="7" t="str">
        <f ca="1">IFERROR(__xludf.DUMMYFUNCTION("""COMPUTED_VALUE"""),"Vinagre")</f>
        <v>Vinagre</v>
      </c>
      <c r="C69" s="8">
        <v>0</v>
      </c>
      <c r="D69" s="21">
        <f ca="1">IFERROR(__xludf.DUMMYFUNCTION("""COMPUTED_VALUE"""),593)</f>
        <v>593</v>
      </c>
      <c r="E69" s="6" t="str">
        <f ca="1">IFERROR(__xludf.DUMMYFUNCTION("""COMPUTED_VALUE"""),"UN")</f>
        <v>UN</v>
      </c>
      <c r="F69" s="6" t="str">
        <f ca="1">IFERROR(__xludf.DUMMYFUNCTION("""COMPUTED_VALUE"""),"Abarrotes")</f>
        <v>Abarrotes</v>
      </c>
      <c r="G69" s="25">
        <f t="shared" ca="1" si="0"/>
        <v>0</v>
      </c>
      <c r="H69" s="25">
        <f t="shared" ca="1" si="1"/>
        <v>0</v>
      </c>
      <c r="I69" s="25">
        <f t="shared" ca="1" si="2"/>
        <v>0</v>
      </c>
      <c r="J69" s="156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8"/>
      <c r="Z69" s="28"/>
    </row>
    <row r="70" spans="1:26" ht="15.75">
      <c r="A70" s="7" t="str">
        <f ca="1">IFERROR(__xludf.DUMMYFUNCTION("""COMPUTED_VALUE"""),"ti-ing-f8ffedeb-44d6-400b-bef8-0b9c51a508a0")</f>
        <v>ti-ing-f8ffedeb-44d6-400b-bef8-0b9c51a508a0</v>
      </c>
      <c r="B70" s="7" t="str">
        <f ca="1">IFERROR(__xludf.DUMMYFUNCTION("""COMPUTED_VALUE"""),"ALCOHOL")</f>
        <v>ALCOHOL</v>
      </c>
      <c r="C70" s="8">
        <v>5</v>
      </c>
      <c r="D70" s="21">
        <f ca="1">IFERROR(__xludf.DUMMYFUNCTION("""COMPUTED_VALUE"""),2348.2)</f>
        <v>2348.1999999999998</v>
      </c>
      <c r="E70" s="6" t="str">
        <f ca="1">IFERROR(__xludf.DUMMYFUNCTION("""COMPUTED_VALUE"""),"UN")</f>
        <v>UN</v>
      </c>
      <c r="F70" s="6" t="str">
        <f ca="1">IFERROR(__xludf.DUMMYFUNCTION("""COMPUTED_VALUE"""),"Aseo")</f>
        <v>Aseo</v>
      </c>
      <c r="G70" s="25">
        <f t="shared" ca="1" si="0"/>
        <v>11741</v>
      </c>
      <c r="H70" s="25">
        <f t="shared" ca="1" si="1"/>
        <v>2230.79</v>
      </c>
      <c r="I70" s="25">
        <f t="shared" ca="1" si="2"/>
        <v>13971.79</v>
      </c>
      <c r="J70" s="156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8"/>
      <c r="Z70" s="28"/>
    </row>
    <row r="71" spans="1:26" ht="15.75">
      <c r="A71" s="7" t="str">
        <f ca="1">IFERROR(__xludf.DUMMYFUNCTION("""COMPUTED_VALUE"""),"ti-ing-7607ac26-0154-48c7-a176-272daa456f7a")</f>
        <v>ti-ing-7607ac26-0154-48c7-a176-272daa456f7a</v>
      </c>
      <c r="B71" s="7" t="str">
        <f ca="1">IFERROR(__xludf.DUMMYFUNCTION("""COMPUTED_VALUE"""),"BOLSA BASURA CHICA (un)")</f>
        <v>BOLSA BASURA CHICA (un)</v>
      </c>
      <c r="C71" s="8">
        <v>70</v>
      </c>
      <c r="D71" s="21">
        <f ca="1">IFERROR(__xludf.DUMMYFUNCTION("""COMPUTED_VALUE"""),39)</f>
        <v>39</v>
      </c>
      <c r="E71" s="6" t="str">
        <f ca="1">IFERROR(__xludf.DUMMYFUNCTION("""COMPUTED_VALUE"""),"UN")</f>
        <v>UN</v>
      </c>
      <c r="F71" s="6" t="str">
        <f ca="1">IFERROR(__xludf.DUMMYFUNCTION("""COMPUTED_VALUE"""),"Aseo")</f>
        <v>Aseo</v>
      </c>
      <c r="G71" s="25">
        <f t="shared" ca="1" si="0"/>
        <v>2730</v>
      </c>
      <c r="H71" s="25">
        <f t="shared" ca="1" si="1"/>
        <v>518.70000000000005</v>
      </c>
      <c r="I71" s="25">
        <f t="shared" ca="1" si="2"/>
        <v>3248.7</v>
      </c>
      <c r="J71" s="156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8"/>
      <c r="Z71" s="28"/>
    </row>
    <row r="72" spans="1:26" ht="15.75">
      <c r="A72" s="7" t="str">
        <f ca="1">IFERROR(__xludf.DUMMYFUNCTION("""COMPUTED_VALUE"""),"ti-ing-32a0a1de-7d7a-48fa-8701-58015f10f3d8")</f>
        <v>ti-ing-32a0a1de-7d7a-48fa-8701-58015f10f3d8</v>
      </c>
      <c r="B72" s="7" t="str">
        <f ca="1">IFERROR(__xludf.DUMMYFUNCTION("""COMPUTED_VALUE"""),"BOLSA BASURA GRANDE (un)")</f>
        <v>BOLSA BASURA GRANDE (un)</v>
      </c>
      <c r="C72" s="8">
        <v>30</v>
      </c>
      <c r="D72" s="21">
        <f ca="1">IFERROR(__xludf.DUMMYFUNCTION("""COMPUTED_VALUE"""),391.1)</f>
        <v>391.1</v>
      </c>
      <c r="E72" s="6" t="str">
        <f ca="1">IFERROR(__xludf.DUMMYFUNCTION("""COMPUTED_VALUE"""),"UN")</f>
        <v>UN</v>
      </c>
      <c r="F72" s="6" t="str">
        <f ca="1">IFERROR(__xludf.DUMMYFUNCTION("""COMPUTED_VALUE"""),"Aseo")</f>
        <v>Aseo</v>
      </c>
      <c r="G72" s="25">
        <f t="shared" ca="1" si="0"/>
        <v>11733</v>
      </c>
      <c r="H72" s="25">
        <f t="shared" ca="1" si="1"/>
        <v>2229.27</v>
      </c>
      <c r="I72" s="25">
        <f t="shared" ca="1" si="2"/>
        <v>13962.27</v>
      </c>
      <c r="J72" s="15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8"/>
      <c r="Z72" s="28"/>
    </row>
    <row r="73" spans="1:26" ht="15.75">
      <c r="A73" s="7" t="str">
        <f ca="1">IFERROR(__xludf.DUMMYFUNCTION("""COMPUTED_VALUE"""),"ti-ing-b56c8191-87a4-414c-8649-692ed6f88304")</f>
        <v>ti-ing-b56c8191-87a4-414c-8649-692ed6f88304</v>
      </c>
      <c r="B73" s="7" t="str">
        <f ca="1">IFERROR(__xludf.DUMMYFUNCTION("""COMPUTED_VALUE"""),"BOLSA BASURA MEDIANA (un)")</f>
        <v>BOLSA BASURA MEDIANA (un)</v>
      </c>
      <c r="C73" s="8">
        <v>50</v>
      </c>
      <c r="D73" s="21">
        <f ca="1">IFERROR(__xludf.DUMMYFUNCTION("""COMPUTED_VALUE"""),74.8)</f>
        <v>74.8</v>
      </c>
      <c r="E73" s="6" t="str">
        <f ca="1">IFERROR(__xludf.DUMMYFUNCTION("""COMPUTED_VALUE"""),"UN")</f>
        <v>UN</v>
      </c>
      <c r="F73" s="6" t="str">
        <f ca="1">IFERROR(__xludf.DUMMYFUNCTION("""COMPUTED_VALUE"""),"Aseo")</f>
        <v>Aseo</v>
      </c>
      <c r="G73" s="25">
        <f t="shared" ca="1" si="0"/>
        <v>3740</v>
      </c>
      <c r="H73" s="25">
        <f t="shared" ca="1" si="1"/>
        <v>710.6</v>
      </c>
      <c r="I73" s="25">
        <f t="shared" ca="1" si="2"/>
        <v>4450.6000000000004</v>
      </c>
      <c r="J73" s="156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8"/>
      <c r="Z73" s="28"/>
    </row>
    <row r="74" spans="1:26" ht="15.75">
      <c r="A74" s="7" t="str">
        <f ca="1">IFERROR(__xludf.DUMMYFUNCTION("""COMPUTED_VALUE"""),"ti-ing-dbb6ae46-9301-4b24-b966-4b4c02ecbb20")</f>
        <v>ti-ing-dbb6ae46-9301-4b24-b966-4b4c02ecbb20</v>
      </c>
      <c r="B74" s="7" t="str">
        <f ca="1">IFERROR(__xludf.DUMMYFUNCTION("""COMPUTED_VALUE"""),"Cafiza2")</f>
        <v>Cafiza2</v>
      </c>
      <c r="C74" s="8">
        <v>1</v>
      </c>
      <c r="D74" s="21">
        <f ca="1">IFERROR(__xludf.DUMMYFUNCTION("""COMPUTED_VALUE"""),19328)</f>
        <v>19328</v>
      </c>
      <c r="E74" s="6" t="str">
        <f ca="1">IFERROR(__xludf.DUMMYFUNCTION("""COMPUTED_VALUE"""),"KG")</f>
        <v>KG</v>
      </c>
      <c r="F74" s="6" t="str">
        <f ca="1">IFERROR(__xludf.DUMMYFUNCTION("""COMPUTED_VALUE"""),"Aseo")</f>
        <v>Aseo</v>
      </c>
      <c r="G74" s="25">
        <f t="shared" ca="1" si="0"/>
        <v>19328</v>
      </c>
      <c r="H74" s="25">
        <f t="shared" ca="1" si="1"/>
        <v>3672.32</v>
      </c>
      <c r="I74" s="25">
        <f t="shared" ca="1" si="2"/>
        <v>23000.32</v>
      </c>
      <c r="J74" s="156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8"/>
      <c r="Z74" s="28"/>
    </row>
    <row r="75" spans="1:26" ht="15.75">
      <c r="A75" s="7" t="str">
        <f ca="1">IFERROR(__xludf.DUMMYFUNCTION("""COMPUTED_VALUE"""),"ti-ing-addf5a00-64be-48da-80f1-f963e13357c9")</f>
        <v>ti-ing-addf5a00-64be-48da-80f1-f963e13357c9</v>
      </c>
      <c r="B75" s="7" t="str">
        <f ca="1">IFERROR(__xludf.DUMMYFUNCTION("""COMPUTED_VALUE"""),"CLORO 5 LTS")</f>
        <v>CLORO 5 LTS</v>
      </c>
      <c r="C75" s="8">
        <v>5</v>
      </c>
      <c r="D75" s="21">
        <f ca="1">IFERROR(__xludf.DUMMYFUNCTION("""COMPUTED_VALUE"""),247)</f>
        <v>247</v>
      </c>
      <c r="E75" s="6" t="str">
        <f ca="1">IFERROR(__xludf.DUMMYFUNCTION("""COMPUTED_VALUE"""),"LT")</f>
        <v>LT</v>
      </c>
      <c r="F75" s="6" t="str">
        <f ca="1">IFERROR(__xludf.DUMMYFUNCTION("""COMPUTED_VALUE"""),"Aseo")</f>
        <v>Aseo</v>
      </c>
      <c r="G75" s="25">
        <f t="shared" ca="1" si="0"/>
        <v>1235</v>
      </c>
      <c r="H75" s="25">
        <f t="shared" ca="1" si="1"/>
        <v>234.65</v>
      </c>
      <c r="I75" s="25">
        <f t="shared" ca="1" si="2"/>
        <v>1469.65</v>
      </c>
      <c r="J75" s="156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8"/>
      <c r="Z75" s="28"/>
    </row>
    <row r="76" spans="1:26" ht="15.75">
      <c r="A76" s="7" t="str">
        <f ca="1">IFERROR(__xludf.DUMMYFUNCTION("""COMPUTED_VALUE"""),"ti-ing-04d39eaa-25ae-4aa0-b31a-7ca9c1ec8bc0")</f>
        <v>ti-ing-04d39eaa-25ae-4aa0-b31a-7ca9c1ec8bc0</v>
      </c>
      <c r="B76" s="7" t="str">
        <f ca="1">IFERROR(__xludf.DUMMYFUNCTION("""COMPUTED_VALUE"""),"CLORO GEL")</f>
        <v>CLORO GEL</v>
      </c>
      <c r="C76" s="8">
        <v>5</v>
      </c>
      <c r="D76" s="21">
        <f ca="1">IFERROR(__xludf.DUMMYFUNCTION("""COMPUTED_VALUE"""),1250)</f>
        <v>1250</v>
      </c>
      <c r="E76" s="6" t="str">
        <f ca="1">IFERROR(__xludf.DUMMYFUNCTION("""COMPUTED_VALUE"""),"LT")</f>
        <v>LT</v>
      </c>
      <c r="F76" s="6" t="str">
        <f ca="1">IFERROR(__xludf.DUMMYFUNCTION("""COMPUTED_VALUE"""),"Aseo")</f>
        <v>Aseo</v>
      </c>
      <c r="G76" s="25">
        <f t="shared" ca="1" si="0"/>
        <v>6250</v>
      </c>
      <c r="H76" s="25">
        <f t="shared" ca="1" si="1"/>
        <v>1187.5</v>
      </c>
      <c r="I76" s="25">
        <f t="shared" ca="1" si="2"/>
        <v>7437.5</v>
      </c>
      <c r="J76" s="156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8"/>
      <c r="Z76" s="28"/>
    </row>
    <row r="77" spans="1:26" ht="15.75">
      <c r="A77" s="7" t="str">
        <f ca="1">IFERROR(__xludf.DUMMYFUNCTION("""COMPUTED_VALUE"""),"ti-ing-2a9f7a04-ff9b-4634-9f27-edac618856d6")</f>
        <v>ti-ing-2a9f7a04-ff9b-4634-9f27-edac618856d6</v>
      </c>
      <c r="B77" s="7" t="str">
        <f ca="1">IFERROR(__xludf.DUMMYFUNCTION("""COMPUTED_VALUE"""),"DESENGRASANTE 5 lt")</f>
        <v>DESENGRASANTE 5 lt</v>
      </c>
      <c r="C77" s="8">
        <v>10</v>
      </c>
      <c r="D77" s="21">
        <f ca="1">IFERROR(__xludf.DUMMYFUNCTION("""COMPUTED_VALUE"""),658.8)</f>
        <v>658.8</v>
      </c>
      <c r="E77" s="6" t="str">
        <f ca="1">IFERROR(__xludf.DUMMYFUNCTION("""COMPUTED_VALUE"""),"LT")</f>
        <v>LT</v>
      </c>
      <c r="F77" s="6" t="str">
        <f ca="1">IFERROR(__xludf.DUMMYFUNCTION("""COMPUTED_VALUE"""),"Aseo")</f>
        <v>Aseo</v>
      </c>
      <c r="G77" s="25">
        <f t="shared" ca="1" si="0"/>
        <v>6588</v>
      </c>
      <c r="H77" s="25">
        <f t="shared" ca="1" si="1"/>
        <v>1251.72</v>
      </c>
      <c r="I77" s="25">
        <f t="shared" ca="1" si="2"/>
        <v>7839.72</v>
      </c>
      <c r="J77" s="15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8"/>
      <c r="Z77" s="28"/>
    </row>
    <row r="78" spans="1:26" ht="15.75">
      <c r="A78" s="7" t="str">
        <f ca="1">IFERROR(__xludf.DUMMYFUNCTION("""COMPUTED_VALUE"""),"ti-ing-e0ae8367-512a-46da-9188-edb6aed9ccac")</f>
        <v>ti-ing-e0ae8367-512a-46da-9188-edb6aed9ccac</v>
      </c>
      <c r="B78" s="7" t="str">
        <f ca="1">IFERROR(__xludf.DUMMYFUNCTION("""COMPUTED_VALUE"""),"ESCOBA")</f>
        <v>ESCOBA</v>
      </c>
      <c r="C78" s="6">
        <v>11</v>
      </c>
      <c r="D78" s="21">
        <f ca="1">IFERROR(__xludf.DUMMYFUNCTION("""COMPUTED_VALUE"""),1250)</f>
        <v>1250</v>
      </c>
      <c r="E78" s="6" t="str">
        <f ca="1">IFERROR(__xludf.DUMMYFUNCTION("""COMPUTED_VALUE"""),"UN")</f>
        <v>UN</v>
      </c>
      <c r="F78" s="6" t="str">
        <f ca="1">IFERROR(__xludf.DUMMYFUNCTION("""COMPUTED_VALUE"""),"Aseo")</f>
        <v>Aseo</v>
      </c>
      <c r="G78" s="25">
        <f t="shared" ca="1" si="0"/>
        <v>13750</v>
      </c>
      <c r="H78" s="25">
        <f t="shared" ca="1" si="1"/>
        <v>2612.5</v>
      </c>
      <c r="I78" s="25">
        <f t="shared" ca="1" si="2"/>
        <v>16362.5</v>
      </c>
      <c r="J78" s="156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8"/>
      <c r="Z78" s="28"/>
    </row>
    <row r="79" spans="1:26" ht="15.75">
      <c r="A79" s="7" t="str">
        <f ca="1">IFERROR(__xludf.DUMMYFUNCTION("""COMPUTED_VALUE"""),"ti-ing-102eb718-4b52-41a7-9529-6a535c4ceb37")</f>
        <v>ti-ing-102eb718-4b52-41a7-9529-6a535c4ceb37</v>
      </c>
      <c r="B79" s="7" t="str">
        <f ca="1">IFERROR(__xludf.DUMMYFUNCTION("""COMPUTED_VALUE"""),"ESPONJAS AMARILLAS")</f>
        <v>ESPONJAS AMARILLAS</v>
      </c>
      <c r="C79" s="8">
        <v>9</v>
      </c>
      <c r="D79" s="21">
        <f ca="1">IFERROR(__xludf.DUMMYFUNCTION("""COMPUTED_VALUE"""),149)</f>
        <v>149</v>
      </c>
      <c r="E79" s="6" t="str">
        <f ca="1">IFERROR(__xludf.DUMMYFUNCTION("""COMPUTED_VALUE"""),"UN")</f>
        <v>UN</v>
      </c>
      <c r="F79" s="6" t="str">
        <f ca="1">IFERROR(__xludf.DUMMYFUNCTION("""COMPUTED_VALUE"""),"Aseo")</f>
        <v>Aseo</v>
      </c>
      <c r="G79" s="25">
        <f t="shared" ca="1" si="0"/>
        <v>1341</v>
      </c>
      <c r="H79" s="25">
        <f t="shared" ca="1" si="1"/>
        <v>254.79</v>
      </c>
      <c r="I79" s="25">
        <f t="shared" ca="1" si="2"/>
        <v>1595.79</v>
      </c>
      <c r="J79" s="156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8"/>
      <c r="Z79" s="28"/>
    </row>
    <row r="80" spans="1:26" ht="15.75">
      <c r="A80" s="7" t="str">
        <f ca="1">IFERROR(__xludf.DUMMYFUNCTION("""COMPUTED_VALUE"""),"ti-ing-0c760711-4885-4c8f-b5d5-6615e29d0673")</f>
        <v>ti-ing-0c760711-4885-4c8f-b5d5-6615e29d0673</v>
      </c>
      <c r="B80" s="7" t="str">
        <f ca="1">IFERROR(__xludf.DUMMYFUNCTION("""COMPUTED_VALUE"""),"GUANTES AMARILLOS L")</f>
        <v>GUANTES AMARILLOS L</v>
      </c>
      <c r="C80" s="8">
        <v>2</v>
      </c>
      <c r="D80" s="21">
        <f ca="1">IFERROR(__xludf.DUMMYFUNCTION("""COMPUTED_VALUE"""),495)</f>
        <v>495</v>
      </c>
      <c r="E80" s="6" t="str">
        <f ca="1">IFERROR(__xludf.DUMMYFUNCTION("""COMPUTED_VALUE"""),"UN")</f>
        <v>UN</v>
      </c>
      <c r="F80" s="6" t="str">
        <f ca="1">IFERROR(__xludf.DUMMYFUNCTION("""COMPUTED_VALUE"""),"Aseo")</f>
        <v>Aseo</v>
      </c>
      <c r="G80" s="25">
        <f t="shared" ca="1" si="0"/>
        <v>990</v>
      </c>
      <c r="H80" s="25">
        <f t="shared" ca="1" si="1"/>
        <v>188.1</v>
      </c>
      <c r="I80" s="25">
        <f t="shared" ca="1" si="2"/>
        <v>1178.0999999999999</v>
      </c>
      <c r="J80" s="156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8"/>
      <c r="Z80" s="28"/>
    </row>
    <row r="81" spans="1:26" ht="15.75">
      <c r="A81" s="7" t="str">
        <f ca="1">IFERROR(__xludf.DUMMYFUNCTION("""COMPUTED_VALUE"""),"ti-ing-7fc47597-0e5d-46f8-a43c-94faaa1daf88")</f>
        <v>ti-ing-7fc47597-0e5d-46f8-a43c-94faaa1daf88</v>
      </c>
      <c r="B81" s="7" t="str">
        <f ca="1">IFERROR(__xludf.DUMMYFUNCTION("""COMPUTED_VALUE"""),"GUANTES AMARILLOS M")</f>
        <v>GUANTES AMARILLOS M</v>
      </c>
      <c r="C81" s="8">
        <v>2</v>
      </c>
      <c r="D81" s="21">
        <f ca="1">IFERROR(__xludf.DUMMYFUNCTION("""COMPUTED_VALUE"""),495)</f>
        <v>495</v>
      </c>
      <c r="E81" s="6" t="str">
        <f ca="1">IFERROR(__xludf.DUMMYFUNCTION("""COMPUTED_VALUE"""),"UN")</f>
        <v>UN</v>
      </c>
      <c r="F81" s="6" t="str">
        <f ca="1">IFERROR(__xludf.DUMMYFUNCTION("""COMPUTED_VALUE"""),"Aseo")</f>
        <v>Aseo</v>
      </c>
      <c r="G81" s="25">
        <f t="shared" ca="1" si="0"/>
        <v>990</v>
      </c>
      <c r="H81" s="25">
        <f t="shared" ca="1" si="1"/>
        <v>188.1</v>
      </c>
      <c r="I81" s="25">
        <f t="shared" ca="1" si="2"/>
        <v>1178.0999999999999</v>
      </c>
      <c r="J81" s="156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8"/>
      <c r="Z81" s="28"/>
    </row>
    <row r="82" spans="1:26" ht="15.75">
      <c r="A82" s="7" t="str">
        <f ca="1">IFERROR(__xludf.DUMMYFUNCTION("""COMPUTED_VALUE"""),"ti-ing-fefd1f5b-c7c3-4780-83fd-7e625942b766")</f>
        <v>ti-ing-fefd1f5b-c7c3-4780-83fd-7e625942b766</v>
      </c>
      <c r="B82" s="7" t="str">
        <f ca="1">IFERROR(__xludf.DUMMYFUNCTION("""COMPUTED_VALUE"""),"GUANTES AMARILLOS S")</f>
        <v>GUANTES AMARILLOS S</v>
      </c>
      <c r="C82" s="8">
        <v>2</v>
      </c>
      <c r="D82" s="21">
        <f ca="1">IFERROR(__xludf.DUMMYFUNCTION("""COMPUTED_VALUE"""),450)</f>
        <v>450</v>
      </c>
      <c r="E82" s="6" t="str">
        <f ca="1">IFERROR(__xludf.DUMMYFUNCTION("""COMPUTED_VALUE"""),"UN")</f>
        <v>UN</v>
      </c>
      <c r="F82" s="6" t="str">
        <f ca="1">IFERROR(__xludf.DUMMYFUNCTION("""COMPUTED_VALUE"""),"Aseo")</f>
        <v>Aseo</v>
      </c>
      <c r="G82" s="25">
        <f t="shared" ca="1" si="0"/>
        <v>900</v>
      </c>
      <c r="H82" s="25">
        <f t="shared" ca="1" si="1"/>
        <v>171</v>
      </c>
      <c r="I82" s="25">
        <f t="shared" ca="1" si="2"/>
        <v>1071</v>
      </c>
      <c r="J82" s="15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8"/>
      <c r="Z82" s="28"/>
    </row>
    <row r="83" spans="1:26" ht="15.75">
      <c r="A83" s="7" t="str">
        <f ca="1">IFERROR(__xludf.DUMMYFUNCTION("""COMPUTED_VALUE"""),"ti-ing-04fc2068-57ca-42bc-bedb-ceda3e223def")</f>
        <v>ti-ing-04fc2068-57ca-42bc-bedb-ceda3e223def</v>
      </c>
      <c r="B83" s="7" t="str">
        <f ca="1">IFERROR(__xludf.DUMMYFUNCTION("""COMPUTED_VALUE"""),"Guantes De Látex L")</f>
        <v>Guantes De Látex L</v>
      </c>
      <c r="C83" s="8">
        <v>1</v>
      </c>
      <c r="D83" s="21">
        <f ca="1">IFERROR(__xludf.DUMMYFUNCTION("""COMPUTED_VALUE"""),3649.902)</f>
        <v>3649.902</v>
      </c>
      <c r="E83" s="6" t="str">
        <f ca="1">IFERROR(__xludf.DUMMYFUNCTION("""COMPUTED_VALUE"""),"UN")</f>
        <v>UN</v>
      </c>
      <c r="F83" s="6" t="str">
        <f ca="1">IFERROR(__xludf.DUMMYFUNCTION("""COMPUTED_VALUE"""),"Aseo")</f>
        <v>Aseo</v>
      </c>
      <c r="G83" s="25">
        <f t="shared" ca="1" si="0"/>
        <v>3649.902</v>
      </c>
      <c r="H83" s="25">
        <f t="shared" ca="1" si="1"/>
        <v>693.48138000000006</v>
      </c>
      <c r="I83" s="25">
        <f t="shared" ca="1" si="2"/>
        <v>4343.3833800000002</v>
      </c>
      <c r="J83" s="156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8"/>
      <c r="Z83" s="28"/>
    </row>
    <row r="84" spans="1:26" ht="15.75">
      <c r="A84" s="7" t="str">
        <f ca="1">IFERROR(__xludf.DUMMYFUNCTION("""COMPUTED_VALUE"""),"ti-ing-3c965e17-4bc3-453d-b74f-c682b54aeade")</f>
        <v>ti-ing-3c965e17-4bc3-453d-b74f-c682b54aeade</v>
      </c>
      <c r="B84" s="7" t="str">
        <f ca="1">IFERROR(__xludf.DUMMYFUNCTION("""COMPUTED_VALUE"""),"Guantes De Látex M")</f>
        <v>Guantes De Látex M</v>
      </c>
      <c r="C84" s="8">
        <v>4</v>
      </c>
      <c r="D84" s="21">
        <f ca="1">IFERROR(__xludf.DUMMYFUNCTION("""COMPUTED_VALUE"""),3650)</f>
        <v>3650</v>
      </c>
      <c r="E84" s="6" t="str">
        <f ca="1">IFERROR(__xludf.DUMMYFUNCTION("""COMPUTED_VALUE"""),"UN")</f>
        <v>UN</v>
      </c>
      <c r="F84" s="6" t="str">
        <f ca="1">IFERROR(__xludf.DUMMYFUNCTION("""COMPUTED_VALUE"""),"Aseo")</f>
        <v>Aseo</v>
      </c>
      <c r="G84" s="25">
        <f t="shared" ca="1" si="0"/>
        <v>14600</v>
      </c>
      <c r="H84" s="25">
        <f t="shared" ca="1" si="1"/>
        <v>2774</v>
      </c>
      <c r="I84" s="25">
        <f t="shared" ca="1" si="2"/>
        <v>17374</v>
      </c>
      <c r="J84" s="156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8"/>
      <c r="Z84" s="28"/>
    </row>
    <row r="85" spans="1:26" ht="15.75">
      <c r="A85" s="7" t="str">
        <f ca="1">IFERROR(__xludf.DUMMYFUNCTION("""COMPUTED_VALUE"""),"ti-ing-a5847069-c85b-4a57-a415-7cf62066dedc")</f>
        <v>ti-ing-a5847069-c85b-4a57-a415-7cf62066dedc</v>
      </c>
      <c r="B85" s="7" t="str">
        <f ca="1">IFERROR(__xludf.DUMMYFUNCTION("""COMPUTED_VALUE"""),"Guantes De Látex S")</f>
        <v>Guantes De Látex S</v>
      </c>
      <c r="C85" s="8">
        <v>0</v>
      </c>
      <c r="D85" s="21">
        <f ca="1">IFERROR(__xludf.DUMMYFUNCTION("""COMPUTED_VALUE"""),3650)</f>
        <v>3650</v>
      </c>
      <c r="E85" s="6" t="str">
        <f ca="1">IFERROR(__xludf.DUMMYFUNCTION("""COMPUTED_VALUE"""),"un")</f>
        <v>un</v>
      </c>
      <c r="F85" s="6" t="str">
        <f ca="1">IFERROR(__xludf.DUMMYFUNCTION("""COMPUTED_VALUE"""),"Aseo")</f>
        <v>Aseo</v>
      </c>
      <c r="G85" s="25">
        <f t="shared" ca="1" si="0"/>
        <v>0</v>
      </c>
      <c r="H85" s="25">
        <f t="shared" ca="1" si="1"/>
        <v>0</v>
      </c>
      <c r="I85" s="25">
        <f t="shared" ca="1" si="2"/>
        <v>0</v>
      </c>
      <c r="J85" s="156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8"/>
      <c r="Z85" s="28"/>
    </row>
    <row r="86" spans="1:26" ht="15.75">
      <c r="A86" s="7" t="str">
        <f ca="1">IFERROR(__xludf.DUMMYFUNCTION("""COMPUTED_VALUE"""),"ti-ing-f1845df4-9dd0-4be9-9cda-4e9939c6c9a8")</f>
        <v>ti-ing-f1845df4-9dd0-4be9-9cda-4e9939c6c9a8</v>
      </c>
      <c r="B86" s="7" t="str">
        <f ca="1">IFERROR(__xludf.DUMMYFUNCTION("""COMPUTED_VALUE"""),"JABON BAÑO")</f>
        <v>JABON BAÑO</v>
      </c>
      <c r="C86" s="8">
        <v>0</v>
      </c>
      <c r="D86" s="21">
        <f ca="1">IFERROR(__xludf.DUMMYFUNCTION("""COMPUTED_VALUE"""),880)</f>
        <v>880</v>
      </c>
      <c r="E86" s="6" t="str">
        <f ca="1">IFERROR(__xludf.DUMMYFUNCTION("""COMPUTED_VALUE"""),"LT")</f>
        <v>LT</v>
      </c>
      <c r="F86" s="6" t="str">
        <f ca="1">IFERROR(__xludf.DUMMYFUNCTION("""COMPUTED_VALUE"""),"Aseo")</f>
        <v>Aseo</v>
      </c>
      <c r="G86" s="25">
        <f t="shared" ca="1" si="0"/>
        <v>0</v>
      </c>
      <c r="H86" s="25">
        <f t="shared" ca="1" si="1"/>
        <v>0</v>
      </c>
      <c r="I86" s="25">
        <f t="shared" ca="1" si="2"/>
        <v>0</v>
      </c>
      <c r="J86" s="156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8"/>
      <c r="Z86" s="28"/>
    </row>
    <row r="87" spans="1:26" ht="15.75">
      <c r="A87" s="7" t="str">
        <f ca="1">IFERROR(__xludf.DUMMYFUNCTION("""COMPUTED_VALUE"""),"ti-ing-90438c34-c1c8-455a-8b38-f56ab57f0e76")</f>
        <v>ti-ing-90438c34-c1c8-455a-8b38-f56ab57f0e76</v>
      </c>
      <c r="B87" s="7" t="str">
        <f ca="1">IFERROR(__xludf.DUMMYFUNCTION("""COMPUTED_VALUE"""),"LAVALOZAS")</f>
        <v>LAVALOZAS</v>
      </c>
      <c r="C87" s="8">
        <v>15</v>
      </c>
      <c r="D87" s="21">
        <f ca="1">IFERROR(__xludf.DUMMYFUNCTION("""COMPUTED_VALUE"""),381.6)</f>
        <v>381.6</v>
      </c>
      <c r="E87" s="6" t="str">
        <f ca="1">IFERROR(__xludf.DUMMYFUNCTION("""COMPUTED_VALUE"""),"LT")</f>
        <v>LT</v>
      </c>
      <c r="F87" s="6" t="str">
        <f ca="1">IFERROR(__xludf.DUMMYFUNCTION("""COMPUTED_VALUE"""),"Aseo")</f>
        <v>Aseo</v>
      </c>
      <c r="G87" s="25">
        <f t="shared" ca="1" si="0"/>
        <v>5724</v>
      </c>
      <c r="H87" s="25">
        <f t="shared" ca="1" si="1"/>
        <v>1087.56</v>
      </c>
      <c r="I87" s="25">
        <f t="shared" ca="1" si="2"/>
        <v>6811.5599999999995</v>
      </c>
      <c r="J87" s="15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8"/>
      <c r="Z87" s="28"/>
    </row>
    <row r="88" spans="1:26" ht="15.75">
      <c r="A88" s="7" t="str">
        <f ca="1">IFERROR(__xludf.DUMMYFUNCTION("""COMPUTED_VALUE"""),"ti-ing-096ebcd5-904f-4e35-9378-181fe59b0c31")</f>
        <v>ti-ing-096ebcd5-904f-4e35-9378-181fe59b0c31</v>
      </c>
      <c r="B88" s="7" t="str">
        <f ca="1">IFERROR(__xludf.DUMMYFUNCTION("""COMPUTED_VALUE"""),"Limpiador Crema CIF 750g")</f>
        <v>Limpiador Crema CIF 750g</v>
      </c>
      <c r="C88" s="8">
        <v>0</v>
      </c>
      <c r="D88" s="21">
        <f ca="1">IFERROR(__xludf.DUMMYFUNCTION("""COMPUTED_VALUE"""),1522)</f>
        <v>1522</v>
      </c>
      <c r="E88" s="6" t="str">
        <f ca="1">IFERROR(__xludf.DUMMYFUNCTION("""COMPUTED_VALUE"""),"UN")</f>
        <v>UN</v>
      </c>
      <c r="F88" s="6" t="str">
        <f ca="1">IFERROR(__xludf.DUMMYFUNCTION("""COMPUTED_VALUE"""),"Aseo")</f>
        <v>Aseo</v>
      </c>
      <c r="G88" s="25">
        <f t="shared" ca="1" si="0"/>
        <v>0</v>
      </c>
      <c r="H88" s="25">
        <f t="shared" ca="1" si="1"/>
        <v>0</v>
      </c>
      <c r="I88" s="25">
        <f t="shared" ca="1" si="2"/>
        <v>0</v>
      </c>
      <c r="J88" s="156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8"/>
      <c r="Z88" s="28"/>
    </row>
    <row r="89" spans="1:26" ht="15.75">
      <c r="A89" s="7" t="str">
        <f ca="1">IFERROR(__xludf.DUMMYFUNCTION("""COMPUTED_VALUE"""),"ti-ing-87e4c4d7-978b-4106-9ff1-dda60dd75d70")</f>
        <v>ti-ing-87e4c4d7-978b-4106-9ff1-dda60dd75d70</v>
      </c>
      <c r="B89" s="7" t="str">
        <f ca="1">IFERROR(__xludf.DUMMYFUNCTION("""COMPUTED_VALUE"""),"LIMPIAPISOS")</f>
        <v>LIMPIAPISOS</v>
      </c>
      <c r="C89" s="8">
        <v>25</v>
      </c>
      <c r="D89" s="21">
        <f ca="1">IFERROR(__xludf.DUMMYFUNCTION("""COMPUTED_VALUE"""),284.1160494)</f>
        <v>284.11604940000001</v>
      </c>
      <c r="E89" s="6" t="str">
        <f ca="1">IFERROR(__xludf.DUMMYFUNCTION("""COMPUTED_VALUE"""),"LT")</f>
        <v>LT</v>
      </c>
      <c r="F89" s="6" t="str">
        <f ca="1">IFERROR(__xludf.DUMMYFUNCTION("""COMPUTED_VALUE"""),"Aseo")</f>
        <v>Aseo</v>
      </c>
      <c r="G89" s="25">
        <f t="shared" ca="1" si="0"/>
        <v>7102.9012350000003</v>
      </c>
      <c r="H89" s="25">
        <f t="shared" ca="1" si="1"/>
        <v>1349.55123465</v>
      </c>
      <c r="I89" s="25">
        <f t="shared" ca="1" si="2"/>
        <v>8452.4524696500011</v>
      </c>
      <c r="J89" s="156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8"/>
      <c r="Z89" s="28"/>
    </row>
    <row r="90" spans="1:26" ht="15.75">
      <c r="A90" s="7" t="str">
        <f ca="1">IFERROR(__xludf.DUMMYFUNCTION("""COMPUTED_VALUE"""),"ti-ing-197c4981-e3d5-425b-b927-86de4c38a9b1")</f>
        <v>ti-ing-197c4981-e3d5-425b-b927-86de4c38a9b1</v>
      </c>
      <c r="B90" s="7" t="str">
        <f ca="1">IFERROR(__xludf.DUMMYFUNCTION("""COMPUTED_VALUE"""),"LIMPIAVIDRIOS")</f>
        <v>LIMPIAVIDRIOS</v>
      </c>
      <c r="C90" s="8">
        <v>0</v>
      </c>
      <c r="D90" s="21">
        <f ca="1">IFERROR(__xludf.DUMMYFUNCTION("""COMPUTED_VALUE"""),696.4)</f>
        <v>696.4</v>
      </c>
      <c r="E90" s="6" t="str">
        <f ca="1">IFERROR(__xludf.DUMMYFUNCTION("""COMPUTED_VALUE"""),"LT")</f>
        <v>LT</v>
      </c>
      <c r="F90" s="6" t="str">
        <f ca="1">IFERROR(__xludf.DUMMYFUNCTION("""COMPUTED_VALUE"""),"Aseo")</f>
        <v>Aseo</v>
      </c>
      <c r="G90" s="25">
        <f t="shared" ca="1" si="0"/>
        <v>0</v>
      </c>
      <c r="H90" s="25">
        <f t="shared" ca="1" si="1"/>
        <v>0</v>
      </c>
      <c r="I90" s="25">
        <f t="shared" ca="1" si="2"/>
        <v>0</v>
      </c>
      <c r="J90" s="156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8"/>
      <c r="Z90" s="28"/>
    </row>
    <row r="91" spans="1:26" ht="15.75">
      <c r="A91" s="7" t="str">
        <f ca="1">IFERROR(__xludf.DUMMYFUNCTION("""COMPUTED_VALUE"""),"ti-ing-9fcf899e-b43f-49a0-bfca-d4ca3181f761")</f>
        <v>ti-ing-9fcf899e-b43f-49a0-bfca-d4ca3181f761</v>
      </c>
      <c r="B91" s="7" t="str">
        <f ca="1">IFERROR(__xludf.DUMMYFUNCTION("""COMPUTED_VALUE"""),"LUSTRAMUEBLES")</f>
        <v>LUSTRAMUEBLES</v>
      </c>
      <c r="C91" s="8">
        <v>2</v>
      </c>
      <c r="D91" s="21">
        <f ca="1">IFERROR(__xludf.DUMMYFUNCTION("""COMPUTED_VALUE"""),893)</f>
        <v>893</v>
      </c>
      <c r="E91" s="6" t="str">
        <f ca="1">IFERROR(__xludf.DUMMYFUNCTION("""COMPUTED_VALUE"""),"UN")</f>
        <v>UN</v>
      </c>
      <c r="F91" s="6" t="str">
        <f ca="1">IFERROR(__xludf.DUMMYFUNCTION("""COMPUTED_VALUE"""),"Aseo")</f>
        <v>Aseo</v>
      </c>
      <c r="G91" s="25">
        <f t="shared" ca="1" si="0"/>
        <v>1786</v>
      </c>
      <c r="H91" s="25">
        <f t="shared" ca="1" si="1"/>
        <v>339.34000000000003</v>
      </c>
      <c r="I91" s="25">
        <f t="shared" ca="1" si="2"/>
        <v>2125.34</v>
      </c>
      <c r="J91" s="156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8"/>
      <c r="Z91" s="28"/>
    </row>
    <row r="92" spans="1:26" ht="15.75">
      <c r="A92" s="7" t="str">
        <f ca="1">IFERROR(__xludf.DUMMYFUNCTION("""COMPUTED_VALUE"""),"ti-ing-af8029ba-0f08-420d-ae31-6cf6502d2e32")</f>
        <v>ti-ing-af8029ba-0f08-420d-ae31-6cf6502d2e32</v>
      </c>
      <c r="B92" s="7" t="str">
        <f ca="1">IFERROR(__xludf.DUMMYFUNCTION("""COMPUTED_VALUE"""),"Lysoform")</f>
        <v>Lysoform</v>
      </c>
      <c r="C92" s="8">
        <v>1</v>
      </c>
      <c r="D92" s="21">
        <f ca="1">IFERROR(__xludf.DUMMYFUNCTION("""COMPUTED_VALUE"""),2428)</f>
        <v>2428</v>
      </c>
      <c r="E92" s="6" t="str">
        <f ca="1">IFERROR(__xludf.DUMMYFUNCTION("""COMPUTED_VALUE"""),"UN")</f>
        <v>UN</v>
      </c>
      <c r="F92" s="6" t="str">
        <f ca="1">IFERROR(__xludf.DUMMYFUNCTION("""COMPUTED_VALUE"""),"Aseo")</f>
        <v>Aseo</v>
      </c>
      <c r="G92" s="25">
        <f t="shared" ca="1" si="0"/>
        <v>2428</v>
      </c>
      <c r="H92" s="25">
        <f t="shared" ca="1" si="1"/>
        <v>461.32</v>
      </c>
      <c r="I92" s="25">
        <f t="shared" ca="1" si="2"/>
        <v>2889.32</v>
      </c>
      <c r="J92" s="15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8"/>
      <c r="Z92" s="28"/>
    </row>
    <row r="93" spans="1:26" ht="15.75">
      <c r="A93" s="7" t="str">
        <f ca="1">IFERROR(__xludf.DUMMYFUNCTION("""COMPUTED_VALUE"""),"ti-ing-64301c86-8657-4a60-9738-54b3f81ead5a")</f>
        <v>ti-ing-64301c86-8657-4a60-9738-54b3f81ead5a</v>
      </c>
      <c r="B93" s="7" t="str">
        <f ca="1">IFERROR(__xludf.DUMMYFUNCTION("""COMPUTED_VALUE"""),"MALLAS DE PELO (100un)")</f>
        <v>MALLAS DE PELO (100un)</v>
      </c>
      <c r="C93" s="8">
        <v>2</v>
      </c>
      <c r="D93" s="21">
        <f ca="1">IFERROR(__xludf.DUMMYFUNCTION("""COMPUTED_VALUE"""),1529)</f>
        <v>1529</v>
      </c>
      <c r="E93" s="6" t="str">
        <f ca="1">IFERROR(__xludf.DUMMYFUNCTION("""COMPUTED_VALUE"""),"UN")</f>
        <v>UN</v>
      </c>
      <c r="F93" s="6" t="str">
        <f ca="1">IFERROR(__xludf.DUMMYFUNCTION("""COMPUTED_VALUE"""),"Aseo")</f>
        <v>Aseo</v>
      </c>
      <c r="G93" s="25">
        <f t="shared" ca="1" si="0"/>
        <v>3058</v>
      </c>
      <c r="H93" s="25">
        <f t="shared" ca="1" si="1"/>
        <v>581.02</v>
      </c>
      <c r="I93" s="25">
        <f t="shared" ca="1" si="2"/>
        <v>3639.02</v>
      </c>
      <c r="J93" s="156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8"/>
      <c r="Z93" s="28"/>
    </row>
    <row r="94" spans="1:26" ht="15.75">
      <c r="A94" s="7" t="str">
        <f ca="1">IFERROR(__xludf.DUMMYFUNCTION("""COMPUTED_VALUE"""),"ti-ing-242bf6e9-d5c5-47e7-8f0a-88f3cbbcc3af")</f>
        <v>ti-ing-242bf6e9-d5c5-47e7-8f0a-88f3cbbcc3af</v>
      </c>
      <c r="B94" s="7" t="str">
        <f ca="1">IFERROR(__xludf.DUMMYFUNCTION("""COMPUTED_VALUE"""),"Mascarillas")</f>
        <v>Mascarillas</v>
      </c>
      <c r="C94" s="6">
        <v>0</v>
      </c>
      <c r="D94" s="21">
        <f ca="1">IFERROR(__xludf.DUMMYFUNCTION("""COMPUTED_VALUE"""),1350)</f>
        <v>1350</v>
      </c>
      <c r="E94" s="6" t="str">
        <f ca="1">IFERROR(__xludf.DUMMYFUNCTION("""COMPUTED_VALUE"""),"UN")</f>
        <v>UN</v>
      </c>
      <c r="F94" s="6" t="str">
        <f ca="1">IFERROR(__xludf.DUMMYFUNCTION("""COMPUTED_VALUE"""),"Aseo")</f>
        <v>Aseo</v>
      </c>
      <c r="G94" s="25">
        <f t="shared" ca="1" si="0"/>
        <v>0</v>
      </c>
      <c r="H94" s="25">
        <f t="shared" ca="1" si="1"/>
        <v>0</v>
      </c>
      <c r="I94" s="25">
        <f t="shared" ca="1" si="2"/>
        <v>0</v>
      </c>
      <c r="J94" s="156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8"/>
      <c r="Z94" s="28"/>
    </row>
    <row r="95" spans="1:26" ht="15.75">
      <c r="A95" s="7" t="str">
        <f ca="1">IFERROR(__xludf.DUMMYFUNCTION("""COMPUTED_VALUE"""),"ti-ing-313073f4-b1b1-442d-b077-951f3ce67b06")</f>
        <v>ti-ing-313073f4-b1b1-442d-b077-951f3ce67b06</v>
      </c>
      <c r="B95" s="7" t="str">
        <f ca="1">IFERROR(__xludf.DUMMYFUNCTION("""COMPUTED_VALUE"""),"NOVA Unidad")</f>
        <v>NOVA Unidad</v>
      </c>
      <c r="C95" s="8">
        <v>6</v>
      </c>
      <c r="D95" s="21">
        <f ca="1">IFERROR(__xludf.DUMMYFUNCTION("""COMPUTED_VALUE"""),2735)</f>
        <v>2735</v>
      </c>
      <c r="E95" s="6" t="str">
        <f ca="1">IFERROR(__xludf.DUMMYFUNCTION("""COMPUTED_VALUE"""),"UN")</f>
        <v>UN</v>
      </c>
      <c r="F95" s="6" t="str">
        <f ca="1">IFERROR(__xludf.DUMMYFUNCTION("""COMPUTED_VALUE"""),"Aseo")</f>
        <v>Aseo</v>
      </c>
      <c r="G95" s="25">
        <f t="shared" ca="1" si="0"/>
        <v>16410</v>
      </c>
      <c r="H95" s="25">
        <f t="shared" ca="1" si="1"/>
        <v>3117.9</v>
      </c>
      <c r="I95" s="25">
        <f t="shared" ca="1" si="2"/>
        <v>19527.900000000001</v>
      </c>
      <c r="J95" s="156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8"/>
      <c r="Z95" s="28"/>
    </row>
    <row r="96" spans="1:26" ht="15.75">
      <c r="A96" s="7" t="str">
        <f ca="1">IFERROR(__xludf.DUMMYFUNCTION("""COMPUTED_VALUE"""),"ti-ing-f2a85135-486f-455a-9223-1092ccd4e7cd")</f>
        <v>ti-ing-f2a85135-486f-455a-9223-1092ccd4e7cd</v>
      </c>
      <c r="B96" s="7" t="str">
        <f ca="1">IFERROR(__xludf.DUMMYFUNCTION("""COMPUTED_VALUE"""),"PALA")</f>
        <v>PALA</v>
      </c>
      <c r="C96" s="8">
        <v>7</v>
      </c>
      <c r="D96" s="21">
        <f ca="1">IFERROR(__xludf.DUMMYFUNCTION("""COMPUTED_VALUE"""),1165)</f>
        <v>1165</v>
      </c>
      <c r="E96" s="6" t="str">
        <f ca="1">IFERROR(__xludf.DUMMYFUNCTION("""COMPUTED_VALUE"""),"UN")</f>
        <v>UN</v>
      </c>
      <c r="F96" s="6" t="str">
        <f ca="1">IFERROR(__xludf.DUMMYFUNCTION("""COMPUTED_VALUE"""),"Aseo")</f>
        <v>Aseo</v>
      </c>
      <c r="G96" s="25">
        <f t="shared" ca="1" si="0"/>
        <v>8155</v>
      </c>
      <c r="H96" s="25">
        <f t="shared" ca="1" si="1"/>
        <v>1549.45</v>
      </c>
      <c r="I96" s="25">
        <f t="shared" ca="1" si="2"/>
        <v>9704.4500000000007</v>
      </c>
      <c r="J96" s="156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8"/>
      <c r="Z96" s="28"/>
    </row>
    <row r="97" spans="1:26" ht="15.75">
      <c r="A97" s="7" t="str">
        <f ca="1">IFERROR(__xludf.DUMMYFUNCTION("""COMPUTED_VALUE"""),"ti-ing-a496bcbe-0906-4bd7-90be-10085697981e")</f>
        <v>ti-ing-a496bcbe-0906-4bd7-90be-10085697981e</v>
      </c>
      <c r="B97" s="7" t="str">
        <f ca="1">IFERROR(__xludf.DUMMYFUNCTION("""COMPUTED_VALUE"""),"Paño microfibra")</f>
        <v>Paño microfibra</v>
      </c>
      <c r="C97" s="8">
        <v>4</v>
      </c>
      <c r="D97" s="21">
        <f ca="1">IFERROR(__xludf.DUMMYFUNCTION("""COMPUTED_VALUE"""),650)</f>
        <v>650</v>
      </c>
      <c r="E97" s="6" t="str">
        <f ca="1">IFERROR(__xludf.DUMMYFUNCTION("""COMPUTED_VALUE"""),"UN")</f>
        <v>UN</v>
      </c>
      <c r="F97" s="6" t="str">
        <f ca="1">IFERROR(__xludf.DUMMYFUNCTION("""COMPUTED_VALUE"""),"Aseo")</f>
        <v>Aseo</v>
      </c>
      <c r="G97" s="25">
        <f t="shared" ca="1" si="0"/>
        <v>2600</v>
      </c>
      <c r="H97" s="25">
        <f t="shared" ca="1" si="1"/>
        <v>494</v>
      </c>
      <c r="I97" s="25">
        <f t="shared" ca="1" si="2"/>
        <v>3094</v>
      </c>
      <c r="J97" s="15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8"/>
      <c r="Z97" s="28"/>
    </row>
    <row r="98" spans="1:26" ht="15.75">
      <c r="A98" s="7" t="str">
        <f ca="1">IFERROR(__xludf.DUMMYFUNCTION("""COMPUTED_VALUE"""),"ti-ing-71ad4a79-597d-4cd3-85f8-8c113261d29e")</f>
        <v>ti-ing-71ad4a79-597d-4cd3-85f8-8c113261d29e</v>
      </c>
      <c r="B98" s="7" t="str">
        <f ca="1">IFERROR(__xludf.DUMMYFUNCTION("""COMPUTED_VALUE"""),"PAÑOS AMARILLOS")</f>
        <v>PAÑOS AMARILLOS</v>
      </c>
      <c r="C98" s="8">
        <v>0</v>
      </c>
      <c r="D98" s="21">
        <f ca="1">IFERROR(__xludf.DUMMYFUNCTION("""COMPUTED_VALUE"""),185)</f>
        <v>185</v>
      </c>
      <c r="E98" s="6" t="str">
        <f ca="1">IFERROR(__xludf.DUMMYFUNCTION("""COMPUTED_VALUE"""),"UN")</f>
        <v>UN</v>
      </c>
      <c r="F98" s="6" t="str">
        <f ca="1">IFERROR(__xludf.DUMMYFUNCTION("""COMPUTED_VALUE"""),"Aseo")</f>
        <v>Aseo</v>
      </c>
      <c r="G98" s="25">
        <f t="shared" ca="1" si="0"/>
        <v>0</v>
      </c>
      <c r="H98" s="25">
        <f t="shared" ca="1" si="1"/>
        <v>0</v>
      </c>
      <c r="I98" s="25">
        <f t="shared" ca="1" si="2"/>
        <v>0</v>
      </c>
      <c r="J98" s="156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8"/>
      <c r="Z98" s="28"/>
    </row>
    <row r="99" spans="1:26" ht="15.75">
      <c r="A99" s="7" t="str">
        <f ca="1">IFERROR(__xludf.DUMMYFUNCTION("""COMPUTED_VALUE"""),"ti-ing-adaa762a-98c1-4bd8-8d7f-d256999a6d54")</f>
        <v>ti-ing-adaa762a-98c1-4bd8-8d7f-d256999a6d54</v>
      </c>
      <c r="B99" s="7" t="str">
        <f ca="1">IFERROR(__xludf.DUMMYFUNCTION("""COMPUTED_VALUE"""),"PAPEL HIGUIENICO UN")</f>
        <v>PAPEL HIGUIENICO UN</v>
      </c>
      <c r="C99" s="8">
        <v>4</v>
      </c>
      <c r="D99" s="21">
        <f ca="1">IFERROR(__xludf.DUMMYFUNCTION("""COMPUTED_VALUE"""),1676.25)</f>
        <v>1676.25</v>
      </c>
      <c r="E99" s="6" t="str">
        <f ca="1">IFERROR(__xludf.DUMMYFUNCTION("""COMPUTED_VALUE"""),"UN")</f>
        <v>UN</v>
      </c>
      <c r="F99" s="6" t="str">
        <f ca="1">IFERROR(__xludf.DUMMYFUNCTION("""COMPUTED_VALUE"""),"Aseo")</f>
        <v>Aseo</v>
      </c>
      <c r="G99" s="25">
        <f t="shared" ca="1" si="0"/>
        <v>6705</v>
      </c>
      <c r="H99" s="25">
        <f t="shared" ca="1" si="1"/>
        <v>1273.95</v>
      </c>
      <c r="I99" s="25">
        <f t="shared" ca="1" si="2"/>
        <v>7978.95</v>
      </c>
      <c r="J99" s="156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8"/>
      <c r="Z99" s="28"/>
    </row>
    <row r="100" spans="1:26" ht="15.75">
      <c r="A100" s="7" t="str">
        <f ca="1">IFERROR(__xludf.DUMMYFUNCTION("""COMPUTED_VALUE"""),"ti-ing-f9770958-721b-4e86-963c-bb85b123a83c")</f>
        <v>ti-ing-f9770958-721b-4e86-963c-bb85b123a83c</v>
      </c>
      <c r="B100" s="7" t="str">
        <f ca="1">IFERROR(__xludf.DUMMYFUNCTION("""COMPUTED_VALUE"""),"Pastilla para estanque")</f>
        <v>Pastilla para estanque</v>
      </c>
      <c r="C100" s="8">
        <v>0</v>
      </c>
      <c r="D100" s="21">
        <f ca="1">IFERROR(__xludf.DUMMYFUNCTION("""COMPUTED_VALUE"""),409.8889)</f>
        <v>409.88889999999998</v>
      </c>
      <c r="E100" s="6" t="str">
        <f ca="1">IFERROR(__xludf.DUMMYFUNCTION("""COMPUTED_VALUE"""),"UN")</f>
        <v>UN</v>
      </c>
      <c r="F100" s="6" t="str">
        <f ca="1">IFERROR(__xludf.DUMMYFUNCTION("""COMPUTED_VALUE"""),"Aseo")</f>
        <v>Aseo</v>
      </c>
      <c r="G100" s="25">
        <f t="shared" ca="1" si="0"/>
        <v>0</v>
      </c>
      <c r="H100" s="25">
        <f t="shared" ca="1" si="1"/>
        <v>0</v>
      </c>
      <c r="I100" s="25">
        <f t="shared" ca="1" si="2"/>
        <v>0</v>
      </c>
      <c r="J100" s="156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8"/>
      <c r="Z100" s="28"/>
    </row>
    <row r="101" spans="1:26" ht="15.75">
      <c r="A101" s="7" t="str">
        <f ca="1">IFERROR(__xludf.DUMMYFUNCTION("""COMPUTED_VALUE"""),"ti-ing-02407d3a-e36e-410d-8c91-3e98a395ccac")</f>
        <v>ti-ing-02407d3a-e36e-410d-8c91-3e98a395ccac</v>
      </c>
      <c r="B101" s="7" t="str">
        <f ca="1">IFERROR(__xludf.DUMMYFUNCTION("""COMPUTED_VALUE"""),"Rinza")</f>
        <v>Rinza</v>
      </c>
      <c r="C101" s="8">
        <v>1</v>
      </c>
      <c r="D101" s="21">
        <f ca="1">IFERROR(__xludf.DUMMYFUNCTION("""COMPUTED_VALUE"""),27731)</f>
        <v>27731</v>
      </c>
      <c r="E101" s="6" t="str">
        <f ca="1">IFERROR(__xludf.DUMMYFUNCTION("""COMPUTED_VALUE"""),"UN")</f>
        <v>UN</v>
      </c>
      <c r="F101" s="6" t="str">
        <f ca="1">IFERROR(__xludf.DUMMYFUNCTION("""COMPUTED_VALUE"""),"Aseo")</f>
        <v>Aseo</v>
      </c>
      <c r="G101" s="25">
        <f t="shared" ca="1" si="0"/>
        <v>27731</v>
      </c>
      <c r="H101" s="25">
        <f t="shared" ca="1" si="1"/>
        <v>5268.89</v>
      </c>
      <c r="I101" s="25">
        <f t="shared" ca="1" si="2"/>
        <v>32999.89</v>
      </c>
      <c r="J101" s="156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8"/>
      <c r="Z101" s="28"/>
    </row>
    <row r="102" spans="1:26" ht="15.75">
      <c r="A102" s="7" t="str">
        <f ca="1">IFERROR(__xludf.DUMMYFUNCTION("""COMPUTED_VALUE"""),"ti-ing-dcad707d-6012-450f-8e1d-b50e4ae44b10")</f>
        <v>ti-ing-dcad707d-6012-450f-8e1d-b50e4ae44b10</v>
      </c>
      <c r="B102" s="7" t="str">
        <f ca="1">IFERROR(__xludf.DUMMYFUNCTION("""COMPUTED_VALUE"""),"TRAPOS BLANCOS")</f>
        <v>TRAPOS BLANCOS</v>
      </c>
      <c r="C102" s="68">
        <v>0</v>
      </c>
      <c r="D102" s="21">
        <f ca="1">IFERROR(__xludf.DUMMYFUNCTION("""COMPUTED_VALUE"""),789)</f>
        <v>789</v>
      </c>
      <c r="E102" s="6" t="str">
        <f ca="1">IFERROR(__xludf.DUMMYFUNCTION("""COMPUTED_VALUE"""),"UN")</f>
        <v>UN</v>
      </c>
      <c r="F102" s="6" t="str">
        <f ca="1">IFERROR(__xludf.DUMMYFUNCTION("""COMPUTED_VALUE"""),"Aseo")</f>
        <v>Aseo</v>
      </c>
      <c r="G102" s="25">
        <f t="shared" ca="1" si="0"/>
        <v>0</v>
      </c>
      <c r="H102" s="25">
        <f t="shared" ca="1" si="1"/>
        <v>0</v>
      </c>
      <c r="I102" s="25">
        <f t="shared" ca="1" si="2"/>
        <v>0</v>
      </c>
      <c r="J102" s="15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8"/>
      <c r="Z102" s="28"/>
    </row>
    <row r="103" spans="1:26" ht="15.75">
      <c r="A103" s="7" t="str">
        <f ca="1">IFERROR(__xludf.DUMMYFUNCTION("""COMPUTED_VALUE"""),"ti-ing-46619eaa-21aa-41d5-931f-97aa9149b051")</f>
        <v>ti-ing-46619eaa-21aa-41d5-931f-97aa9149b051</v>
      </c>
      <c r="B103" s="7" t="str">
        <f ca="1">IFERROR(__xludf.DUMMYFUNCTION("""COMPUTED_VALUE"""),"VIRUTILLA VERDE")</f>
        <v>VIRUTILLA VERDE</v>
      </c>
      <c r="C103" s="8">
        <v>0</v>
      </c>
      <c r="D103" s="21">
        <f ca="1">IFERROR(__xludf.DUMMYFUNCTION("""COMPUTED_VALUE"""),890)</f>
        <v>890</v>
      </c>
      <c r="E103" s="6" t="str">
        <f ca="1">IFERROR(__xludf.DUMMYFUNCTION("""COMPUTED_VALUE"""),"UN")</f>
        <v>UN</v>
      </c>
      <c r="F103" s="6" t="str">
        <f ca="1">IFERROR(__xludf.DUMMYFUNCTION("""COMPUTED_VALUE"""),"Aseo")</f>
        <v>Aseo</v>
      </c>
      <c r="G103" s="25">
        <f t="shared" ca="1" si="0"/>
        <v>0</v>
      </c>
      <c r="H103" s="25">
        <f t="shared" ca="1" si="1"/>
        <v>0</v>
      </c>
      <c r="I103" s="25">
        <f t="shared" ca="1" si="2"/>
        <v>0</v>
      </c>
      <c r="J103" s="156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8"/>
      <c r="Z103" s="28"/>
    </row>
    <row r="104" spans="1:26" ht="15.75">
      <c r="A104" s="7" t="str">
        <f ca="1">IFERROR(__xludf.DUMMYFUNCTION("""COMPUTED_VALUE"""),"ti-ing-753e3546-8e8c-4c1c-b8c0-f410cb9fac7d")</f>
        <v>ti-ing-753e3546-8e8c-4c1c-b8c0-f410cb9fac7d</v>
      </c>
      <c r="B104" s="7" t="str">
        <f ca="1">IFERROR(__xludf.DUMMYFUNCTION("""COMPUTED_VALUE"""),"Agua con Gas 600 ml")</f>
        <v>Agua con Gas 600 ml</v>
      </c>
      <c r="C104" s="8">
        <v>36</v>
      </c>
      <c r="D104" s="21">
        <f ca="1">IFERROR(__xludf.DUMMYFUNCTION("""COMPUTED_VALUE"""),351.4583)</f>
        <v>351.45830000000001</v>
      </c>
      <c r="E104" s="6" t="str">
        <f ca="1">IFERROR(__xludf.DUMMYFUNCTION("""COMPUTED_VALUE"""),"UN")</f>
        <v>UN</v>
      </c>
      <c r="F104" s="6" t="str">
        <f ca="1">IFERROR(__xludf.DUMMYFUNCTION("""COMPUTED_VALUE"""),"Bebestibles")</f>
        <v>Bebestibles</v>
      </c>
      <c r="G104" s="25">
        <f t="shared" ca="1" si="0"/>
        <v>12652.498800000001</v>
      </c>
      <c r="H104" s="25">
        <f t="shared" ca="1" si="1"/>
        <v>2403.9747720000005</v>
      </c>
      <c r="I104" s="25">
        <f t="shared" ca="1" si="2"/>
        <v>15056.473572000003</v>
      </c>
      <c r="J104" s="156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8"/>
      <c r="Z104" s="28"/>
    </row>
    <row r="105" spans="1:26" ht="15.75">
      <c r="A105" s="7" t="str">
        <f ca="1">IFERROR(__xludf.DUMMYFUNCTION("""COMPUTED_VALUE"""),"ti-ing-2d554590-6987-4ebd-8f36-2eaade59201c")</f>
        <v>ti-ing-2d554590-6987-4ebd-8f36-2eaade59201c</v>
      </c>
      <c r="B105" s="7" t="str">
        <f ca="1">IFERROR(__xludf.DUMMYFUNCTION("""COMPUTED_VALUE"""),"Agua sin Gas 600 ml")</f>
        <v>Agua sin Gas 600 ml</v>
      </c>
      <c r="C105" s="8">
        <v>72</v>
      </c>
      <c r="D105" s="21">
        <f ca="1">IFERROR(__xludf.DUMMYFUNCTION("""COMPUTED_VALUE"""),351.4583)</f>
        <v>351.45830000000001</v>
      </c>
      <c r="E105" s="6" t="str">
        <f ca="1">IFERROR(__xludf.DUMMYFUNCTION("""COMPUTED_VALUE"""),"UN")</f>
        <v>UN</v>
      </c>
      <c r="F105" s="6" t="str">
        <f ca="1">IFERROR(__xludf.DUMMYFUNCTION("""COMPUTED_VALUE"""),"Bebestibles")</f>
        <v>Bebestibles</v>
      </c>
      <c r="G105" s="25">
        <f t="shared" ca="1" si="0"/>
        <v>25304.997600000002</v>
      </c>
      <c r="H105" s="25">
        <f t="shared" ca="1" si="1"/>
        <v>4807.949544000001</v>
      </c>
      <c r="I105" s="25">
        <f t="shared" ca="1" si="2"/>
        <v>30112.947144000005</v>
      </c>
      <c r="J105" s="156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8"/>
      <c r="Z105" s="28"/>
    </row>
    <row r="106" spans="1:26" ht="15.75">
      <c r="A106" s="7" t="str">
        <f ca="1">IFERROR(__xludf.DUMMYFUNCTION("""COMPUTED_VALUE"""),"ti-ing-b9e9057f-7448-4457-a7b8-715a2ff5c4ee")</f>
        <v>ti-ing-b9e9057f-7448-4457-a7b8-715a2ff5c4ee</v>
      </c>
      <c r="B106" s="7" t="str">
        <f ca="1">IFERROR(__xludf.DUMMYFUNCTION("""COMPUTED_VALUE"""),"Bebida Power")</f>
        <v>Bebida Power</v>
      </c>
      <c r="C106" s="8">
        <v>38</v>
      </c>
      <c r="D106" s="21">
        <f ca="1">IFERROR(__xludf.DUMMYFUNCTION("""COMPUTED_VALUE"""),1005.389)</f>
        <v>1005.389</v>
      </c>
      <c r="E106" s="6" t="str">
        <f ca="1">IFERROR(__xludf.DUMMYFUNCTION("""COMPUTED_VALUE"""),"UN")</f>
        <v>UN</v>
      </c>
      <c r="F106" s="6" t="str">
        <f ca="1">IFERROR(__xludf.DUMMYFUNCTION("""COMPUTED_VALUE"""),"Bebestibles")</f>
        <v>Bebestibles</v>
      </c>
      <c r="G106" s="25">
        <f t="shared" ca="1" si="0"/>
        <v>38204.781999999999</v>
      </c>
      <c r="H106" s="25">
        <f t="shared" ca="1" si="1"/>
        <v>7258.9085800000003</v>
      </c>
      <c r="I106" s="25">
        <f t="shared" ca="1" si="2"/>
        <v>45463.690580000002</v>
      </c>
      <c r="J106" s="156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8"/>
      <c r="Z106" s="28"/>
    </row>
    <row r="107" spans="1:26" ht="15.75">
      <c r="A107" s="7" t="str">
        <f ca="1">IFERROR(__xludf.DUMMYFUNCTION("""COMPUTED_VALUE"""),"ti-ing-e732c346-01d8-4dfd-8ca6-ff14510c0bd5")</f>
        <v>ti-ing-e732c346-01d8-4dfd-8ca6-ff14510c0bd5</v>
      </c>
      <c r="B107" s="7" t="str">
        <f ca="1">IFERROR(__xludf.DUMMYFUNCTION("""COMPUTED_VALUE"""),"Coca cola 350 cc")</f>
        <v>Coca cola 350 cc</v>
      </c>
      <c r="C107" s="8">
        <v>36</v>
      </c>
      <c r="D107" s="21">
        <f ca="1">IFERROR(__xludf.DUMMYFUNCTION("""COMPUTED_VALUE"""),612.7396)</f>
        <v>612.7396</v>
      </c>
      <c r="E107" s="6" t="str">
        <f ca="1">IFERROR(__xludf.DUMMYFUNCTION("""COMPUTED_VALUE"""),"UN")</f>
        <v>UN</v>
      </c>
      <c r="F107" s="6" t="str">
        <f ca="1">IFERROR(__xludf.DUMMYFUNCTION("""COMPUTED_VALUE"""),"Bebestibles")</f>
        <v>Bebestibles</v>
      </c>
      <c r="G107" s="25">
        <f t="shared" ca="1" si="0"/>
        <v>22058.625599999999</v>
      </c>
      <c r="H107" s="25">
        <f t="shared" ca="1" si="1"/>
        <v>4191.1388639999996</v>
      </c>
      <c r="I107" s="25">
        <f t="shared" ca="1" si="2"/>
        <v>26249.764464</v>
      </c>
      <c r="J107" s="15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8"/>
      <c r="Z107" s="28"/>
    </row>
    <row r="108" spans="1:26" ht="15.75">
      <c r="A108" s="7" t="str">
        <f ca="1">IFERROR(__xludf.DUMMYFUNCTION("""COMPUTED_VALUE"""),"ti-ing-a56c141e-abc8-443a-8266-32d58d78d40c")</f>
        <v>ti-ing-a56c141e-abc8-443a-8266-32d58d78d40c</v>
      </c>
      <c r="B108" s="7" t="str">
        <f ca="1">IFERROR(__xludf.DUMMYFUNCTION("""COMPUTED_VALUE"""),"Coca cola zero 350 cc")</f>
        <v>Coca cola zero 350 cc</v>
      </c>
      <c r="C108" s="8">
        <v>30</v>
      </c>
      <c r="D108" s="21">
        <f ca="1">IFERROR(__xludf.DUMMYFUNCTION("""COMPUTED_VALUE"""),606.5813)</f>
        <v>606.58130000000006</v>
      </c>
      <c r="E108" s="6" t="str">
        <f ca="1">IFERROR(__xludf.DUMMYFUNCTION("""COMPUTED_VALUE"""),"UN")</f>
        <v>UN</v>
      </c>
      <c r="F108" s="6" t="str">
        <f ca="1">IFERROR(__xludf.DUMMYFUNCTION("""COMPUTED_VALUE"""),"Bebestibles")</f>
        <v>Bebestibles</v>
      </c>
      <c r="G108" s="25">
        <f t="shared" ca="1" si="0"/>
        <v>18197.439000000002</v>
      </c>
      <c r="H108" s="25">
        <f t="shared" ca="1" si="1"/>
        <v>3457.5134100000005</v>
      </c>
      <c r="I108" s="25">
        <f t="shared" ca="1" si="2"/>
        <v>21654.952410000002</v>
      </c>
      <c r="J108" s="156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8"/>
      <c r="Z108" s="28"/>
    </row>
    <row r="109" spans="1:26" ht="15.75">
      <c r="A109" s="7" t="str">
        <f ca="1">IFERROR(__xludf.DUMMYFUNCTION("""COMPUTED_VALUE"""),"ti-ing-05138604-76c8-4821-a2f2-16c160cd1a38")</f>
        <v>ti-ing-05138604-76c8-4821-a2f2-16c160cd1a38</v>
      </c>
      <c r="B109" s="7" t="str">
        <f ca="1">IFERROR(__xludf.DUMMYFUNCTION("""COMPUTED_VALUE"""),"Despacho")</f>
        <v>Despacho</v>
      </c>
      <c r="C109" s="8">
        <v>0</v>
      </c>
      <c r="D109" s="21">
        <f ca="1">IFERROR(__xludf.DUMMYFUNCTION("""COMPUTED_VALUE"""),20079)</f>
        <v>20079</v>
      </c>
      <c r="E109" s="6" t="str">
        <f ca="1">IFERROR(__xludf.DUMMYFUNCTION("""COMPUTED_VALUE"""),"UN")</f>
        <v>UN</v>
      </c>
      <c r="F109" s="6" t="str">
        <f ca="1">IFERROR(__xludf.DUMMYFUNCTION("""COMPUTED_VALUE"""),"Bebestibles")</f>
        <v>Bebestibles</v>
      </c>
      <c r="G109" s="25">
        <f t="shared" ca="1" si="0"/>
        <v>0</v>
      </c>
      <c r="H109" s="25">
        <f t="shared" ca="1" si="1"/>
        <v>0</v>
      </c>
      <c r="I109" s="25">
        <f t="shared" ca="1" si="2"/>
        <v>0</v>
      </c>
      <c r="J109" s="156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8"/>
      <c r="Z109" s="28"/>
    </row>
    <row r="110" spans="1:26" ht="15.75">
      <c r="A110" s="7" t="str">
        <f ca="1">IFERROR(__xludf.DUMMYFUNCTION("""COMPUTED_VALUE"""),"ti-ing-5b9f998a-671c-474e-88c0-d5e3e2078b8c")</f>
        <v>ti-ing-5b9f998a-671c-474e-88c0-d5e3e2078b8c</v>
      </c>
      <c r="B110" s="7" t="str">
        <f ca="1">IFERROR(__xludf.DUMMYFUNCTION("""COMPUTED_VALUE"""),"Fanta 350 cc")</f>
        <v>Fanta 350 cc</v>
      </c>
      <c r="C110" s="8">
        <v>30</v>
      </c>
      <c r="D110" s="21">
        <f ca="1">IFERROR(__xludf.DUMMYFUNCTION("""COMPUTED_VALUE"""),612.715)</f>
        <v>612.71500000000003</v>
      </c>
      <c r="E110" s="6" t="str">
        <f ca="1">IFERROR(__xludf.DUMMYFUNCTION("""COMPUTED_VALUE"""),"UN")</f>
        <v>UN</v>
      </c>
      <c r="F110" s="6" t="str">
        <f ca="1">IFERROR(__xludf.DUMMYFUNCTION("""COMPUTED_VALUE"""),"Bebestibles")</f>
        <v>Bebestibles</v>
      </c>
      <c r="G110" s="25">
        <f t="shared" ca="1" si="0"/>
        <v>18381.45</v>
      </c>
      <c r="H110" s="25">
        <f t="shared" ca="1" si="1"/>
        <v>3492.4755</v>
      </c>
      <c r="I110" s="25">
        <f t="shared" ca="1" si="2"/>
        <v>21873.925500000001</v>
      </c>
      <c r="J110" s="156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8"/>
      <c r="Z110" s="28"/>
    </row>
    <row r="111" spans="1:26" ht="15.75">
      <c r="A111" s="7" t="str">
        <f ca="1">IFERROR(__xludf.DUMMYFUNCTION("""COMPUTED_VALUE"""),"ti-ing-42b01feb-e855-4f88-acf1-66c2f819bf59")</f>
        <v>ti-ing-42b01feb-e855-4f88-acf1-66c2f819bf59</v>
      </c>
      <c r="B111" s="7" t="str">
        <f ca="1">IFERROR(__xludf.DUMMYFUNCTION("""COMPUTED_VALUE"""),"Hielo cubos")</f>
        <v>Hielo cubos</v>
      </c>
      <c r="C111" s="8">
        <v>0</v>
      </c>
      <c r="D111" s="21">
        <f ca="1">IFERROR(__xludf.DUMMYFUNCTION("""COMPUTED_VALUE"""),546.2273)</f>
        <v>546.22730000000001</v>
      </c>
      <c r="E111" s="6" t="str">
        <f ca="1">IFERROR(__xludf.DUMMYFUNCTION("""COMPUTED_VALUE"""),"kg")</f>
        <v>kg</v>
      </c>
      <c r="F111" s="6" t="str">
        <f ca="1">IFERROR(__xludf.DUMMYFUNCTION("""COMPUTED_VALUE"""),"Bebestibles")</f>
        <v>Bebestibles</v>
      </c>
      <c r="G111" s="25">
        <f t="shared" ca="1" si="0"/>
        <v>0</v>
      </c>
      <c r="H111" s="25">
        <f t="shared" ca="1" si="1"/>
        <v>0</v>
      </c>
      <c r="I111" s="25">
        <f t="shared" ca="1" si="2"/>
        <v>0</v>
      </c>
      <c r="J111" s="156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8"/>
      <c r="Z111" s="28"/>
    </row>
    <row r="112" spans="1:26" ht="15.75">
      <c r="A112" s="7" t="str">
        <f ca="1">IFERROR(__xludf.DUMMYFUNCTION("""COMPUTED_VALUE"""),"ti-ing-131bfafa-178d-452c-9100-f87e34267a2f")</f>
        <v>ti-ing-131bfafa-178d-452c-9100-f87e34267a2f</v>
      </c>
      <c r="B112" s="7" t="str">
        <f ca="1">IFERROR(__xludf.DUMMYFUNCTION("""COMPUTED_VALUE"""),"Hielo frappe")</f>
        <v>Hielo frappe</v>
      </c>
      <c r="C112" s="8">
        <v>15</v>
      </c>
      <c r="D112" s="21">
        <f ca="1">IFERROR(__xludf.DUMMYFUNCTION("""COMPUTED_VALUE"""),420)</f>
        <v>420</v>
      </c>
      <c r="E112" s="6" t="str">
        <f ca="1">IFERROR(__xludf.DUMMYFUNCTION("""COMPUTED_VALUE"""),"KG")</f>
        <v>KG</v>
      </c>
      <c r="F112" s="6" t="str">
        <f ca="1">IFERROR(__xludf.DUMMYFUNCTION("""COMPUTED_VALUE"""),"Bebestibles")</f>
        <v>Bebestibles</v>
      </c>
      <c r="G112" s="25">
        <f t="shared" ca="1" si="0"/>
        <v>6300</v>
      </c>
      <c r="H112" s="25">
        <f t="shared" ca="1" si="1"/>
        <v>1197</v>
      </c>
      <c r="I112" s="25">
        <f t="shared" ca="1" si="2"/>
        <v>7497</v>
      </c>
      <c r="J112" s="156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8"/>
      <c r="Z112" s="28"/>
    </row>
    <row r="113" spans="1:26" ht="15.75">
      <c r="A113" s="7" t="str">
        <f ca="1">IFERROR(__xludf.DUMMYFUNCTION("""COMPUTED_VALUE"""),"ti-ing-27365f0e-3bbd-48de-bc63-541a722a9716")</f>
        <v>ti-ing-27365f0e-3bbd-48de-bc63-541a722a9716</v>
      </c>
      <c r="B113" s="7" t="str">
        <f ca="1">IFERROR(__xludf.DUMMYFUNCTION("""COMPUTED_VALUE"""),"Pulpa Chirimoya")</f>
        <v>Pulpa Chirimoya</v>
      </c>
      <c r="C113" s="8">
        <v>10</v>
      </c>
      <c r="D113" s="21">
        <f ca="1">IFERROR(__xludf.DUMMYFUNCTION("""COMPUTED_VALUE"""),5290)</f>
        <v>5290</v>
      </c>
      <c r="E113" s="6" t="str">
        <f ca="1">IFERROR(__xludf.DUMMYFUNCTION("""COMPUTED_VALUE"""),"KG")</f>
        <v>KG</v>
      </c>
      <c r="F113" s="6" t="str">
        <f ca="1">IFERROR(__xludf.DUMMYFUNCTION("""COMPUTED_VALUE"""),"Bebestibles")</f>
        <v>Bebestibles</v>
      </c>
      <c r="G113" s="25">
        <f t="shared" ca="1" si="0"/>
        <v>52900</v>
      </c>
      <c r="H113" s="25">
        <f t="shared" ca="1" si="1"/>
        <v>10051</v>
      </c>
      <c r="I113" s="25">
        <f t="shared" ca="1" si="2"/>
        <v>62951</v>
      </c>
      <c r="J113" s="156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8"/>
      <c r="Z113" s="28"/>
    </row>
    <row r="114" spans="1:26" ht="15.75">
      <c r="A114" s="7" t="str">
        <f ca="1">IFERROR(__xludf.DUMMYFUNCTION("""COMPUTED_VALUE"""),"ti-ing-c61601c6-808a-4073-be84-3536b4f328af")</f>
        <v>ti-ing-c61601c6-808a-4073-be84-3536b4f328af</v>
      </c>
      <c r="B114" s="7" t="str">
        <f ca="1">IFERROR(__xludf.DUMMYFUNCTION("""COMPUTED_VALUE"""),"Pulpa Frambuesa")</f>
        <v>Pulpa Frambuesa</v>
      </c>
      <c r="C114" s="8">
        <v>10</v>
      </c>
      <c r="D114" s="21">
        <f ca="1">IFERROR(__xludf.DUMMYFUNCTION("""COMPUTED_VALUE"""),6800)</f>
        <v>6800</v>
      </c>
      <c r="E114" s="6" t="str">
        <f ca="1">IFERROR(__xludf.DUMMYFUNCTION("""COMPUTED_VALUE"""),"KG")</f>
        <v>KG</v>
      </c>
      <c r="F114" s="6" t="str">
        <f ca="1">IFERROR(__xludf.DUMMYFUNCTION("""COMPUTED_VALUE"""),"Bebestibles")</f>
        <v>Bebestibles</v>
      </c>
      <c r="G114" s="25">
        <f t="shared" ca="1" si="0"/>
        <v>68000</v>
      </c>
      <c r="H114" s="25">
        <f t="shared" ca="1" si="1"/>
        <v>12920</v>
      </c>
      <c r="I114" s="25">
        <f t="shared" ca="1" si="2"/>
        <v>80920</v>
      </c>
      <c r="J114" s="156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8"/>
      <c r="Z114" s="28"/>
    </row>
    <row r="115" spans="1:26" ht="15.75">
      <c r="A115" s="7" t="str">
        <f ca="1">IFERROR(__xludf.DUMMYFUNCTION("""COMPUTED_VALUE"""),"ti-ing-0a6dd713-e7a7-4872-af86-42c45add6bdf")</f>
        <v>ti-ing-0a6dd713-e7a7-4872-af86-42c45add6bdf</v>
      </c>
      <c r="B115" s="7" t="str">
        <f ca="1">IFERROR(__xludf.DUMMYFUNCTION("""COMPUTED_VALUE"""),"Pulpa Frutilla")</f>
        <v>Pulpa Frutilla</v>
      </c>
      <c r="C115" s="8">
        <v>10</v>
      </c>
      <c r="D115" s="21">
        <f ca="1">IFERROR(__xludf.DUMMYFUNCTION("""COMPUTED_VALUE"""),2950)</f>
        <v>2950</v>
      </c>
      <c r="E115" s="6" t="str">
        <f ca="1">IFERROR(__xludf.DUMMYFUNCTION("""COMPUTED_VALUE"""),"KG")</f>
        <v>KG</v>
      </c>
      <c r="F115" s="6" t="str">
        <f ca="1">IFERROR(__xludf.DUMMYFUNCTION("""COMPUTED_VALUE"""),"Bebestibles")</f>
        <v>Bebestibles</v>
      </c>
      <c r="G115" s="25">
        <f t="shared" ca="1" si="0"/>
        <v>29500</v>
      </c>
      <c r="H115" s="25">
        <f t="shared" ca="1" si="1"/>
        <v>5605</v>
      </c>
      <c r="I115" s="25">
        <f t="shared" ca="1" si="2"/>
        <v>35105</v>
      </c>
      <c r="J115" s="156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8"/>
      <c r="Z115" s="28"/>
    </row>
    <row r="116" spans="1:26" ht="15.75">
      <c r="A116" s="7" t="str">
        <f ca="1">IFERROR(__xludf.DUMMYFUNCTION("""COMPUTED_VALUE"""),"ti-ing-cfdaf79a-6246-42a9-afab-7cba8ae515ca")</f>
        <v>ti-ing-cfdaf79a-6246-42a9-afab-7cba8ae515ca</v>
      </c>
      <c r="B116" s="7" t="str">
        <f ca="1">IFERROR(__xludf.DUMMYFUNCTION("""COMPUTED_VALUE"""),"Pulpa Mango")</f>
        <v>Pulpa Mango</v>
      </c>
      <c r="C116" s="8">
        <v>10</v>
      </c>
      <c r="D116" s="21">
        <f ca="1">IFERROR(__xludf.DUMMYFUNCTION("""COMPUTED_VALUE"""),4490)</f>
        <v>4490</v>
      </c>
      <c r="E116" s="6" t="str">
        <f ca="1">IFERROR(__xludf.DUMMYFUNCTION("""COMPUTED_VALUE"""),"KG")</f>
        <v>KG</v>
      </c>
      <c r="F116" s="6" t="str">
        <f ca="1">IFERROR(__xludf.DUMMYFUNCTION("""COMPUTED_VALUE"""),"Bebestibles")</f>
        <v>Bebestibles</v>
      </c>
      <c r="G116" s="25">
        <f t="shared" ca="1" si="0"/>
        <v>44900</v>
      </c>
      <c r="H116" s="25">
        <f t="shared" ca="1" si="1"/>
        <v>8531</v>
      </c>
      <c r="I116" s="25">
        <f t="shared" ca="1" si="2"/>
        <v>53431</v>
      </c>
      <c r="J116" s="156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8"/>
      <c r="Z116" s="28"/>
    </row>
    <row r="117" spans="1:26" ht="15.75">
      <c r="A117" s="7" t="str">
        <f ca="1">IFERROR(__xludf.DUMMYFUNCTION("""COMPUTED_VALUE"""),"ti-ing-9d873397-e256-4684-ace9-5de471cf4acc")</f>
        <v>ti-ing-9d873397-e256-4684-ace9-5de471cf4acc</v>
      </c>
      <c r="B117" s="7" t="str">
        <f ca="1">IFERROR(__xludf.DUMMYFUNCTION("""COMPUTED_VALUE"""),"Pulpa Maracuya C/Pepas")</f>
        <v>Pulpa Maracuya C/Pepas</v>
      </c>
      <c r="C117" s="8">
        <v>0</v>
      </c>
      <c r="D117" s="21">
        <f ca="1">IFERROR(__xludf.DUMMYFUNCTION("""COMPUTED_VALUE"""),5590)</f>
        <v>5590</v>
      </c>
      <c r="E117" s="6" t="str">
        <f ca="1">IFERROR(__xludf.DUMMYFUNCTION("""COMPUTED_VALUE"""),"KG")</f>
        <v>KG</v>
      </c>
      <c r="F117" s="6" t="str">
        <f ca="1">IFERROR(__xludf.DUMMYFUNCTION("""COMPUTED_VALUE"""),"Bebestibles")</f>
        <v>Bebestibles</v>
      </c>
      <c r="G117" s="25">
        <f t="shared" ca="1" si="0"/>
        <v>0</v>
      </c>
      <c r="H117" s="25"/>
      <c r="I117" s="25"/>
      <c r="J117" s="156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8"/>
      <c r="Z117" s="28"/>
    </row>
    <row r="118" spans="1:26" ht="15.75">
      <c r="A118" s="7" t="str">
        <f ca="1">IFERROR(__xludf.DUMMYFUNCTION("""COMPUTED_VALUE"""),"ti-ing-836eb301-0b64-45eb-89be-be872a9297e4")</f>
        <v>ti-ing-836eb301-0b64-45eb-89be-be872a9297e4</v>
      </c>
      <c r="B118" s="7" t="str">
        <f ca="1">IFERROR(__xludf.DUMMYFUNCTION("""COMPUTED_VALUE"""),"Pulpa Maracuya S/Pepas")</f>
        <v>Pulpa Maracuya S/Pepas</v>
      </c>
      <c r="C118" s="8">
        <v>20</v>
      </c>
      <c r="D118" s="21">
        <f ca="1">IFERROR(__xludf.DUMMYFUNCTION("""COMPUTED_VALUE"""),5990)</f>
        <v>5990</v>
      </c>
      <c r="E118" s="6" t="str">
        <f ca="1">IFERROR(__xludf.DUMMYFUNCTION("""COMPUTED_VALUE"""),"KG")</f>
        <v>KG</v>
      </c>
      <c r="F118" s="6" t="str">
        <f ca="1">IFERROR(__xludf.DUMMYFUNCTION("""COMPUTED_VALUE"""),"Bebestibles")</f>
        <v>Bebestibles</v>
      </c>
      <c r="G118" s="25">
        <f t="shared" ca="1" si="0"/>
        <v>119800</v>
      </c>
      <c r="H118" s="25">
        <f t="shared" ref="H118:H121" ca="1" si="4">G118*19%</f>
        <v>22762</v>
      </c>
      <c r="I118" s="25">
        <f t="shared" ref="I118:I121" ca="1" si="5">G118+H118</f>
        <v>142562</v>
      </c>
      <c r="J118" s="156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8"/>
      <c r="Z118" s="28"/>
    </row>
    <row r="119" spans="1:26" ht="15.75">
      <c r="A119" s="7" t="str">
        <f ca="1">IFERROR(__xludf.DUMMYFUNCTION("""COMPUTED_VALUE"""),"ti-ing-f5eb30b4-794d-42f5-a2dd-41746ad30690")</f>
        <v>ti-ing-f5eb30b4-794d-42f5-a2dd-41746ad30690</v>
      </c>
      <c r="B119" s="7" t="str">
        <f ca="1">IFERROR(__xludf.DUMMYFUNCTION("""COMPUTED_VALUE"""),"Pulpa Melon")</f>
        <v>Pulpa Melon</v>
      </c>
      <c r="C119" s="8">
        <v>15</v>
      </c>
      <c r="D119" s="21">
        <f ca="1">IFERROR(__xludf.DUMMYFUNCTION("""COMPUTED_VALUE"""),3100)</f>
        <v>3100</v>
      </c>
      <c r="E119" s="6" t="str">
        <f ca="1">IFERROR(__xludf.DUMMYFUNCTION("""COMPUTED_VALUE"""),"KG")</f>
        <v>KG</v>
      </c>
      <c r="F119" s="6" t="str">
        <f ca="1">IFERROR(__xludf.DUMMYFUNCTION("""COMPUTED_VALUE"""),"Bebestibles")</f>
        <v>Bebestibles</v>
      </c>
      <c r="G119" s="25">
        <f t="shared" ca="1" si="0"/>
        <v>46500</v>
      </c>
      <c r="H119" s="25">
        <f t="shared" ca="1" si="4"/>
        <v>8835</v>
      </c>
      <c r="I119" s="25">
        <f t="shared" ca="1" si="5"/>
        <v>55335</v>
      </c>
      <c r="J119" s="156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8"/>
      <c r="Z119" s="28"/>
    </row>
    <row r="120" spans="1:26" ht="15.75">
      <c r="A120" s="7" t="str">
        <f ca="1">IFERROR(__xludf.DUMMYFUNCTION("""COMPUTED_VALUE"""),"ti-ing-f5eb30b4-794d-42f5-a2dd-41746ad30691")</f>
        <v>ti-ing-f5eb30b4-794d-42f5-a2dd-41746ad30691</v>
      </c>
      <c r="B120" s="7" t="str">
        <f ca="1">IFERROR(__xludf.DUMMYFUNCTION("""COMPUTED_VALUE"""),"Pulpa naranja")</f>
        <v>Pulpa naranja</v>
      </c>
      <c r="C120" s="8">
        <v>0</v>
      </c>
      <c r="D120" s="21">
        <f ca="1">IFERROR(__xludf.DUMMYFUNCTION("""COMPUTED_VALUE"""),4715)</f>
        <v>4715</v>
      </c>
      <c r="E120" s="6" t="str">
        <f ca="1">IFERROR(__xludf.DUMMYFUNCTION("""COMPUTED_VALUE"""),"KG")</f>
        <v>KG</v>
      </c>
      <c r="F120" s="6" t="str">
        <f ca="1">IFERROR(__xludf.DUMMYFUNCTION("""COMPUTED_VALUE"""),"Bebestibles")</f>
        <v>Bebestibles</v>
      </c>
      <c r="G120" s="25">
        <f t="shared" ca="1" si="0"/>
        <v>0</v>
      </c>
      <c r="H120" s="25">
        <f t="shared" ca="1" si="4"/>
        <v>0</v>
      </c>
      <c r="I120" s="25">
        <f t="shared" ca="1" si="5"/>
        <v>0</v>
      </c>
      <c r="J120" s="156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8"/>
      <c r="Z120" s="28"/>
    </row>
    <row r="121" spans="1:26" ht="15.75">
      <c r="A121" s="7" t="str">
        <f ca="1">IFERROR(__xludf.DUMMYFUNCTION("""COMPUTED_VALUE"""),"ti-ing-05169dad-82a2-4ad5-abca-f8039dfa9275")</f>
        <v>ti-ing-05169dad-82a2-4ad5-abca-f8039dfa9275</v>
      </c>
      <c r="B121" s="7" t="str">
        <f ca="1">IFERROR(__xludf.DUMMYFUNCTION("""COMPUTED_VALUE"""),"Pulpa Piña")</f>
        <v>Pulpa Piña</v>
      </c>
      <c r="C121" s="8">
        <v>20</v>
      </c>
      <c r="D121" s="21">
        <f ca="1">IFERROR(__xludf.DUMMYFUNCTION("""COMPUTED_VALUE"""),3600)</f>
        <v>3600</v>
      </c>
      <c r="E121" s="6" t="str">
        <f ca="1">IFERROR(__xludf.DUMMYFUNCTION("""COMPUTED_VALUE"""),"KG")</f>
        <v>KG</v>
      </c>
      <c r="F121" s="6" t="str">
        <f ca="1">IFERROR(__xludf.DUMMYFUNCTION("""COMPUTED_VALUE"""),"Bebestibles")</f>
        <v>Bebestibles</v>
      </c>
      <c r="G121" s="25">
        <f t="shared" ca="1" si="0"/>
        <v>72000</v>
      </c>
      <c r="H121" s="25">
        <f t="shared" ca="1" si="4"/>
        <v>13680</v>
      </c>
      <c r="I121" s="25">
        <f t="shared" ca="1" si="5"/>
        <v>85680</v>
      </c>
      <c r="J121" s="156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8"/>
      <c r="Z121" s="28"/>
    </row>
    <row r="122" spans="1:26" ht="15.75">
      <c r="A122" s="7" t="str">
        <f ca="1">IFERROR(__xludf.DUMMYFUNCTION("""COMPUTED_VALUE"""),"ti-ing-17dc3026-6b74-4df3-a8d6-9e28e708f104")</f>
        <v>ti-ing-17dc3026-6b74-4df3-a8d6-9e28e708f104</v>
      </c>
      <c r="B122" s="7" t="str">
        <f ca="1">IFERROR(__xludf.DUMMYFUNCTION("""COMPUTED_VALUE"""),"Sprite 350 cc")</f>
        <v>Sprite 350 cc</v>
      </c>
      <c r="C122" s="8">
        <v>24</v>
      </c>
      <c r="D122" s="21">
        <f ca="1">IFERROR(__xludf.DUMMYFUNCTION("""COMPUTED_VALUE"""),606.5583)</f>
        <v>606.55830000000003</v>
      </c>
      <c r="E122" s="6" t="str">
        <f ca="1">IFERROR(__xludf.DUMMYFUNCTION("""COMPUTED_VALUE"""),"UN")</f>
        <v>UN</v>
      </c>
      <c r="F122" s="6" t="str">
        <f ca="1">IFERROR(__xludf.DUMMYFUNCTION("""COMPUTED_VALUE"""),"Bebestibles")</f>
        <v>Bebestibles</v>
      </c>
      <c r="G122" s="25">
        <f t="shared" ca="1" si="0"/>
        <v>14557.3992</v>
      </c>
      <c r="H122" s="25"/>
      <c r="I122" s="25"/>
      <c r="J122" s="156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8"/>
      <c r="Z122" s="28"/>
    </row>
    <row r="123" spans="1:26" ht="15.75">
      <c r="A123" s="7" t="str">
        <f ca="1">IFERROR(__xludf.DUMMYFUNCTION("""COMPUTED_VALUE"""),"ti-ing-925cd36a-a250-4073-9075-f890c840ff54")</f>
        <v>ti-ing-925cd36a-a250-4073-9075-f890c840ff54</v>
      </c>
      <c r="B123" s="7" t="str">
        <f ca="1">IFERROR(__xludf.DUMMYFUNCTION("""COMPUTED_VALUE"""),"Sprite Zero 350 cc")</f>
        <v>Sprite Zero 350 cc</v>
      </c>
      <c r="C123" s="8">
        <v>18</v>
      </c>
      <c r="D123" s="21">
        <f ca="1">IFERROR(__xludf.DUMMYFUNCTION("""COMPUTED_VALUE"""),606.5583)</f>
        <v>606.55830000000003</v>
      </c>
      <c r="E123" s="6" t="str">
        <f ca="1">IFERROR(__xludf.DUMMYFUNCTION("""COMPUTED_VALUE"""),"UN")</f>
        <v>UN</v>
      </c>
      <c r="F123" s="6" t="str">
        <f ca="1">IFERROR(__xludf.DUMMYFUNCTION("""COMPUTED_VALUE"""),"Bebestibles")</f>
        <v>Bebestibles</v>
      </c>
      <c r="G123" s="25">
        <f t="shared" ca="1" si="0"/>
        <v>10918.0494</v>
      </c>
      <c r="H123" s="25">
        <f t="shared" ref="H123:H300" ca="1" si="6">G123*19%</f>
        <v>2074.4293859999998</v>
      </c>
      <c r="I123" s="25">
        <f t="shared" ref="I123:I300" ca="1" si="7">G123+H123</f>
        <v>12992.478786</v>
      </c>
      <c r="J123" s="156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8"/>
      <c r="Z123" s="28"/>
    </row>
    <row r="124" spans="1:26" ht="15.75">
      <c r="A124" s="7" t="str">
        <f ca="1">IFERROR(__xludf.DUMMYFUNCTION("""COMPUTED_VALUE"""),"ti-ing-f76fed7a-9b00-4997-8f9e-73bd5e249be8")</f>
        <v>ti-ing-f76fed7a-9b00-4997-8f9e-73bd5e249be8</v>
      </c>
      <c r="B124" s="7" t="str">
        <f ca="1">IFERROR(__xludf.DUMMYFUNCTION("""COMPUTED_VALUE"""),"Café Descafeinado 504 (caja)")</f>
        <v>Café Descafeinado 504 (caja)</v>
      </c>
      <c r="C124" s="8">
        <v>0</v>
      </c>
      <c r="D124" s="21">
        <f ca="1">IFERROR(__xludf.DUMMYFUNCTION("""COMPUTED_VALUE"""),519.9)</f>
        <v>519.9</v>
      </c>
      <c r="E124" s="6" t="str">
        <f ca="1">IFERROR(__xludf.DUMMYFUNCTION("""COMPUTED_VALUE"""),"un")</f>
        <v>un</v>
      </c>
      <c r="F124" s="6" t="str">
        <f ca="1">IFERROR(__xludf.DUMMYFUNCTION("""COMPUTED_VALUE"""),"Cafetería")</f>
        <v>Cafetería</v>
      </c>
      <c r="G124" s="25">
        <f t="shared" ca="1" si="0"/>
        <v>0</v>
      </c>
      <c r="H124" s="25">
        <f t="shared" ca="1" si="6"/>
        <v>0</v>
      </c>
      <c r="I124" s="25">
        <f t="shared" ca="1" si="7"/>
        <v>0</v>
      </c>
      <c r="J124" s="156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8"/>
      <c r="Z124" s="28"/>
    </row>
    <row r="125" spans="1:26" ht="15.75">
      <c r="A125" s="7" t="str">
        <f ca="1">IFERROR(__xludf.DUMMYFUNCTION("""COMPUTED_VALUE"""),"ti-ing-7999dd71-66f3-480c-ac93-ff256e0b1f76")</f>
        <v>ti-ing-7999dd71-66f3-480c-ac93-ff256e0b1f76</v>
      </c>
      <c r="B125" s="7" t="str">
        <f ca="1">IFERROR(__xludf.DUMMYFUNCTION("""COMPUTED_VALUE"""),"Café grano 1k")</f>
        <v>Café grano 1k</v>
      </c>
      <c r="C125" s="8">
        <v>16</v>
      </c>
      <c r="D125" s="21">
        <f ca="1">IFERROR(__xludf.DUMMYFUNCTION("""COMPUTED_VALUE"""),18705)</f>
        <v>18705</v>
      </c>
      <c r="E125" s="6" t="str">
        <f ca="1">IFERROR(__xludf.DUMMYFUNCTION("""COMPUTED_VALUE"""),"KG")</f>
        <v>KG</v>
      </c>
      <c r="F125" s="6" t="str">
        <f ca="1">IFERROR(__xludf.DUMMYFUNCTION("""COMPUTED_VALUE"""),"Cafetería")</f>
        <v>Cafetería</v>
      </c>
      <c r="G125" s="25">
        <f t="shared" ca="1" si="0"/>
        <v>299280</v>
      </c>
      <c r="H125" s="25">
        <f t="shared" ca="1" si="6"/>
        <v>56863.199999999997</v>
      </c>
      <c r="I125" s="25">
        <f t="shared" ca="1" si="7"/>
        <v>356143.2</v>
      </c>
      <c r="J125" s="156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8"/>
      <c r="Z125" s="28"/>
    </row>
    <row r="126" spans="1:26" ht="15.75">
      <c r="A126" s="7" t="str">
        <f ca="1">IFERROR(__xludf.DUMMYFUNCTION("""COMPUTED_VALUE"""),"ti-ing-73128f7c-be42-49de-8aba-c9a9a60678a0")</f>
        <v>ti-ing-73128f7c-be42-49de-8aba-c9a9a60678a0</v>
      </c>
      <c r="B126" s="7" t="str">
        <f ca="1">IFERROR(__xludf.DUMMYFUNCTION("""COMPUTED_VALUE"""),"Chai En Polvo 504 (bolsa 1,8 kg)")</f>
        <v>Chai En Polvo 504 (bolsa 1,8 kg)</v>
      </c>
      <c r="C126" s="8">
        <v>3.6</v>
      </c>
      <c r="D126" s="21">
        <f ca="1">IFERROR(__xludf.DUMMYFUNCTION("""COMPUTED_VALUE"""),21250)</f>
        <v>21250</v>
      </c>
      <c r="E126" s="6" t="str">
        <f ca="1">IFERROR(__xludf.DUMMYFUNCTION("""COMPUTED_VALUE"""),"Kg")</f>
        <v>Kg</v>
      </c>
      <c r="F126" s="6" t="str">
        <f ca="1">IFERROR(__xludf.DUMMYFUNCTION("""COMPUTED_VALUE"""),"Cafetería")</f>
        <v>Cafetería</v>
      </c>
      <c r="G126" s="25">
        <f t="shared" ca="1" si="0"/>
        <v>76500</v>
      </c>
      <c r="H126" s="25">
        <f t="shared" ca="1" si="6"/>
        <v>14535</v>
      </c>
      <c r="I126" s="25">
        <f t="shared" ca="1" si="7"/>
        <v>91035</v>
      </c>
      <c r="J126" s="156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8"/>
      <c r="Z126" s="28"/>
    </row>
    <row r="127" spans="1:26" ht="15.75">
      <c r="A127" s="7" t="str">
        <f ca="1">IFERROR(__xludf.DUMMYFUNCTION("""COMPUTED_VALUE"""),"ti-ing-b9b128e7-f3d3-420f-8ded-36abfbbf64c9")</f>
        <v>ti-ing-b9b128e7-f3d3-420f-8ded-36abfbbf64c9</v>
      </c>
      <c r="B127" s="7" t="str">
        <f ca="1">IFERROR(__xludf.DUMMYFUNCTION("""COMPUTED_VALUE"""),"Chocolate en polvo 504 (bolsa 2 kg)")</f>
        <v>Chocolate en polvo 504 (bolsa 2 kg)</v>
      </c>
      <c r="C127" s="8">
        <v>4</v>
      </c>
      <c r="D127" s="21">
        <f ca="1">IFERROR(__xludf.DUMMYFUNCTION("""COMPUTED_VALUE"""),13991.5)</f>
        <v>13991.5</v>
      </c>
      <c r="E127" s="6" t="str">
        <f ca="1">IFERROR(__xludf.DUMMYFUNCTION("""COMPUTED_VALUE"""),"KG")</f>
        <v>KG</v>
      </c>
      <c r="F127" s="6" t="str">
        <f ca="1">IFERROR(__xludf.DUMMYFUNCTION("""COMPUTED_VALUE"""),"Cafetería")</f>
        <v>Cafetería</v>
      </c>
      <c r="G127" s="25">
        <f t="shared" ca="1" si="0"/>
        <v>55966</v>
      </c>
      <c r="H127" s="25">
        <f t="shared" ca="1" si="6"/>
        <v>10633.54</v>
      </c>
      <c r="I127" s="25">
        <f t="shared" ca="1" si="7"/>
        <v>66599.540000000008</v>
      </c>
      <c r="J127" s="156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8"/>
      <c r="Z127" s="28"/>
    </row>
    <row r="128" spans="1:26" ht="15.75">
      <c r="A128" s="7" t="str">
        <f ca="1">IFERROR(__xludf.DUMMYFUNCTION("""COMPUTED_VALUE"""),"ti-ing-60b67dd6-c83d-47fb-ac43-4a397918a54a")</f>
        <v>ti-ing-60b67dd6-c83d-47fb-ac43-4a397918a54a</v>
      </c>
      <c r="B128" s="7" t="str">
        <f ca="1">IFERROR(__xludf.DUMMYFUNCTION("""COMPUTED_VALUE"""),"Chocolate Liquido")</f>
        <v>Chocolate Liquido</v>
      </c>
      <c r="C128" s="8">
        <v>2</v>
      </c>
      <c r="D128" s="21">
        <f ca="1">IFERROR(__xludf.DUMMYFUNCTION("""COMPUTED_VALUE"""),3360)</f>
        <v>3360</v>
      </c>
      <c r="E128" s="6" t="str">
        <f ca="1">IFERROR(__xludf.DUMMYFUNCTION("""COMPUTED_VALUE"""),"un")</f>
        <v>un</v>
      </c>
      <c r="F128" s="6" t="str">
        <f ca="1">IFERROR(__xludf.DUMMYFUNCTION("""COMPUTED_VALUE"""),"Cafetería")</f>
        <v>Cafetería</v>
      </c>
      <c r="G128" s="25">
        <f t="shared" ca="1" si="0"/>
        <v>6720</v>
      </c>
      <c r="H128" s="25">
        <f t="shared" ca="1" si="6"/>
        <v>1276.8</v>
      </c>
      <c r="I128" s="25">
        <f t="shared" ca="1" si="7"/>
        <v>7996.8</v>
      </c>
      <c r="J128" s="156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8"/>
      <c r="Z128" s="28"/>
    </row>
    <row r="129" spans="1:26" ht="15.75">
      <c r="A129" s="7" t="str">
        <f ca="1">IFERROR(__xludf.DUMMYFUNCTION("""COMPUTED_VALUE"""),"ti-ing-7d8d02af-ef1d-4855-8b49-db888802881d")</f>
        <v>ti-ing-7d8d02af-ef1d-4855-8b49-db888802881d</v>
      </c>
      <c r="B129" s="7" t="str">
        <f ca="1">IFERROR(__xludf.DUMMYFUNCTION("""COMPUTED_VALUE"""),"Mashmellows")</f>
        <v>Mashmellows</v>
      </c>
      <c r="C129" s="8">
        <v>4</v>
      </c>
      <c r="D129" s="21">
        <f ca="1">IFERROR(__xludf.DUMMYFUNCTION("""COMPUTED_VALUE"""),1512.733)</f>
        <v>1512.7329999999999</v>
      </c>
      <c r="E129" s="6" t="str">
        <f ca="1">IFERROR(__xludf.DUMMYFUNCTION("""COMPUTED_VALUE"""),"Kg")</f>
        <v>Kg</v>
      </c>
      <c r="F129" s="6" t="str">
        <f ca="1">IFERROR(__xludf.DUMMYFUNCTION("""COMPUTED_VALUE"""),"Cafetería")</f>
        <v>Cafetería</v>
      </c>
      <c r="G129" s="25">
        <f t="shared" ca="1" si="0"/>
        <v>6050.9319999999998</v>
      </c>
      <c r="H129" s="25">
        <f t="shared" ca="1" si="6"/>
        <v>1149.6770799999999</v>
      </c>
      <c r="I129" s="25">
        <f t="shared" ca="1" si="7"/>
        <v>7200.6090800000002</v>
      </c>
      <c r="J129" s="156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8"/>
      <c r="Z129" s="28"/>
    </row>
    <row r="130" spans="1:26" ht="15.75">
      <c r="A130" s="7"/>
      <c r="B130" s="7" t="str">
        <f ca="1">IFERROR(__xludf.DUMMYFUNCTION("""COMPUTED_VALUE"""),"Matcha")</f>
        <v>Matcha</v>
      </c>
      <c r="C130" s="8">
        <v>0</v>
      </c>
      <c r="D130" s="21">
        <f ca="1">IFERROR(__xludf.DUMMYFUNCTION("""COMPUTED_VALUE"""),133333)</f>
        <v>133333</v>
      </c>
      <c r="E130" s="6" t="str">
        <f ca="1">IFERROR(__xludf.DUMMYFUNCTION("""COMPUTED_VALUE"""),"KG")</f>
        <v>KG</v>
      </c>
      <c r="F130" s="6" t="str">
        <f ca="1">IFERROR(__xludf.DUMMYFUNCTION("""COMPUTED_VALUE"""),"Cafetería")</f>
        <v>Cafetería</v>
      </c>
      <c r="G130" s="25">
        <f t="shared" ca="1" si="0"/>
        <v>0</v>
      </c>
      <c r="H130" s="25">
        <f t="shared" ca="1" si="6"/>
        <v>0</v>
      </c>
      <c r="I130" s="25">
        <f t="shared" ca="1" si="7"/>
        <v>0</v>
      </c>
      <c r="J130" s="156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8"/>
      <c r="Z130" s="28"/>
    </row>
    <row r="131" spans="1:26" ht="15.75">
      <c r="A131" s="7"/>
      <c r="B131" s="7" t="str">
        <f ca="1">IFERROR(__xludf.DUMMYFUNCTION("""COMPUTED_VALUE"""),"Metilcelulosa")</f>
        <v>Metilcelulosa</v>
      </c>
      <c r="C131" s="8">
        <v>0</v>
      </c>
      <c r="D131" s="21">
        <f ca="1">IFERROR(__xludf.DUMMYFUNCTION("""COMPUTED_VALUE"""),14958)</f>
        <v>14958</v>
      </c>
      <c r="E131" s="6" t="str">
        <f ca="1">IFERROR(__xludf.DUMMYFUNCTION("""COMPUTED_VALUE"""),"KG")</f>
        <v>KG</v>
      </c>
      <c r="F131" s="6" t="str">
        <f ca="1">IFERROR(__xludf.DUMMYFUNCTION("""COMPUTED_VALUE"""),"Cafetería")</f>
        <v>Cafetería</v>
      </c>
      <c r="G131" s="25">
        <f t="shared" ca="1" si="0"/>
        <v>0</v>
      </c>
      <c r="H131" s="25">
        <f t="shared" ca="1" si="6"/>
        <v>0</v>
      </c>
      <c r="I131" s="25">
        <f t="shared" ca="1" si="7"/>
        <v>0</v>
      </c>
      <c r="J131" s="156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8"/>
      <c r="Z131" s="28"/>
    </row>
    <row r="132" spans="1:26" ht="15.75">
      <c r="A132" s="7" t="str">
        <f ca="1">IFERROR(__xludf.DUMMYFUNCTION("""COMPUTED_VALUE"""),"ti-ing-63ac2eac-77a4-4a08-942d-2708cdee1af2")</f>
        <v>ti-ing-63ac2eac-77a4-4a08-942d-2708cdee1af2</v>
      </c>
      <c r="B132" s="7" t="str">
        <f ca="1">IFERROR(__xludf.DUMMYFUNCTION("""COMPUTED_VALUE"""),"Syrup Esencia Amaretto 504 (750cc)")</f>
        <v>Syrup Esencia Amaretto 504 (750cc)</v>
      </c>
      <c r="C132" s="8">
        <v>0</v>
      </c>
      <c r="D132" s="21">
        <f ca="1">IFERROR(__xludf.DUMMYFUNCTION("""COMPUTED_VALUE"""),14565.33)</f>
        <v>14565.33</v>
      </c>
      <c r="E132" s="6" t="str">
        <f ca="1">IFERROR(__xludf.DUMMYFUNCTION("""COMPUTED_VALUE"""),"un")</f>
        <v>un</v>
      </c>
      <c r="F132" s="6" t="str">
        <f ca="1">IFERROR(__xludf.DUMMYFUNCTION("""COMPUTED_VALUE"""),"Cafetería")</f>
        <v>Cafetería</v>
      </c>
      <c r="G132" s="25">
        <f t="shared" ca="1" si="0"/>
        <v>0</v>
      </c>
      <c r="H132" s="25">
        <f t="shared" ca="1" si="6"/>
        <v>0</v>
      </c>
      <c r="I132" s="25">
        <f t="shared" ca="1" si="7"/>
        <v>0</v>
      </c>
      <c r="J132" s="156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8"/>
      <c r="Z132" s="28"/>
    </row>
    <row r="133" spans="1:26" ht="15.75">
      <c r="A133" s="7" t="str">
        <f ca="1">IFERROR(__xludf.DUMMYFUNCTION("""COMPUTED_VALUE"""),"ti-ing-c849733f-e001-48f8-93bc-ba7bae902493")</f>
        <v>ti-ing-c849733f-e001-48f8-93bc-ba7bae902493</v>
      </c>
      <c r="B133" s="7" t="str">
        <f ca="1">IFERROR(__xludf.DUMMYFUNCTION("""COMPUTED_VALUE"""),"Syrup Esencia Avellana 504 (750cc)")</f>
        <v>Syrup Esencia Avellana 504 (750cc)</v>
      </c>
      <c r="C133" s="8">
        <v>0</v>
      </c>
      <c r="D133" s="21">
        <f ca="1">IFERROR(__xludf.DUMMYFUNCTION("""COMPUTED_VALUE"""),14565.33)</f>
        <v>14565.33</v>
      </c>
      <c r="E133" s="6" t="str">
        <f ca="1">IFERROR(__xludf.DUMMYFUNCTION("""COMPUTED_VALUE"""),"un")</f>
        <v>un</v>
      </c>
      <c r="F133" s="6" t="str">
        <f ca="1">IFERROR(__xludf.DUMMYFUNCTION("""COMPUTED_VALUE"""),"Cafetería")</f>
        <v>Cafetería</v>
      </c>
      <c r="G133" s="25">
        <f t="shared" ca="1" si="0"/>
        <v>0</v>
      </c>
      <c r="H133" s="25">
        <f t="shared" ca="1" si="6"/>
        <v>0</v>
      </c>
      <c r="I133" s="25">
        <f t="shared" ca="1" si="7"/>
        <v>0</v>
      </c>
      <c r="J133" s="156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8"/>
      <c r="Z133" s="28"/>
    </row>
    <row r="134" spans="1:26" ht="15.75">
      <c r="A134" s="7" t="str">
        <f ca="1">IFERROR(__xludf.DUMMYFUNCTION("""COMPUTED_VALUE"""),"ti-ing-5a1c804e-222c-4669-a220-bc3d876665b0")</f>
        <v>ti-ing-5a1c804e-222c-4669-a220-bc3d876665b0</v>
      </c>
      <c r="B134" s="7" t="str">
        <f ca="1">IFERROR(__xludf.DUMMYFUNCTION("""COMPUTED_VALUE"""),"Syrup Esencia Canela 504 (750cc)")</f>
        <v>Syrup Esencia Canela 504 (750cc)</v>
      </c>
      <c r="C134" s="8">
        <v>2</v>
      </c>
      <c r="D134" s="21">
        <f ca="1">IFERROR(__xludf.DUMMYFUNCTION("""COMPUTED_VALUE"""),14565.33)</f>
        <v>14565.33</v>
      </c>
      <c r="E134" s="6" t="str">
        <f ca="1">IFERROR(__xludf.DUMMYFUNCTION("""COMPUTED_VALUE"""),"un")</f>
        <v>un</v>
      </c>
      <c r="F134" s="6" t="str">
        <f ca="1">IFERROR(__xludf.DUMMYFUNCTION("""COMPUTED_VALUE"""),"Cafetería")</f>
        <v>Cafetería</v>
      </c>
      <c r="G134" s="25">
        <f t="shared" ca="1" si="0"/>
        <v>29130.66</v>
      </c>
      <c r="H134" s="25">
        <f t="shared" ca="1" si="6"/>
        <v>5534.8253999999997</v>
      </c>
      <c r="I134" s="25">
        <f t="shared" ca="1" si="7"/>
        <v>34665.485399999998</v>
      </c>
      <c r="J134" s="156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8"/>
      <c r="Z134" s="28"/>
    </row>
    <row r="135" spans="1:26" ht="15.75">
      <c r="A135" s="7" t="str">
        <f ca="1">IFERROR(__xludf.DUMMYFUNCTION("""COMPUTED_VALUE"""),"ti-ing-2afee1a4-7742-432e-9582-e7f1946d3437")</f>
        <v>ti-ing-2afee1a4-7742-432e-9582-e7f1946d3437</v>
      </c>
      <c r="B135" s="7" t="str">
        <f ca="1">IFERROR(__xludf.DUMMYFUNCTION("""COMPUTED_VALUE"""),"Syrup Esencia Caramelo 504 (750cc)")</f>
        <v>Syrup Esencia Caramelo 504 (750cc)</v>
      </c>
      <c r="C135" s="8">
        <v>0</v>
      </c>
      <c r="D135" s="21">
        <f ca="1">IFERROR(__xludf.DUMMYFUNCTION("""COMPUTED_VALUE"""),14565.33)</f>
        <v>14565.33</v>
      </c>
      <c r="E135" s="6" t="str">
        <f ca="1">IFERROR(__xludf.DUMMYFUNCTION("""COMPUTED_VALUE"""),"UN")</f>
        <v>UN</v>
      </c>
      <c r="F135" s="6" t="str">
        <f ca="1">IFERROR(__xludf.DUMMYFUNCTION("""COMPUTED_VALUE"""),"Cafetería")</f>
        <v>Cafetería</v>
      </c>
      <c r="G135" s="25">
        <f t="shared" ca="1" si="0"/>
        <v>0</v>
      </c>
      <c r="H135" s="25">
        <f t="shared" ca="1" si="6"/>
        <v>0</v>
      </c>
      <c r="I135" s="25">
        <f t="shared" ca="1" si="7"/>
        <v>0</v>
      </c>
      <c r="J135" s="156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8"/>
      <c r="Z135" s="28"/>
    </row>
    <row r="136" spans="1:26" ht="15.75">
      <c r="A136" s="7" t="str">
        <f ca="1">IFERROR(__xludf.DUMMYFUNCTION("""COMPUTED_VALUE"""),"ti-ing-19d34ff0-8607-4466-898f-87c0df45d86b")</f>
        <v>ti-ing-19d34ff0-8607-4466-898f-87c0df45d86b</v>
      </c>
      <c r="B136" s="7" t="str">
        <f ca="1">IFERROR(__xludf.DUMMYFUNCTION("""COMPUTED_VALUE"""),"Syrup Esencia Chai 504 (750cc)")</f>
        <v>Syrup Esencia Chai 504 (750cc)</v>
      </c>
      <c r="C136" s="8">
        <v>2</v>
      </c>
      <c r="D136" s="21">
        <f ca="1">IFERROR(__xludf.DUMMYFUNCTION("""COMPUTED_VALUE"""),16000)</f>
        <v>16000</v>
      </c>
      <c r="E136" s="6" t="str">
        <f ca="1">IFERROR(__xludf.DUMMYFUNCTION("""COMPUTED_VALUE"""),"UN")</f>
        <v>UN</v>
      </c>
      <c r="F136" s="6" t="str">
        <f ca="1">IFERROR(__xludf.DUMMYFUNCTION("""COMPUTED_VALUE"""),"Cafetería")</f>
        <v>Cafetería</v>
      </c>
      <c r="G136" s="25">
        <f t="shared" ca="1" si="0"/>
        <v>32000</v>
      </c>
      <c r="H136" s="25">
        <f t="shared" ca="1" si="6"/>
        <v>6080</v>
      </c>
      <c r="I136" s="25">
        <f t="shared" ca="1" si="7"/>
        <v>38080</v>
      </c>
      <c r="J136" s="156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8"/>
      <c r="Z136" s="28"/>
    </row>
    <row r="137" spans="1:26" ht="15.75">
      <c r="A137" s="7" t="str">
        <f ca="1">IFERROR(__xludf.DUMMYFUNCTION("""COMPUTED_VALUE"""),"ti-ing-6e43ce5e-9ab8-48be-8833-ad92e26a4c39")</f>
        <v>ti-ing-6e43ce5e-9ab8-48be-8833-ad92e26a4c39</v>
      </c>
      <c r="B137" s="7" t="str">
        <f ca="1">IFERROR(__xludf.DUMMYFUNCTION("""COMPUTED_VALUE"""),"Syrup Esencia coco 504 (750cc)")</f>
        <v>Syrup Esencia coco 504 (750cc)</v>
      </c>
      <c r="C137" s="8">
        <v>1</v>
      </c>
      <c r="D137" s="21">
        <f ca="1">IFERROR(__xludf.DUMMYFUNCTION("""COMPUTED_VALUE"""),14565.33)</f>
        <v>14565.33</v>
      </c>
      <c r="E137" s="6" t="str">
        <f ca="1">IFERROR(__xludf.DUMMYFUNCTION("""COMPUTED_VALUE"""),"UN")</f>
        <v>UN</v>
      </c>
      <c r="F137" s="6" t="str">
        <f ca="1">IFERROR(__xludf.DUMMYFUNCTION("""COMPUTED_VALUE"""),"Cafetería")</f>
        <v>Cafetería</v>
      </c>
      <c r="G137" s="25">
        <f t="shared" ca="1" si="0"/>
        <v>14565.33</v>
      </c>
      <c r="H137" s="25">
        <f t="shared" ca="1" si="6"/>
        <v>2767.4126999999999</v>
      </c>
      <c r="I137" s="25">
        <f t="shared" ca="1" si="7"/>
        <v>17332.742699999999</v>
      </c>
      <c r="J137" s="156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8"/>
      <c r="Z137" s="28"/>
    </row>
    <row r="138" spans="1:26" ht="15.75">
      <c r="A138" s="7" t="str">
        <f ca="1">IFERROR(__xludf.DUMMYFUNCTION("""COMPUTED_VALUE"""),"ti-ing-b0ff34ea-0e7e-455b-90d0-99c07f16b527")</f>
        <v>ti-ing-b0ff34ea-0e7e-455b-90d0-99c07f16b527</v>
      </c>
      <c r="B138" s="7" t="str">
        <f ca="1">IFERROR(__xludf.DUMMYFUNCTION("""COMPUTED_VALUE"""),"Syrup Esencia Menta 504 (750cc)")</f>
        <v>Syrup Esencia Menta 504 (750cc)</v>
      </c>
      <c r="C138" s="8">
        <v>2.25</v>
      </c>
      <c r="D138" s="21">
        <f ca="1">IFERROR(__xludf.DUMMYFUNCTION("""COMPUTED_VALUE"""),14565.33)</f>
        <v>14565.33</v>
      </c>
      <c r="E138" s="6" t="str">
        <f ca="1">IFERROR(__xludf.DUMMYFUNCTION("""COMPUTED_VALUE"""),"UN")</f>
        <v>UN</v>
      </c>
      <c r="F138" s="6" t="str">
        <f ca="1">IFERROR(__xludf.DUMMYFUNCTION("""COMPUTED_VALUE"""),"Cafetería")</f>
        <v>Cafetería</v>
      </c>
      <c r="G138" s="25">
        <f t="shared" ca="1" si="0"/>
        <v>32771.9925</v>
      </c>
      <c r="H138" s="25">
        <f t="shared" ca="1" si="6"/>
        <v>6226.6785749999999</v>
      </c>
      <c r="I138" s="25">
        <f t="shared" ca="1" si="7"/>
        <v>38998.671074999998</v>
      </c>
      <c r="J138" s="156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8"/>
      <c r="Z138" s="28"/>
    </row>
    <row r="139" spans="1:26" ht="15.75">
      <c r="A139" s="7" t="str">
        <f ca="1">IFERROR(__xludf.DUMMYFUNCTION("""COMPUTED_VALUE"""),"ti-ing-6e0beb61-027c-4b38-9367-426237c4b1f2")</f>
        <v>ti-ing-6e0beb61-027c-4b38-9367-426237c4b1f2</v>
      </c>
      <c r="B139" s="7" t="str">
        <f ca="1">IFERROR(__xludf.DUMMYFUNCTION("""COMPUTED_VALUE"""),"Syrup Esencia Vainilla 504 (750cc)")</f>
        <v>Syrup Esencia Vainilla 504 (750cc)</v>
      </c>
      <c r="C139" s="8">
        <v>2</v>
      </c>
      <c r="D139" s="21">
        <f ca="1">IFERROR(__xludf.DUMMYFUNCTION("""COMPUTED_VALUE"""),14565.33)</f>
        <v>14565.33</v>
      </c>
      <c r="E139" s="6" t="str">
        <f ca="1">IFERROR(__xludf.DUMMYFUNCTION("""COMPUTED_VALUE"""),"UN")</f>
        <v>UN</v>
      </c>
      <c r="F139" s="6" t="str">
        <f ca="1">IFERROR(__xludf.DUMMYFUNCTION("""COMPUTED_VALUE"""),"Cafetería")</f>
        <v>Cafetería</v>
      </c>
      <c r="G139" s="25">
        <f t="shared" ca="1" si="0"/>
        <v>29130.66</v>
      </c>
      <c r="H139" s="25">
        <f t="shared" ca="1" si="6"/>
        <v>5534.8253999999997</v>
      </c>
      <c r="I139" s="25">
        <f t="shared" ca="1" si="7"/>
        <v>34665.485399999998</v>
      </c>
      <c r="J139" s="156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8"/>
      <c r="Z139" s="28"/>
    </row>
    <row r="140" spans="1:26" ht="15.75">
      <c r="A140" s="7" t="str">
        <f ca="1">IFERROR(__xludf.DUMMYFUNCTION("""COMPUTED_VALUE"""),"ti-ing-46ed98ef-6287-4308-b02f-a48c61750f5f")</f>
        <v>ti-ing-46ed98ef-6287-4308-b02f-a48c61750f5f</v>
      </c>
      <c r="B140" s="7" t="str">
        <f ca="1">IFERROR(__xludf.DUMMYFUNCTION("""COMPUTED_VALUE"""),"ACETATO")</f>
        <v>ACETATO</v>
      </c>
      <c r="C140" s="8">
        <v>2</v>
      </c>
      <c r="D140" s="21">
        <f ca="1">IFERROR(__xludf.DUMMYFUNCTION("""COMPUTED_VALUE"""),9796.778)</f>
        <v>9796.7780000000002</v>
      </c>
      <c r="E140" s="6" t="str">
        <f ca="1">IFERROR(__xludf.DUMMYFUNCTION("""COMPUTED_VALUE"""),"UN")</f>
        <v>UN</v>
      </c>
      <c r="F140" s="6" t="str">
        <f ca="1">IFERROR(__xludf.DUMMYFUNCTION("""COMPUTED_VALUE"""),"Desechables")</f>
        <v>Desechables</v>
      </c>
      <c r="G140" s="25">
        <f t="shared" ca="1" si="0"/>
        <v>19593.556</v>
      </c>
      <c r="H140" s="25">
        <f t="shared" ca="1" si="6"/>
        <v>3722.7756400000003</v>
      </c>
      <c r="I140" s="25">
        <f t="shared" ca="1" si="7"/>
        <v>23316.33164</v>
      </c>
      <c r="J140" s="156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8"/>
      <c r="Z140" s="28"/>
    </row>
    <row r="141" spans="1:26" ht="15.75">
      <c r="A141" s="7" t="str">
        <f ca="1">IFERROR(__xludf.DUMMYFUNCTION("""COMPUTED_VALUE"""),"ti-ing-73f124ed-8131-43ba-8640-d0cb789b4e9e")</f>
        <v>ti-ing-73f124ed-8131-43ba-8640-d0cb789b4e9e</v>
      </c>
      <c r="B141" s="7" t="str">
        <f ca="1">IFERROR(__xludf.DUMMYFUNCTION("""COMPUTED_VALUE"""),"Balines para sifon BestWhip")</f>
        <v>Balines para sifon BestWhip</v>
      </c>
      <c r="C141" s="8">
        <v>10</v>
      </c>
      <c r="D141" s="21">
        <f ca="1">IFERROR(__xludf.DUMMYFUNCTION("""COMPUTED_VALUE"""),579)</f>
        <v>579</v>
      </c>
      <c r="E141" s="6" t="str">
        <f ca="1">IFERROR(__xludf.DUMMYFUNCTION("""COMPUTED_VALUE"""),"UN")</f>
        <v>UN</v>
      </c>
      <c r="F141" s="6" t="str">
        <f ca="1">IFERROR(__xludf.DUMMYFUNCTION("""COMPUTED_VALUE"""),"Desechables")</f>
        <v>Desechables</v>
      </c>
      <c r="G141" s="25">
        <f t="shared" ca="1" si="0"/>
        <v>5790</v>
      </c>
      <c r="H141" s="25">
        <f t="shared" ca="1" si="6"/>
        <v>1100.0999999999999</v>
      </c>
      <c r="I141" s="25">
        <f t="shared" ca="1" si="7"/>
        <v>6890.1</v>
      </c>
      <c r="J141" s="156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8"/>
      <c r="Z141" s="28"/>
    </row>
    <row r="142" spans="1:26" ht="15.75">
      <c r="A142" s="7" t="str">
        <f ca="1">IFERROR(__xludf.DUMMYFUNCTION("""COMPUTED_VALUE"""),"ti-ing-505df4ad-6b27-4623-b751-cef96371da79")</f>
        <v>ti-ing-505df4ad-6b27-4623-b751-cef96371da79</v>
      </c>
      <c r="B142" s="7" t="str">
        <f ca="1">IFERROR(__xludf.DUMMYFUNCTION("""COMPUTED_VALUE"""),"Bandeja rectangular n4 carton empanadas")</f>
        <v>Bandeja rectangular n4 carton empanadas</v>
      </c>
      <c r="C142" s="8">
        <v>600</v>
      </c>
      <c r="D142" s="21">
        <f ca="1">IFERROR(__xludf.DUMMYFUNCTION("""COMPUTED_VALUE"""),27.70396)</f>
        <v>27.703959999999999</v>
      </c>
      <c r="E142" s="6" t="str">
        <f ca="1">IFERROR(__xludf.DUMMYFUNCTION("""COMPUTED_VALUE"""),"UN")</f>
        <v>UN</v>
      </c>
      <c r="F142" s="6" t="str">
        <f ca="1">IFERROR(__xludf.DUMMYFUNCTION("""COMPUTED_VALUE"""),"Desechables")</f>
        <v>Desechables</v>
      </c>
      <c r="G142" s="25">
        <f t="shared" ca="1" si="0"/>
        <v>16622.376</v>
      </c>
      <c r="H142" s="25">
        <f t="shared" ca="1" si="6"/>
        <v>3158.25144</v>
      </c>
      <c r="I142" s="25">
        <f t="shared" ca="1" si="7"/>
        <v>19780.62744</v>
      </c>
      <c r="J142" s="156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8"/>
      <c r="Z142" s="28"/>
    </row>
    <row r="143" spans="1:26" ht="15.75">
      <c r="A143" s="7"/>
      <c r="B143" s="7" t="str">
        <f ca="1">IFERROR(__xludf.DUMMYFUNCTION("""COMPUTED_VALUE"""),"Bolsa celofán 20x30 pan pita")</f>
        <v>Bolsa celofán 20x30 pan pita</v>
      </c>
      <c r="C143" s="8">
        <v>200</v>
      </c>
      <c r="D143" s="21">
        <f ca="1">IFERROR(__xludf.DUMMYFUNCTION("""COMPUTED_VALUE"""),24.65)</f>
        <v>24.65</v>
      </c>
      <c r="E143" s="6" t="str">
        <f ca="1">IFERROR(__xludf.DUMMYFUNCTION("""COMPUTED_VALUE"""),"UN")</f>
        <v>UN</v>
      </c>
      <c r="F143" s="6" t="str">
        <f ca="1">IFERROR(__xludf.DUMMYFUNCTION("""COMPUTED_VALUE"""),"Desechables")</f>
        <v>Desechables</v>
      </c>
      <c r="G143" s="25">
        <f t="shared" ca="1" si="0"/>
        <v>4930</v>
      </c>
      <c r="H143" s="25">
        <f t="shared" ca="1" si="6"/>
        <v>936.7</v>
      </c>
      <c r="I143" s="25">
        <f t="shared" ca="1" si="7"/>
        <v>5866.7</v>
      </c>
      <c r="J143" s="156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8"/>
      <c r="Z143" s="28"/>
    </row>
    <row r="144" spans="1:26" ht="15.75">
      <c r="A144" s="7" t="str">
        <f ca="1">IFERROR(__xludf.DUMMYFUNCTION("""COMPUTED_VALUE"""),"ti-ing-6fba2ae8-07f5-46a5-bd35-56052fcc4490")</f>
        <v>ti-ing-6fba2ae8-07f5-46a5-bd35-56052fcc4490</v>
      </c>
      <c r="B144" s="7" t="str">
        <f ca="1">IFERROR(__xludf.DUMMYFUNCTION("""COMPUTED_VALUE"""),"Bolsa Celofan 25x35 galletas")</f>
        <v>Bolsa Celofan 25x35 galletas</v>
      </c>
      <c r="C144" s="72">
        <v>300</v>
      </c>
      <c r="D144" s="21">
        <f ca="1">IFERROR(__xludf.DUMMYFUNCTION("""COMPUTED_VALUE"""),16.05048)</f>
        <v>16.05048</v>
      </c>
      <c r="E144" s="6" t="str">
        <f ca="1">IFERROR(__xludf.DUMMYFUNCTION("""COMPUTED_VALUE"""),"UN")</f>
        <v>UN</v>
      </c>
      <c r="F144" s="6" t="str">
        <f ca="1">IFERROR(__xludf.DUMMYFUNCTION("""COMPUTED_VALUE"""),"Desechables")</f>
        <v>Desechables</v>
      </c>
      <c r="G144" s="25">
        <f t="shared" ca="1" si="0"/>
        <v>4815.1440000000002</v>
      </c>
      <c r="H144" s="25">
        <f t="shared" ca="1" si="6"/>
        <v>914.87736000000007</v>
      </c>
      <c r="I144" s="25">
        <f t="shared" ca="1" si="7"/>
        <v>5730.0213600000006</v>
      </c>
      <c r="J144" s="156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8"/>
      <c r="Z144" s="28"/>
    </row>
    <row r="145" spans="1:26" ht="15.75">
      <c r="A145" s="7" t="str">
        <f ca="1">IFERROR(__xludf.DUMMYFUNCTION("""COMPUTED_VALUE"""),"ti-ing-06cc5946-5a66-4bb1-8e44-b121dcb48ae3")</f>
        <v>ti-ing-06cc5946-5a66-4bb1-8e44-b121dcb48ae3</v>
      </c>
      <c r="B145" s="7" t="str">
        <f ca="1">IFERROR(__xludf.DUMMYFUNCTION("""COMPUTED_VALUE"""),"Bolsa Celofan 25x40 queque")</f>
        <v>Bolsa Celofan 25x40 queque</v>
      </c>
      <c r="C145" s="8">
        <v>100</v>
      </c>
      <c r="D145" s="21">
        <f ca="1">IFERROR(__xludf.DUMMYFUNCTION("""COMPUTED_VALUE"""),19.7633)</f>
        <v>19.763300000000001</v>
      </c>
      <c r="E145" s="6" t="str">
        <f ca="1">IFERROR(__xludf.DUMMYFUNCTION("""COMPUTED_VALUE"""),"UN")</f>
        <v>UN</v>
      </c>
      <c r="F145" s="6" t="str">
        <f ca="1">IFERROR(__xludf.DUMMYFUNCTION("""COMPUTED_VALUE"""),"Desechables")</f>
        <v>Desechables</v>
      </c>
      <c r="G145" s="25">
        <f t="shared" ca="1" si="0"/>
        <v>1976.3300000000002</v>
      </c>
      <c r="H145" s="25">
        <f t="shared" ca="1" si="6"/>
        <v>375.50270000000006</v>
      </c>
      <c r="I145" s="25">
        <f t="shared" ca="1" si="7"/>
        <v>2351.8327000000004</v>
      </c>
      <c r="J145" s="156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8"/>
      <c r="Z145" s="28"/>
    </row>
    <row r="146" spans="1:26" ht="15.75">
      <c r="A146" s="7" t="str">
        <f ca="1">IFERROR(__xludf.DUMMYFUNCTION("""COMPUTED_VALUE"""),"ti-ing-8519b2d3-e77a-4133-a7ab-8a7b894d282e")</f>
        <v>ti-ing-8519b2d3-e77a-4133-a7ab-8a7b894d282e</v>
      </c>
      <c r="B146" s="7" t="str">
        <f ca="1">IFERROR(__xludf.DUMMYFUNCTION("""COMPUTED_VALUE"""),"Bolsa Celofan 35X28 pan hamburguesa")</f>
        <v>Bolsa Celofan 35X28 pan hamburguesa</v>
      </c>
      <c r="C146" s="8">
        <v>250</v>
      </c>
      <c r="D146" s="21">
        <f ca="1">IFERROR(__xludf.DUMMYFUNCTION("""COMPUTED_VALUE"""),15.05)</f>
        <v>15.05</v>
      </c>
      <c r="E146" s="6" t="str">
        <f ca="1">IFERROR(__xludf.DUMMYFUNCTION("""COMPUTED_VALUE"""),"UN")</f>
        <v>UN</v>
      </c>
      <c r="F146" s="6" t="str">
        <f ca="1">IFERROR(__xludf.DUMMYFUNCTION("""COMPUTED_VALUE"""),"Desechables")</f>
        <v>Desechables</v>
      </c>
      <c r="G146" s="25">
        <f t="shared" ca="1" si="0"/>
        <v>3762.5</v>
      </c>
      <c r="H146" s="25">
        <f t="shared" ca="1" si="6"/>
        <v>714.875</v>
      </c>
      <c r="I146" s="25">
        <f t="shared" ca="1" si="7"/>
        <v>4477.375</v>
      </c>
      <c r="J146" s="156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8"/>
      <c r="Z146" s="28"/>
    </row>
    <row r="147" spans="1:26" ht="15.75">
      <c r="A147" s="7" t="str">
        <f ca="1">IFERROR(__xludf.DUMMYFUNCTION("""COMPUTED_VALUE"""),"ti-ing-2271cf72-6c56-4026-9063-c17ad7b52106")</f>
        <v>ti-ing-2271cf72-6c56-4026-9063-c17ad7b52106</v>
      </c>
      <c r="B147" s="7" t="str">
        <f ca="1">IFERROR(__xludf.DUMMYFUNCTION("""COMPUTED_VALUE"""),"Bolsa Celofan 40x30 pan mesa")</f>
        <v>Bolsa Celofan 40x30 pan mesa</v>
      </c>
      <c r="C147" s="8">
        <v>300</v>
      </c>
      <c r="D147" s="73">
        <f ca="1">IFERROR(__xludf.DUMMYFUNCTION("""COMPUTED_VALUE"""),20)</f>
        <v>20</v>
      </c>
      <c r="E147" s="6" t="str">
        <f ca="1">IFERROR(__xludf.DUMMYFUNCTION("""COMPUTED_VALUE"""),"UN")</f>
        <v>UN</v>
      </c>
      <c r="F147" s="6" t="str">
        <f ca="1">IFERROR(__xludf.DUMMYFUNCTION("""COMPUTED_VALUE"""),"Desechables")</f>
        <v>Desechables</v>
      </c>
      <c r="G147" s="25">
        <f t="shared" ca="1" si="0"/>
        <v>6000</v>
      </c>
      <c r="H147" s="25">
        <f t="shared" ca="1" si="6"/>
        <v>1140</v>
      </c>
      <c r="I147" s="25">
        <f t="shared" ca="1" si="7"/>
        <v>7140</v>
      </c>
      <c r="J147" s="156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8"/>
      <c r="Z147" s="28"/>
    </row>
    <row r="148" spans="1:26" ht="15.75">
      <c r="A148" s="7" t="str">
        <f ca="1">IFERROR(__xludf.DUMMYFUNCTION("""COMPUTED_VALUE"""),"ti-ing-364ff0c9-e139-4020-bd12-d99eae1a49cd")</f>
        <v>ti-ing-364ff0c9-e139-4020-bd12-d99eae1a49cd</v>
      </c>
      <c r="B148" s="7" t="str">
        <f ca="1">IFERROR(__xludf.DUMMYFUNCTION("""COMPUTED_VALUE"""),"Bolsa Celofan 8x20 cubiertos")</f>
        <v>Bolsa Celofan 8x20 cubiertos</v>
      </c>
      <c r="C148" s="8">
        <v>200</v>
      </c>
      <c r="D148" s="21">
        <f ca="1">IFERROR(__xludf.DUMMYFUNCTION("""COMPUTED_VALUE"""),20.97)</f>
        <v>20.97</v>
      </c>
      <c r="E148" s="6" t="str">
        <f ca="1">IFERROR(__xludf.DUMMYFUNCTION("""COMPUTED_VALUE"""),"un")</f>
        <v>un</v>
      </c>
      <c r="F148" s="6" t="str">
        <f ca="1">IFERROR(__xludf.DUMMYFUNCTION("""COMPUTED_VALUE"""),"Desechables")</f>
        <v>Desechables</v>
      </c>
      <c r="G148" s="25">
        <f t="shared" ca="1" si="0"/>
        <v>4194</v>
      </c>
      <c r="H148" s="25">
        <f t="shared" ca="1" si="6"/>
        <v>796.86</v>
      </c>
      <c r="I148" s="25">
        <f t="shared" ca="1" si="7"/>
        <v>4990.8599999999997</v>
      </c>
      <c r="J148" s="156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8"/>
      <c r="Z148" s="28"/>
    </row>
    <row r="149" spans="1:26" ht="15.75">
      <c r="A149" s="7" t="str">
        <f ca="1">IFERROR(__xludf.DUMMYFUNCTION("""COMPUTED_VALUE"""),"ti-ing-0a9a223c-91cc-4925-ac2b-84da066635ff")</f>
        <v>ti-ing-0a9a223c-91cc-4925-ac2b-84da066635ff</v>
      </c>
      <c r="B149" s="7" t="str">
        <f ca="1">IFERROR(__xludf.DUMMYFUNCTION("""COMPUTED_VALUE"""),"Bolsa celofan c/fondo 12x30x8")</f>
        <v>Bolsa celofan c/fondo 12x30x8</v>
      </c>
      <c r="C149" s="8">
        <v>350</v>
      </c>
      <c r="D149" s="21">
        <f ca="1">IFERROR(__xludf.DUMMYFUNCTION("""COMPUTED_VALUE"""),167.04)</f>
        <v>167.04</v>
      </c>
      <c r="E149" s="6" t="str">
        <f ca="1">IFERROR(__xludf.DUMMYFUNCTION("""COMPUTED_VALUE"""),"UN")</f>
        <v>UN</v>
      </c>
      <c r="F149" s="6" t="str">
        <f ca="1">IFERROR(__xludf.DUMMYFUNCTION("""COMPUTED_VALUE"""),"Desechables")</f>
        <v>Desechables</v>
      </c>
      <c r="G149" s="25">
        <f t="shared" ca="1" si="0"/>
        <v>58464</v>
      </c>
      <c r="H149" s="25">
        <f t="shared" ca="1" si="6"/>
        <v>11108.16</v>
      </c>
      <c r="I149" s="25">
        <f t="shared" ca="1" si="7"/>
        <v>69572.160000000003</v>
      </c>
      <c r="J149" s="156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8"/>
      <c r="Z149" s="28"/>
    </row>
    <row r="150" spans="1:26" ht="15.75">
      <c r="A150" s="7" t="str">
        <f ca="1">IFERROR(__xludf.DUMMYFUNCTION("""COMPUTED_VALUE"""),"ti-ing-8301d424-ba41-4d4d-b782-078e297be889")</f>
        <v>ti-ing-8301d424-ba41-4d4d-b782-078e297be889</v>
      </c>
      <c r="B150" s="7" t="str">
        <f ca="1">IFERROR(__xludf.DUMMYFUNCTION("""COMPUTED_VALUE"""),"Bolsa celofan c/fondo 7x25x5")</f>
        <v>Bolsa celofan c/fondo 7x25x5</v>
      </c>
      <c r="C150" s="8">
        <v>400</v>
      </c>
      <c r="D150" s="21">
        <f ca="1">IFERROR(__xludf.DUMMYFUNCTION("""COMPUTED_VALUE"""),104.5035903)</f>
        <v>104.5035903</v>
      </c>
      <c r="E150" s="6" t="str">
        <f ca="1">IFERROR(__xludf.DUMMYFUNCTION("""COMPUTED_VALUE"""),"UN")</f>
        <v>UN</v>
      </c>
      <c r="F150" s="6" t="str">
        <f ca="1">IFERROR(__xludf.DUMMYFUNCTION("""COMPUTED_VALUE"""),"Desechables")</f>
        <v>Desechables</v>
      </c>
      <c r="G150" s="25">
        <f t="shared" ca="1" si="0"/>
        <v>41801.436119999998</v>
      </c>
      <c r="H150" s="25">
        <f t="shared" ca="1" si="6"/>
        <v>7942.2728627999995</v>
      </c>
      <c r="I150" s="25">
        <f t="shared" ca="1" si="7"/>
        <v>49743.708982799995</v>
      </c>
      <c r="J150" s="156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8"/>
      <c r="Z150" s="28"/>
    </row>
    <row r="151" spans="1:26" ht="15.75">
      <c r="A151" s="7" t="str">
        <f ca="1">IFERROR(__xludf.DUMMYFUNCTION("""COMPUTED_VALUE"""),"ti-ing-87d71194-0848-4d96-bf1e-88911a7b1aca")</f>
        <v>ti-ing-87d71194-0848-4d96-bf1e-88911a7b1aca</v>
      </c>
      <c r="B151" s="7" t="str">
        <f ca="1">IFERROR(__xludf.DUMMYFUNCTION("""COMPUTED_VALUE"""),"Bolsa De Te Vacia")</f>
        <v>Bolsa De Te Vacia</v>
      </c>
      <c r="C151" s="8">
        <v>200</v>
      </c>
      <c r="D151" s="21">
        <f ca="1">IFERROR(__xludf.DUMMYFUNCTION("""COMPUTED_VALUE"""),6)</f>
        <v>6</v>
      </c>
      <c r="E151" s="6" t="str">
        <f ca="1">IFERROR(__xludf.DUMMYFUNCTION("""COMPUTED_VALUE"""),"UN")</f>
        <v>UN</v>
      </c>
      <c r="F151" s="6" t="str">
        <f ca="1">IFERROR(__xludf.DUMMYFUNCTION("""COMPUTED_VALUE"""),"Desechables")</f>
        <v>Desechables</v>
      </c>
      <c r="G151" s="25">
        <f t="shared" ca="1" si="0"/>
        <v>1200</v>
      </c>
      <c r="H151" s="25">
        <f t="shared" ca="1" si="6"/>
        <v>228</v>
      </c>
      <c r="I151" s="25">
        <f t="shared" ca="1" si="7"/>
        <v>1428</v>
      </c>
      <c r="J151" s="156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8"/>
      <c r="Z151" s="28"/>
    </row>
    <row r="152" spans="1:26" ht="15.75">
      <c r="A152" s="7" t="str">
        <f ca="1">IFERROR(__xludf.DUMMYFUNCTION("""COMPUTED_VALUE"""),"ti-ing-022d8136-e142-4e65-9ece-9de98d9f28b4")</f>
        <v>ti-ing-022d8136-e142-4e65-9ece-9de98d9f28b4</v>
      </c>
      <c r="B152" s="7" t="str">
        <f ca="1">IFERROR(__xludf.DUMMYFUNCTION("""COMPUTED_VALUE"""),"BOLSA KRAFT CON TROQUEL 28X28X15 (1X500)")</f>
        <v>BOLSA KRAFT CON TROQUEL 28X28X15 (1X500)</v>
      </c>
      <c r="C152" s="8">
        <v>450</v>
      </c>
      <c r="D152" s="21">
        <f ca="1">IFERROR(__xludf.DUMMYFUNCTION("""COMPUTED_VALUE"""),101.162)</f>
        <v>101.16200000000001</v>
      </c>
      <c r="E152" s="6" t="str">
        <f ca="1">IFERROR(__xludf.DUMMYFUNCTION("""COMPUTED_VALUE"""),"UN")</f>
        <v>UN</v>
      </c>
      <c r="F152" s="6" t="str">
        <f ca="1">IFERROR(__xludf.DUMMYFUNCTION("""COMPUTED_VALUE"""),"Desechables")</f>
        <v>Desechables</v>
      </c>
      <c r="G152" s="25">
        <f t="shared" ca="1" si="0"/>
        <v>45522.9</v>
      </c>
      <c r="H152" s="25">
        <f t="shared" ca="1" si="6"/>
        <v>8649.3510000000006</v>
      </c>
      <c r="I152" s="25">
        <f t="shared" ca="1" si="7"/>
        <v>54172.251000000004</v>
      </c>
      <c r="J152" s="156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8"/>
      <c r="Z152" s="28"/>
    </row>
    <row r="153" spans="1:26" ht="15.75">
      <c r="A153" s="7" t="str">
        <f ca="1">IFERROR(__xludf.DUMMYFUNCTION("""COMPUTED_VALUE"""),"ti-ing-171a7412-fad1-4c6f-b2ed-c117f284a505")</f>
        <v>ti-ing-171a7412-fad1-4c6f-b2ed-c117f284a505</v>
      </c>
      <c r="B153" s="7" t="str">
        <f ca="1">IFERROR(__xludf.DUMMYFUNCTION("""COMPUTED_VALUE"""),"BOLSA KRAFT CON TROQUEL 32X32X18 (1X200)")</f>
        <v>BOLSA KRAFT CON TROQUEL 32X32X18 (1X200)</v>
      </c>
      <c r="C153" s="8">
        <v>50</v>
      </c>
      <c r="D153" s="21">
        <f ca="1">IFERROR(__xludf.DUMMYFUNCTION("""COMPUTED_VALUE"""),140.49)</f>
        <v>140.49</v>
      </c>
      <c r="E153" s="6" t="str">
        <f ca="1">IFERROR(__xludf.DUMMYFUNCTION("""COMPUTED_VALUE"""),"UN")</f>
        <v>UN</v>
      </c>
      <c r="F153" s="6" t="str">
        <f ca="1">IFERROR(__xludf.DUMMYFUNCTION("""COMPUTED_VALUE"""),"Desechables")</f>
        <v>Desechables</v>
      </c>
      <c r="G153" s="25">
        <f t="shared" ca="1" si="0"/>
        <v>7024.5</v>
      </c>
      <c r="H153" s="25">
        <f t="shared" ca="1" si="6"/>
        <v>1334.655</v>
      </c>
      <c r="I153" s="25">
        <f t="shared" ca="1" si="7"/>
        <v>8359.1550000000007</v>
      </c>
      <c r="J153" s="156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8"/>
      <c r="Z153" s="28"/>
    </row>
    <row r="154" spans="1:26" ht="15.75">
      <c r="A154" s="7" t="str">
        <f ca="1">IFERROR(__xludf.DUMMYFUNCTION("""COMPUTED_VALUE"""),"ti-ing-1189ed45-76f6-42fd-938b-e7dc8ccedf39")</f>
        <v>ti-ing-1189ed45-76f6-42fd-938b-e7dc8ccedf39</v>
      </c>
      <c r="B154" s="7" t="str">
        <f ca="1">IFERROR(__xludf.DUMMYFUNCTION("""COMPUTED_VALUE"""),"Bolsa Transparente de Pan (80x40)  10k")</f>
        <v>Bolsa Transparente de Pan (80x40)  10k</v>
      </c>
      <c r="C154" s="8">
        <v>1</v>
      </c>
      <c r="D154" s="21">
        <f ca="1">IFERROR(__xludf.DUMMYFUNCTION("""COMPUTED_VALUE"""),34647)</f>
        <v>34647</v>
      </c>
      <c r="E154" s="6" t="str">
        <f ca="1">IFERROR(__xludf.DUMMYFUNCTION("""COMPUTED_VALUE"""),"UN")</f>
        <v>UN</v>
      </c>
      <c r="F154" s="6" t="str">
        <f ca="1">IFERROR(__xludf.DUMMYFUNCTION("""COMPUTED_VALUE"""),"Desechables")</f>
        <v>Desechables</v>
      </c>
      <c r="G154" s="25">
        <f t="shared" ca="1" si="0"/>
        <v>34647</v>
      </c>
      <c r="H154" s="25">
        <f t="shared" ca="1" si="6"/>
        <v>6582.93</v>
      </c>
      <c r="I154" s="25">
        <f t="shared" ca="1" si="7"/>
        <v>41229.93</v>
      </c>
      <c r="J154" s="156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8"/>
      <c r="Z154" s="28"/>
    </row>
    <row r="155" spans="1:26" ht="15.75">
      <c r="A155" s="7" t="str">
        <f ca="1">IFERROR(__xludf.DUMMYFUNCTION("""COMPUTED_VALUE"""),"ti-ing-3f369fe5-7a8e-404f-b4c8-6069d9081623")</f>
        <v>ti-ing-3f369fe5-7a8e-404f-b4c8-6069d9081623</v>
      </c>
      <c r="B155" s="7" t="str">
        <f ca="1">IFERROR(__xludf.DUMMYFUNCTION("""COMPUTED_VALUE"""),"BOLSAS PORCIONADORAS DE PULPA (5 kilos)")</f>
        <v>BOLSAS PORCIONADORAS DE PULPA (5 kilos)</v>
      </c>
      <c r="C155" s="8">
        <v>1</v>
      </c>
      <c r="D155" s="21">
        <f ca="1">IFERROR(__xludf.DUMMYFUNCTION("""COMPUTED_VALUE"""),17850)</f>
        <v>17850</v>
      </c>
      <c r="E155" s="6" t="str">
        <f ca="1">IFERROR(__xludf.DUMMYFUNCTION("""COMPUTED_VALUE"""),"UN")</f>
        <v>UN</v>
      </c>
      <c r="F155" s="6" t="str">
        <f ca="1">IFERROR(__xludf.DUMMYFUNCTION("""COMPUTED_VALUE"""),"Desechables")</f>
        <v>Desechables</v>
      </c>
      <c r="G155" s="25">
        <f t="shared" ca="1" si="0"/>
        <v>17850</v>
      </c>
      <c r="H155" s="25">
        <f t="shared" ca="1" si="6"/>
        <v>3391.5</v>
      </c>
      <c r="I155" s="25">
        <f t="shared" ca="1" si="7"/>
        <v>21241.5</v>
      </c>
      <c r="J155" s="156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8"/>
      <c r="Z155" s="28"/>
    </row>
    <row r="156" spans="1:26" ht="15.75">
      <c r="A156" s="7" t="str">
        <f ca="1">IFERROR(__xludf.DUMMYFUNCTION("""COMPUTED_VALUE"""),"ti-ing-657d0c90-aee6-466b-953a-6144f3a6e8dd")</f>
        <v>ti-ing-657d0c90-aee6-466b-953a-6144f3a6e8dd</v>
      </c>
      <c r="B156" s="7" t="str">
        <f ca="1">IFERROR(__xludf.DUMMYFUNCTION("""COMPUTED_VALUE"""),"BOMBILLAS (Unidad)")</f>
        <v>BOMBILLAS (Unidad)</v>
      </c>
      <c r="C156" s="8">
        <v>4400</v>
      </c>
      <c r="D156" s="21">
        <f ca="1">IFERROR(__xludf.DUMMYFUNCTION("""COMPUTED_VALUE"""),8.03519765)</f>
        <v>8.0351976500000006</v>
      </c>
      <c r="E156" s="6" t="str">
        <f ca="1">IFERROR(__xludf.DUMMYFUNCTION("""COMPUTED_VALUE"""),"UN")</f>
        <v>UN</v>
      </c>
      <c r="F156" s="6" t="str">
        <f ca="1">IFERROR(__xludf.DUMMYFUNCTION("""COMPUTED_VALUE"""),"Desechables")</f>
        <v>Desechables</v>
      </c>
      <c r="G156" s="25">
        <f t="shared" ca="1" si="0"/>
        <v>35354.869660000004</v>
      </c>
      <c r="H156" s="25">
        <f t="shared" ca="1" si="6"/>
        <v>6717.4252354000009</v>
      </c>
      <c r="I156" s="25">
        <f t="shared" ca="1" si="7"/>
        <v>42072.294895400002</v>
      </c>
      <c r="J156" s="156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8"/>
      <c r="Z156" s="28"/>
    </row>
    <row r="157" spans="1:26" ht="15.75">
      <c r="A157" s="7" t="str">
        <f ca="1">IFERROR(__xludf.DUMMYFUNCTION("""COMPUTED_VALUE"""),"ti-ing-b9b61920-3597-4e41-bbb7-aad976c547a5")</f>
        <v>ti-ing-b9b61920-3597-4e41-bbb7-aad976c547a5</v>
      </c>
      <c r="B157" s="7" t="str">
        <f ca="1">IFERROR(__xludf.DUMMYFUNCTION("""COMPUTED_VALUE"""),"BOWL KRAFT 1300")</f>
        <v>BOWL KRAFT 1300</v>
      </c>
      <c r="C157" s="8">
        <v>250</v>
      </c>
      <c r="D157" s="21">
        <f ca="1">IFERROR(__xludf.DUMMYFUNCTION("""COMPUTED_VALUE"""),117.6467001)</f>
        <v>117.6467001</v>
      </c>
      <c r="E157" s="6" t="str">
        <f ca="1">IFERROR(__xludf.DUMMYFUNCTION("""COMPUTED_VALUE"""),"UN")</f>
        <v>UN</v>
      </c>
      <c r="F157" s="6" t="str">
        <f ca="1">IFERROR(__xludf.DUMMYFUNCTION("""COMPUTED_VALUE"""),"Desechables")</f>
        <v>Desechables</v>
      </c>
      <c r="G157" s="25">
        <f t="shared" ca="1" si="0"/>
        <v>29411.675025</v>
      </c>
      <c r="H157" s="25">
        <f t="shared" ca="1" si="6"/>
        <v>5588.2182547500006</v>
      </c>
      <c r="I157" s="25">
        <f t="shared" ca="1" si="7"/>
        <v>34999.893279750002</v>
      </c>
      <c r="J157" s="156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8"/>
      <c r="Z157" s="28"/>
    </row>
    <row r="158" spans="1:26" ht="15.75">
      <c r="A158" s="7" t="str">
        <f ca="1">IFERROR(__xludf.DUMMYFUNCTION("""COMPUTED_VALUE"""),"ti-ing-01eec81f-3fe0-4eca-a163-8d3156ad741d")</f>
        <v>ti-ing-01eec81f-3fe0-4eca-a163-8d3156ad741d</v>
      </c>
      <c r="B158" s="7" t="str">
        <f ca="1">IFERROR(__xludf.DUMMYFUNCTION("""COMPUTED_VALUE"""),"CAJA BRIOCHE CHICA")</f>
        <v>CAJA BRIOCHE CHICA</v>
      </c>
      <c r="C158" s="8">
        <v>9250</v>
      </c>
      <c r="D158" s="21">
        <f ca="1">IFERROR(__xludf.DUMMYFUNCTION("""COMPUTED_VALUE"""),128)</f>
        <v>128</v>
      </c>
      <c r="E158" s="6" t="str">
        <f ca="1">IFERROR(__xludf.DUMMYFUNCTION("""COMPUTED_VALUE"""),"UN")</f>
        <v>UN</v>
      </c>
      <c r="F158" s="6" t="str">
        <f ca="1">IFERROR(__xludf.DUMMYFUNCTION("""COMPUTED_VALUE"""),"Desechables")</f>
        <v>Desechables</v>
      </c>
      <c r="G158" s="25">
        <f t="shared" ca="1" si="0"/>
        <v>1184000</v>
      </c>
      <c r="H158" s="25">
        <f t="shared" ca="1" si="6"/>
        <v>224960</v>
      </c>
      <c r="I158" s="25">
        <f t="shared" ca="1" si="7"/>
        <v>1408960</v>
      </c>
      <c r="J158" s="156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8"/>
      <c r="Z158" s="28"/>
    </row>
    <row r="159" spans="1:26" ht="15.75">
      <c r="A159" s="7" t="str">
        <f ca="1">IFERROR(__xludf.DUMMYFUNCTION("""COMPUTED_VALUE"""),"ti-ing-d9da31d0-599b-48e8-a865-3cb8fc8a6e21")</f>
        <v>ti-ing-d9da31d0-599b-48e8-a865-3cb8fc8a6e21</v>
      </c>
      <c r="B159" s="7" t="str">
        <f ca="1">IFERROR(__xludf.DUMMYFUNCTION("""COMPUTED_VALUE"""),"CAJA BRIOCHE GRANDE")</f>
        <v>CAJA BRIOCHE GRANDE</v>
      </c>
      <c r="C159" s="8">
        <v>10000</v>
      </c>
      <c r="D159" s="21">
        <f ca="1">IFERROR(__xludf.DUMMYFUNCTION("""COMPUTED_VALUE"""),155)</f>
        <v>155</v>
      </c>
      <c r="E159" s="6" t="str">
        <f ca="1">IFERROR(__xludf.DUMMYFUNCTION("""COMPUTED_VALUE"""),"un")</f>
        <v>un</v>
      </c>
      <c r="F159" s="6" t="str">
        <f ca="1">IFERROR(__xludf.DUMMYFUNCTION("""COMPUTED_VALUE"""),"Desechables")</f>
        <v>Desechables</v>
      </c>
      <c r="G159" s="25">
        <f t="shared" ca="1" si="0"/>
        <v>1550000</v>
      </c>
      <c r="H159" s="25">
        <f t="shared" ca="1" si="6"/>
        <v>294500</v>
      </c>
      <c r="I159" s="25">
        <f t="shared" ca="1" si="7"/>
        <v>1844500</v>
      </c>
      <c r="J159" s="156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8"/>
      <c r="Z159" s="28"/>
    </row>
    <row r="160" spans="1:26" ht="15.75">
      <c r="A160" s="7" t="str">
        <f ca="1">IFERROR(__xludf.DUMMYFUNCTION("""COMPUTED_VALUE"""),"ti-ing-20772dc7-71d7-4506-83d8-e29aa061ce6f")</f>
        <v>ti-ing-20772dc7-71d7-4506-83d8-e29aa061ce6f</v>
      </c>
      <c r="B160" s="7" t="str">
        <f ca="1">IFERROR(__xludf.DUMMYFUNCTION("""COMPUTED_VALUE"""),"Caja con ventana 1200B para galletas")</f>
        <v>Caja con ventana 1200B para galletas</v>
      </c>
      <c r="C160" s="8">
        <v>200</v>
      </c>
      <c r="D160" s="21">
        <f ca="1">IFERROR(__xludf.DUMMYFUNCTION("""COMPUTED_VALUE"""),152.5)</f>
        <v>152.5</v>
      </c>
      <c r="E160" s="6" t="str">
        <f ca="1">IFERROR(__xludf.DUMMYFUNCTION("""COMPUTED_VALUE"""),"UN")</f>
        <v>UN</v>
      </c>
      <c r="F160" s="6" t="str">
        <f ca="1">IFERROR(__xludf.DUMMYFUNCTION("""COMPUTED_VALUE"""),"Desechables")</f>
        <v>Desechables</v>
      </c>
      <c r="G160" s="25">
        <f t="shared" ca="1" si="0"/>
        <v>30500</v>
      </c>
      <c r="H160" s="25">
        <f t="shared" ca="1" si="6"/>
        <v>5795</v>
      </c>
      <c r="I160" s="25">
        <f t="shared" ca="1" si="7"/>
        <v>36295</v>
      </c>
      <c r="J160" s="156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8"/>
      <c r="Z160" s="28"/>
    </row>
    <row r="161" spans="1:26" ht="15.75">
      <c r="A161" s="7" t="str">
        <f ca="1">IFERROR(__xludf.DUMMYFUNCTION("""COMPUTED_VALUE"""),"ti-ing-6eba202e-1eac-456e-ae14-eb2a0b197d41")</f>
        <v>ti-ing-6eba202e-1eac-456e-ae14-eb2a0b197d41</v>
      </c>
      <c r="B161" s="7" t="str">
        <f ca="1">IFERROR(__xludf.DUMMYFUNCTION("""COMPUTED_VALUE"""),"caja kraff con ventana gde")</f>
        <v>caja kraff con ventana gde</v>
      </c>
      <c r="C161" s="8">
        <v>0</v>
      </c>
      <c r="D161" s="21">
        <f ca="1">IFERROR(__xludf.DUMMYFUNCTION("""COMPUTED_VALUE"""),399.96)</f>
        <v>399.96</v>
      </c>
      <c r="E161" s="6" t="str">
        <f ca="1">IFERROR(__xludf.DUMMYFUNCTION("""COMPUTED_VALUE"""),"UN")</f>
        <v>UN</v>
      </c>
      <c r="F161" s="6" t="str">
        <f ca="1">IFERROR(__xludf.DUMMYFUNCTION("""COMPUTED_VALUE"""),"Desechables")</f>
        <v>Desechables</v>
      </c>
      <c r="G161" s="25">
        <f t="shared" ca="1" si="0"/>
        <v>0</v>
      </c>
      <c r="H161" s="25">
        <f t="shared" ca="1" si="6"/>
        <v>0</v>
      </c>
      <c r="I161" s="25">
        <f t="shared" ca="1" si="7"/>
        <v>0</v>
      </c>
      <c r="J161" s="156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8"/>
      <c r="Z161" s="28"/>
    </row>
    <row r="162" spans="1:26" ht="15.75">
      <c r="A162" s="7" t="str">
        <f ca="1">IFERROR(__xludf.DUMMYFUNCTION("""COMPUTED_VALUE"""),"ti-ing-9913b822-0840-4014-8881-2aba5a10c9f4")</f>
        <v>ti-ing-9913b822-0840-4014-8881-2aba5a10c9f4</v>
      </c>
      <c r="B162" s="7" t="str">
        <f ca="1">IFERROR(__xludf.DUMMYFUNCTION("""COMPUTED_VALUE"""),"CAJA KRAFT CON VENTANA CHICA (Caja 200 Un)")</f>
        <v>CAJA KRAFT CON VENTANA CHICA (Caja 200 Un)</v>
      </c>
      <c r="C162" s="8">
        <v>50</v>
      </c>
      <c r="D162" s="21">
        <f ca="1">IFERROR(__xludf.DUMMYFUNCTION("""COMPUTED_VALUE"""),165.335)</f>
        <v>165.33500000000001</v>
      </c>
      <c r="E162" s="6" t="str">
        <f ca="1">IFERROR(__xludf.DUMMYFUNCTION("""COMPUTED_VALUE"""),"UN")</f>
        <v>UN</v>
      </c>
      <c r="F162" s="6" t="str">
        <f ca="1">IFERROR(__xludf.DUMMYFUNCTION("""COMPUTED_VALUE"""),"Desechables")</f>
        <v>Desechables</v>
      </c>
      <c r="G162" s="25">
        <f t="shared" ca="1" si="0"/>
        <v>8266.75</v>
      </c>
      <c r="H162" s="25">
        <f t="shared" ca="1" si="6"/>
        <v>1570.6825000000001</v>
      </c>
      <c r="I162" s="25">
        <f t="shared" ca="1" si="7"/>
        <v>9837.4325000000008</v>
      </c>
      <c r="J162" s="156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8"/>
      <c r="Z162" s="28"/>
    </row>
    <row r="163" spans="1:26" ht="15.75">
      <c r="A163" s="7"/>
      <c r="B163" s="7" t="str">
        <f ca="1">IFERROR(__xludf.DUMMYFUNCTION("""COMPUTED_VALUE"""),"Cofia tipo monja")</f>
        <v>Cofia tipo monja</v>
      </c>
      <c r="C163" s="8">
        <v>200</v>
      </c>
      <c r="D163" s="21">
        <f ca="1">IFERROR(__xludf.DUMMYFUNCTION("""COMPUTED_VALUE"""),101.7863253)</f>
        <v>101.7863253</v>
      </c>
      <c r="E163" s="6" t="str">
        <f ca="1">IFERROR(__xludf.DUMMYFUNCTION("""COMPUTED_VALUE"""),"UN")</f>
        <v>UN</v>
      </c>
      <c r="F163" s="6" t="str">
        <f ca="1">IFERROR(__xludf.DUMMYFUNCTION("""COMPUTED_VALUE"""),"Desechables")</f>
        <v>Desechables</v>
      </c>
      <c r="G163" s="25">
        <f t="shared" ca="1" si="0"/>
        <v>20357.265060000002</v>
      </c>
      <c r="H163" s="25">
        <f t="shared" ca="1" si="6"/>
        <v>3867.8803614000003</v>
      </c>
      <c r="I163" s="25">
        <f t="shared" ca="1" si="7"/>
        <v>24225.1454214</v>
      </c>
      <c r="J163" s="156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8"/>
      <c r="Z163" s="28"/>
    </row>
    <row r="164" spans="1:26" ht="15.75">
      <c r="A164" s="7" t="str">
        <f ca="1">IFERROR(__xludf.DUMMYFUNCTION("""COMPUTED_VALUE"""),"ti-ing-68e6ad9d-c495-4a8e-9a14-9e4341f7e996")</f>
        <v>ti-ing-68e6ad9d-c495-4a8e-9a14-9e4341f7e996</v>
      </c>
      <c r="B164" s="7" t="str">
        <f ca="1">IFERROR(__xludf.DUMMYFUNCTION("""COMPUTED_VALUE"""),"Contenedor de aluminio c-18")</f>
        <v>Contenedor de aluminio c-18</v>
      </c>
      <c r="C164" s="8">
        <v>125</v>
      </c>
      <c r="D164" s="21">
        <f ca="1">IFERROR(__xludf.DUMMYFUNCTION("""COMPUTED_VALUE"""),85.21855556)</f>
        <v>85.218555559999999</v>
      </c>
      <c r="E164" s="6" t="str">
        <f ca="1">IFERROR(__xludf.DUMMYFUNCTION("""COMPUTED_VALUE"""),"UN")</f>
        <v>UN</v>
      </c>
      <c r="F164" s="6" t="str">
        <f ca="1">IFERROR(__xludf.DUMMYFUNCTION("""COMPUTED_VALUE"""),"Desechables")</f>
        <v>Desechables</v>
      </c>
      <c r="G164" s="25">
        <f t="shared" ca="1" si="0"/>
        <v>10652.319444999999</v>
      </c>
      <c r="H164" s="25">
        <f t="shared" ca="1" si="6"/>
        <v>2023.9406945499998</v>
      </c>
      <c r="I164" s="25">
        <f t="shared" ca="1" si="7"/>
        <v>12676.260139549999</v>
      </c>
      <c r="J164" s="156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8"/>
      <c r="Z164" s="28"/>
    </row>
    <row r="165" spans="1:26" ht="15.75">
      <c r="A165" s="7"/>
      <c r="B165" s="7" t="str">
        <f ca="1">IFERROR(__xludf.DUMMYFUNCTION("""COMPUTED_VALUE"""),"cubre barba")</f>
        <v>cubre barba</v>
      </c>
      <c r="C165" s="8">
        <v>100</v>
      </c>
      <c r="D165" s="21">
        <f ca="1">IFERROR(__xludf.DUMMYFUNCTION("""COMPUTED_VALUE"""),46.5)</f>
        <v>46.5</v>
      </c>
      <c r="E165" s="6" t="str">
        <f ca="1">IFERROR(__xludf.DUMMYFUNCTION("""COMPUTED_VALUE"""),"UN")</f>
        <v>UN</v>
      </c>
      <c r="F165" s="6" t="str">
        <f ca="1">IFERROR(__xludf.DUMMYFUNCTION("""COMPUTED_VALUE"""),"Desechables")</f>
        <v>Desechables</v>
      </c>
      <c r="G165" s="25">
        <f t="shared" ca="1" si="0"/>
        <v>4650</v>
      </c>
      <c r="H165" s="25">
        <f t="shared" ca="1" si="6"/>
        <v>883.5</v>
      </c>
      <c r="I165" s="25">
        <f t="shared" ca="1" si="7"/>
        <v>5533.5</v>
      </c>
      <c r="J165" s="156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8"/>
      <c r="Z165" s="28"/>
    </row>
    <row r="166" spans="1:26" ht="15.75">
      <c r="A166" s="7" t="str">
        <f ca="1">IFERROR(__xludf.DUMMYFUNCTION("""COMPUTED_VALUE"""),"ti-ing-6de3399c-b35b-4eb5-ae73-cad819723851")</f>
        <v>ti-ing-6de3399c-b35b-4eb5-ae73-cad819723851</v>
      </c>
      <c r="B166" s="7" t="str">
        <f ca="1">IFERROR(__xludf.DUMMYFUNCTION("""COMPUTED_VALUE"""),"Cubre calzado (100un)")</f>
        <v>Cubre calzado (100un)</v>
      </c>
      <c r="C166" s="8">
        <v>4</v>
      </c>
      <c r="D166" s="21">
        <f ca="1">IFERROR(__xludf.DUMMYFUNCTION("""COMPUTED_VALUE"""),2680)</f>
        <v>2680</v>
      </c>
      <c r="E166" s="6" t="str">
        <f ca="1">IFERROR(__xludf.DUMMYFUNCTION("""COMPUTED_VALUE"""),"UN")</f>
        <v>UN</v>
      </c>
      <c r="F166" s="6" t="str">
        <f ca="1">IFERROR(__xludf.DUMMYFUNCTION("""COMPUTED_VALUE"""),"Desechables")</f>
        <v>Desechables</v>
      </c>
      <c r="G166" s="25">
        <f t="shared" ca="1" si="0"/>
        <v>10720</v>
      </c>
      <c r="H166" s="25">
        <f t="shared" ca="1" si="6"/>
        <v>2036.8</v>
      </c>
      <c r="I166" s="25">
        <f t="shared" ca="1" si="7"/>
        <v>12756.8</v>
      </c>
      <c r="J166" s="156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8"/>
      <c r="Z166" s="28"/>
    </row>
    <row r="167" spans="1:26" ht="15.75">
      <c r="A167" s="7" t="str">
        <f ca="1">IFERROR(__xludf.DUMMYFUNCTION("""COMPUTED_VALUE"""),"ti-ing-33ce059a-0358-462e-ab2f-e4e2e34cdd8f")</f>
        <v>ti-ing-33ce059a-0358-462e-ab2f-e4e2e34cdd8f</v>
      </c>
      <c r="B167" s="7" t="str">
        <f ca="1">IFERROR(__xludf.DUMMYFUNCTION("""COMPUTED_VALUE"""),"Cupula 20x12x10")</f>
        <v>Cupula 20x12x10</v>
      </c>
      <c r="C167" s="8">
        <v>0</v>
      </c>
      <c r="D167" s="21">
        <f ca="1">IFERROR(__xludf.DUMMYFUNCTION("""COMPUTED_VALUE"""),621.84)</f>
        <v>621.84</v>
      </c>
      <c r="E167" s="6" t="str">
        <f ca="1">IFERROR(__xludf.DUMMYFUNCTION("""COMPUTED_VALUE"""),"UN")</f>
        <v>UN</v>
      </c>
      <c r="F167" s="6" t="str">
        <f ca="1">IFERROR(__xludf.DUMMYFUNCTION("""COMPUTED_VALUE"""),"Desechables")</f>
        <v>Desechables</v>
      </c>
      <c r="G167" s="25">
        <f t="shared" ca="1" si="0"/>
        <v>0</v>
      </c>
      <c r="H167" s="25">
        <f t="shared" ca="1" si="6"/>
        <v>0</v>
      </c>
      <c r="I167" s="25">
        <f t="shared" ca="1" si="7"/>
        <v>0</v>
      </c>
      <c r="J167" s="156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8"/>
      <c r="Z167" s="28"/>
    </row>
    <row r="168" spans="1:26" ht="15.75">
      <c r="A168" s="7" t="str">
        <f ca="1">IFERROR(__xludf.DUMMYFUNCTION("""COMPUTED_VALUE"""),"ti-ing-079ee413-db86-4e4b-881a-4dc4a49fef4c")</f>
        <v>ti-ing-079ee413-db86-4e4b-881a-4dc4a49fef4c</v>
      </c>
      <c r="B168" s="7" t="str">
        <f ca="1">IFERROR(__xludf.DUMMYFUNCTION("""COMPUTED_VALUE"""),"ENVASE PET- 7189 TORTA INDIVIDUAL")</f>
        <v>ENVASE PET- 7189 TORTA INDIVIDUAL</v>
      </c>
      <c r="C168" s="8">
        <v>200</v>
      </c>
      <c r="D168" s="21">
        <f ca="1">IFERROR(__xludf.DUMMYFUNCTION("""COMPUTED_VALUE"""),71.65)</f>
        <v>71.650000000000006</v>
      </c>
      <c r="E168" s="6" t="str">
        <f ca="1">IFERROR(__xludf.DUMMYFUNCTION("""COMPUTED_VALUE"""),"UN")</f>
        <v>UN</v>
      </c>
      <c r="F168" s="6" t="str">
        <f ca="1">IFERROR(__xludf.DUMMYFUNCTION("""COMPUTED_VALUE"""),"Desechables")</f>
        <v>Desechables</v>
      </c>
      <c r="G168" s="25">
        <f t="shared" ca="1" si="0"/>
        <v>14330.000000000002</v>
      </c>
      <c r="H168" s="25">
        <f t="shared" ca="1" si="6"/>
        <v>2722.7000000000003</v>
      </c>
      <c r="I168" s="25">
        <f t="shared" ca="1" si="7"/>
        <v>17052.7</v>
      </c>
      <c r="J168" s="156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8"/>
      <c r="Z168" s="28"/>
    </row>
    <row r="169" spans="1:26" ht="15.75">
      <c r="A169" s="7" t="str">
        <f ca="1">IFERROR(__xludf.DUMMYFUNCTION("""COMPUTED_VALUE"""),"ti-ing-1e31b41d-8d6d-4008-a086-04a8bfc838c0")</f>
        <v>ti-ing-1e31b41d-8d6d-4008-a086-04a8bfc838c0</v>
      </c>
      <c r="B169" s="7" t="str">
        <f ca="1">IFERROR(__xludf.DUMMYFUNCTION("""COMPUTED_VALUE"""),"Gas Propano")</f>
        <v>Gas Propano</v>
      </c>
      <c r="C169" s="8">
        <v>10</v>
      </c>
      <c r="D169" s="21">
        <f ca="1">IFERROR(__xludf.DUMMYFUNCTION("""COMPUTED_VALUE"""),1500)</f>
        <v>1500</v>
      </c>
      <c r="E169" s="6" t="str">
        <f ca="1">IFERROR(__xludf.DUMMYFUNCTION("""COMPUTED_VALUE"""),"UN")</f>
        <v>UN</v>
      </c>
      <c r="F169" s="6" t="str">
        <f ca="1">IFERROR(__xludf.DUMMYFUNCTION("""COMPUTED_VALUE"""),"Desechables")</f>
        <v>Desechables</v>
      </c>
      <c r="G169" s="25">
        <f t="shared" ca="1" si="0"/>
        <v>15000</v>
      </c>
      <c r="H169" s="25">
        <f t="shared" ca="1" si="6"/>
        <v>2850</v>
      </c>
      <c r="I169" s="25">
        <f t="shared" ca="1" si="7"/>
        <v>17850</v>
      </c>
      <c r="J169" s="156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8"/>
      <c r="Z169" s="28"/>
    </row>
    <row r="170" spans="1:26" ht="15.75">
      <c r="A170" s="7" t="str">
        <f ca="1">IFERROR(__xludf.DUMMYFUNCTION("""COMPUTED_VALUE"""),"ti-ing-17b3be36-797d-4692-b29b-81b4fc773b2d")</f>
        <v>ti-ing-17b3be36-797d-4692-b29b-81b4fc773b2d</v>
      </c>
      <c r="B170" s="7" t="str">
        <f ca="1">IFERROR(__xludf.DUMMYFUNCTION("""COMPUTED_VALUE"""),"Grifa Alambre (Paquete)")</f>
        <v>Grifa Alambre (Paquete)</v>
      </c>
      <c r="C170" s="8">
        <v>2</v>
      </c>
      <c r="D170" s="21">
        <f ca="1">IFERROR(__xludf.DUMMYFUNCTION("""COMPUTED_VALUE"""),672.2)</f>
        <v>672.2</v>
      </c>
      <c r="E170" s="6" t="str">
        <f ca="1">IFERROR(__xludf.DUMMYFUNCTION("""COMPUTED_VALUE"""),"UN")</f>
        <v>UN</v>
      </c>
      <c r="F170" s="6" t="str">
        <f ca="1">IFERROR(__xludf.DUMMYFUNCTION("""COMPUTED_VALUE"""),"Desechables")</f>
        <v>Desechables</v>
      </c>
      <c r="G170" s="25">
        <f t="shared" ca="1" si="0"/>
        <v>1344.4</v>
      </c>
      <c r="H170" s="25">
        <f t="shared" ca="1" si="6"/>
        <v>255.43600000000001</v>
      </c>
      <c r="I170" s="25">
        <f t="shared" ca="1" si="7"/>
        <v>1599.836</v>
      </c>
      <c r="J170" s="156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8"/>
      <c r="Z170" s="28"/>
    </row>
    <row r="171" spans="1:26" ht="15.75">
      <c r="A171" s="7" t="str">
        <f ca="1">IFERROR(__xludf.DUMMYFUNCTION("""COMPUTED_VALUE"""),"ti-ing-fc936293-d5ea-43d7-81e9-6e8ead151cfa")</f>
        <v>ti-ing-fc936293-d5ea-43d7-81e9-6e8ead151cfa</v>
      </c>
      <c r="B171" s="7" t="str">
        <f ca="1">IFERROR(__xludf.DUMMYFUNCTION("""COMPUTED_VALUE"""),"Guante bodeguero")</f>
        <v>Guante bodeguero</v>
      </c>
      <c r="C171" s="68">
        <v>1</v>
      </c>
      <c r="D171" s="21">
        <f ca="1">IFERROR(__xludf.DUMMYFUNCTION("""COMPUTED_VALUE"""),1490)</f>
        <v>1490</v>
      </c>
      <c r="E171" s="6" t="str">
        <f ca="1">IFERROR(__xludf.DUMMYFUNCTION("""COMPUTED_VALUE"""),"UN")</f>
        <v>UN</v>
      </c>
      <c r="F171" s="6" t="str">
        <f ca="1">IFERROR(__xludf.DUMMYFUNCTION("""COMPUTED_VALUE"""),"Desechables")</f>
        <v>Desechables</v>
      </c>
      <c r="G171" s="25">
        <f t="shared" ca="1" si="0"/>
        <v>1490</v>
      </c>
      <c r="H171" s="25">
        <f t="shared" ca="1" si="6"/>
        <v>283.10000000000002</v>
      </c>
      <c r="I171" s="25">
        <f t="shared" ca="1" si="7"/>
        <v>1773.1</v>
      </c>
      <c r="J171" s="156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8"/>
      <c r="Z171" s="28"/>
    </row>
    <row r="172" spans="1:26" ht="15.75">
      <c r="A172" s="7" t="str">
        <f ca="1">IFERROR(__xludf.DUMMYFUNCTION("""COMPUTED_VALUE"""),"ti-ing-ebcd4938-8c02-4365-b344-a77d847cf9f3")</f>
        <v>ti-ing-ebcd4938-8c02-4365-b344-a77d847cf9f3</v>
      </c>
      <c r="B172" s="7" t="str">
        <f ca="1">IFERROR(__xludf.DUMMYFUNCTION("""COMPUTED_VALUE"""),"MOLDE PAPEL QUEQUE GRANDE")</f>
        <v>MOLDE PAPEL QUEQUE GRANDE</v>
      </c>
      <c r="C172" s="8">
        <v>0</v>
      </c>
      <c r="D172" s="21">
        <f ca="1">IFERROR(__xludf.DUMMYFUNCTION("""COMPUTED_VALUE"""),198.74)</f>
        <v>198.74</v>
      </c>
      <c r="E172" s="6" t="str">
        <f ca="1">IFERROR(__xludf.DUMMYFUNCTION("""COMPUTED_VALUE"""),"UN")</f>
        <v>UN</v>
      </c>
      <c r="F172" s="6" t="str">
        <f ca="1">IFERROR(__xludf.DUMMYFUNCTION("""COMPUTED_VALUE"""),"Desechables")</f>
        <v>Desechables</v>
      </c>
      <c r="G172" s="25">
        <f t="shared" ca="1" si="0"/>
        <v>0</v>
      </c>
      <c r="H172" s="25">
        <f t="shared" ca="1" si="6"/>
        <v>0</v>
      </c>
      <c r="I172" s="25">
        <f t="shared" ca="1" si="7"/>
        <v>0</v>
      </c>
      <c r="J172" s="156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8"/>
      <c r="Z172" s="28"/>
    </row>
    <row r="173" spans="1:26" ht="15.75">
      <c r="A173" s="7" t="str">
        <f ca="1">IFERROR(__xludf.DUMMYFUNCTION("""COMPUTED_VALUE"""),"ti-ing-0ebe9668-e620-4524-bc27-1ead811621ea")</f>
        <v>ti-ing-0ebe9668-e620-4524-bc27-1ead811621ea</v>
      </c>
      <c r="B173" s="7" t="str">
        <f ca="1">IFERROR(__xludf.DUMMYFUNCTION("""COMPUTED_VALUE"""),"PALITOS PARA REVOLVER CAFÉ")</f>
        <v>PALITOS PARA REVOLVER CAFÉ</v>
      </c>
      <c r="C173" s="8">
        <v>0</v>
      </c>
      <c r="D173" s="21">
        <f ca="1">IFERROR(__xludf.DUMMYFUNCTION("""COMPUTED_VALUE"""),18.488)</f>
        <v>18.488</v>
      </c>
      <c r="E173" s="6" t="str">
        <f ca="1">IFERROR(__xludf.DUMMYFUNCTION("""COMPUTED_VALUE"""),"UN")</f>
        <v>UN</v>
      </c>
      <c r="F173" s="6" t="str">
        <f ca="1">IFERROR(__xludf.DUMMYFUNCTION("""COMPUTED_VALUE"""),"Desechables")</f>
        <v>Desechables</v>
      </c>
      <c r="G173" s="25">
        <f t="shared" ca="1" si="0"/>
        <v>0</v>
      </c>
      <c r="H173" s="25">
        <f t="shared" ca="1" si="6"/>
        <v>0</v>
      </c>
      <c r="I173" s="25">
        <f t="shared" ca="1" si="7"/>
        <v>0</v>
      </c>
      <c r="J173" s="156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8"/>
      <c r="Z173" s="28"/>
    </row>
    <row r="174" spans="1:26" ht="15.75">
      <c r="A174" s="7" t="str">
        <f ca="1">IFERROR(__xludf.DUMMYFUNCTION("""COMPUTED_VALUE"""),"ti-ing-e49e641d-6d0e-4558-a4a7-a4bc64ba0cae")</f>
        <v>ti-ing-e49e641d-6d0e-4558-a4a7-a4bc64ba0cae</v>
      </c>
      <c r="B174" s="7" t="str">
        <f ca="1">IFERROR(__xludf.DUMMYFUNCTION("""COMPUTED_VALUE"""),"PAPEL ALUSA ROLLOS CHICOS")</f>
        <v>PAPEL ALUSA ROLLOS CHICOS</v>
      </c>
      <c r="C174" s="8">
        <v>3</v>
      </c>
      <c r="D174" s="21">
        <f ca="1">IFERROR(__xludf.DUMMYFUNCTION("""COMPUTED_VALUE"""),4115)</f>
        <v>4115</v>
      </c>
      <c r="E174" s="6" t="str">
        <f ca="1">IFERROR(__xludf.DUMMYFUNCTION("""COMPUTED_VALUE"""),"UN")</f>
        <v>UN</v>
      </c>
      <c r="F174" s="6" t="str">
        <f ca="1">IFERROR(__xludf.DUMMYFUNCTION("""COMPUTED_VALUE"""),"Desechables")</f>
        <v>Desechables</v>
      </c>
      <c r="G174" s="25">
        <f t="shared" ca="1" si="0"/>
        <v>12345</v>
      </c>
      <c r="H174" s="25">
        <f t="shared" ca="1" si="6"/>
        <v>2345.5500000000002</v>
      </c>
      <c r="I174" s="25">
        <f t="shared" ca="1" si="7"/>
        <v>14690.55</v>
      </c>
      <c r="J174" s="156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8"/>
      <c r="Z174" s="28"/>
    </row>
    <row r="175" spans="1:26" ht="15.75">
      <c r="A175" s="7" t="str">
        <f ca="1">IFERROR(__xludf.DUMMYFUNCTION("""COMPUTED_VALUE"""),"ti-ing-b903c949-8881-4242-8b4f-c5768b2e23ce")</f>
        <v>ti-ing-b903c949-8881-4242-8b4f-c5768b2e23ce</v>
      </c>
      <c r="B175" s="7" t="str">
        <f ca="1">IFERROR(__xludf.DUMMYFUNCTION("""COMPUTED_VALUE"""),"Papel anti grasa con dibujo 29x42")</f>
        <v>Papel anti grasa con dibujo 29x42</v>
      </c>
      <c r="C175" s="8">
        <v>10000</v>
      </c>
      <c r="D175" s="21">
        <f ca="1">IFERROR(__xludf.DUMMYFUNCTION("""COMPUTED_VALUE"""),27)</f>
        <v>27</v>
      </c>
      <c r="E175" s="6" t="str">
        <f ca="1">IFERROR(__xludf.DUMMYFUNCTION("""COMPUTED_VALUE"""),"UN")</f>
        <v>UN</v>
      </c>
      <c r="F175" s="6" t="str">
        <f ca="1">IFERROR(__xludf.DUMMYFUNCTION("""COMPUTED_VALUE"""),"Desechables")</f>
        <v>Desechables</v>
      </c>
      <c r="G175" s="25">
        <f t="shared" ca="1" si="0"/>
        <v>270000</v>
      </c>
      <c r="H175" s="25">
        <f t="shared" ca="1" si="6"/>
        <v>51300</v>
      </c>
      <c r="I175" s="25">
        <f t="shared" ca="1" si="7"/>
        <v>321300</v>
      </c>
      <c r="J175" s="156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8"/>
      <c r="Z175" s="28"/>
    </row>
    <row r="176" spans="1:26" ht="15.75">
      <c r="A176" s="7" t="str">
        <f ca="1">IFERROR(__xludf.DUMMYFUNCTION("""COMPUTED_VALUE"""),"ti-ing-6d0a205b-09d6-4293-a78a-afa0159d1bec")</f>
        <v>ti-ing-6d0a205b-09d6-4293-a78a-afa0159d1bec</v>
      </c>
      <c r="B176" s="7" t="str">
        <f ca="1">IFERROR(__xludf.DUMMYFUNCTION("""COMPUTED_VALUE"""),"Pet H-88 SERVICIO")</f>
        <v>Pet H-88 SERVICIO</v>
      </c>
      <c r="C176" s="8">
        <v>0</v>
      </c>
      <c r="D176" s="21">
        <f ca="1">IFERROR(__xludf.DUMMYFUNCTION("""COMPUTED_VALUE"""),42.42)</f>
        <v>42.42</v>
      </c>
      <c r="E176" s="6" t="str">
        <f ca="1">IFERROR(__xludf.DUMMYFUNCTION("""COMPUTED_VALUE"""),"UN")</f>
        <v>UN</v>
      </c>
      <c r="F176" s="6" t="str">
        <f ca="1">IFERROR(__xludf.DUMMYFUNCTION("""COMPUTED_VALUE"""),"Desechables")</f>
        <v>Desechables</v>
      </c>
      <c r="G176" s="25">
        <f t="shared" ca="1" si="0"/>
        <v>0</v>
      </c>
      <c r="H176" s="25">
        <f t="shared" ca="1" si="6"/>
        <v>0</v>
      </c>
      <c r="I176" s="25">
        <f t="shared" ca="1" si="7"/>
        <v>0</v>
      </c>
      <c r="J176" s="156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8"/>
      <c r="Z176" s="28"/>
    </row>
    <row r="177" spans="1:26" ht="15.75">
      <c r="A177" s="7" t="str">
        <f ca="1">IFERROR(__xludf.DUMMYFUNCTION("""COMPUTED_VALUE"""),"ti-ing-e90893a4-34b0-4961-9f16-e5dc5dc142a3")</f>
        <v>ti-ing-e90893a4-34b0-4961-9f16-e5dc5dc142a3</v>
      </c>
      <c r="B177" s="7" t="str">
        <f ca="1">IFERROR(__xludf.DUMMYFUNCTION("""COMPUTED_VALUE"""),"POCILLO ADEREZO CON TAPA")</f>
        <v>POCILLO ADEREZO CON TAPA</v>
      </c>
      <c r="C177" s="8">
        <v>1200</v>
      </c>
      <c r="D177" s="21">
        <f ca="1">IFERROR(__xludf.DUMMYFUNCTION("""COMPUTED_VALUE"""),9.7284)</f>
        <v>9.7284000000000006</v>
      </c>
      <c r="E177" s="6" t="str">
        <f ca="1">IFERROR(__xludf.DUMMYFUNCTION("""COMPUTED_VALUE"""),"UN")</f>
        <v>UN</v>
      </c>
      <c r="F177" s="6" t="str">
        <f ca="1">IFERROR(__xludf.DUMMYFUNCTION("""COMPUTED_VALUE"""),"Desechables")</f>
        <v>Desechables</v>
      </c>
      <c r="G177" s="25">
        <f t="shared" ca="1" si="0"/>
        <v>11674.08</v>
      </c>
      <c r="H177" s="25">
        <f t="shared" ca="1" si="6"/>
        <v>2218.0752000000002</v>
      </c>
      <c r="I177" s="25">
        <f t="shared" ca="1" si="7"/>
        <v>13892.155200000001</v>
      </c>
      <c r="J177" s="156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8"/>
      <c r="Z177" s="28"/>
    </row>
    <row r="178" spans="1:26" ht="15.75">
      <c r="A178" s="7" t="str">
        <f ca="1">IFERROR(__xludf.DUMMYFUNCTION("""COMPUTED_VALUE"""),"ti-ing-4d4be619-35ec-4060-90b0-c67bee277466")</f>
        <v>ti-ing-4d4be619-35ec-4060-90b0-c67bee277466</v>
      </c>
      <c r="B178" s="7" t="str">
        <f ca="1">IFERROR(__xludf.DUMMYFUNCTION("""COMPUTED_VALUE"""),"PORTA TORTA ENTERA")</f>
        <v>PORTA TORTA ENTERA</v>
      </c>
      <c r="C178" s="8">
        <v>30</v>
      </c>
      <c r="D178" s="21">
        <f ca="1">IFERROR(__xludf.DUMMYFUNCTION("""COMPUTED_VALUE"""),673)</f>
        <v>673</v>
      </c>
      <c r="E178" s="6" t="str">
        <f ca="1">IFERROR(__xludf.DUMMYFUNCTION("""COMPUTED_VALUE"""),"UN")</f>
        <v>UN</v>
      </c>
      <c r="F178" s="6" t="str">
        <f ca="1">IFERROR(__xludf.DUMMYFUNCTION("""COMPUTED_VALUE"""),"Desechables")</f>
        <v>Desechables</v>
      </c>
      <c r="G178" s="25">
        <f t="shared" ca="1" si="0"/>
        <v>20190</v>
      </c>
      <c r="H178" s="25">
        <f t="shared" ca="1" si="6"/>
        <v>3836.1</v>
      </c>
      <c r="I178" s="25">
        <f t="shared" ca="1" si="7"/>
        <v>24026.1</v>
      </c>
      <c r="J178" s="156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8"/>
      <c r="Z178" s="28"/>
    </row>
    <row r="179" spans="1:26" ht="15.75">
      <c r="A179" s="7" t="str">
        <f ca="1">IFERROR(__xludf.DUMMYFUNCTION("""COMPUTED_VALUE"""),"ti-ing-a89c739b-c97d-4aa3-a802-4d102ddd6fcd")</f>
        <v>ti-ing-a89c739b-c97d-4aa3-a802-4d102ddd6fcd</v>
      </c>
      <c r="B179" s="7" t="str">
        <f ca="1">IFERROR(__xludf.DUMMYFUNCTION("""COMPUTED_VALUE"""),"PORTA VASOS CARTON (1x400) (DELIVERY)")</f>
        <v>PORTA VASOS CARTON (1x400) (DELIVERY)</v>
      </c>
      <c r="C179" s="8">
        <v>250</v>
      </c>
      <c r="D179" s="21">
        <f ca="1">IFERROR(__xludf.DUMMYFUNCTION("""COMPUTED_VALUE"""),84.285)</f>
        <v>84.284999999999997</v>
      </c>
      <c r="E179" s="6" t="str">
        <f ca="1">IFERROR(__xludf.DUMMYFUNCTION("""COMPUTED_VALUE"""),"UN")</f>
        <v>UN</v>
      </c>
      <c r="F179" s="6" t="str">
        <f ca="1">IFERROR(__xludf.DUMMYFUNCTION("""COMPUTED_VALUE"""),"Desechables")</f>
        <v>Desechables</v>
      </c>
      <c r="G179" s="25">
        <f t="shared" ca="1" si="0"/>
        <v>21071.25</v>
      </c>
      <c r="H179" s="25">
        <f t="shared" ca="1" si="6"/>
        <v>4003.5374999999999</v>
      </c>
      <c r="I179" s="25">
        <f t="shared" ca="1" si="7"/>
        <v>25074.787499999999</v>
      </c>
      <c r="J179" s="156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8"/>
      <c r="Z179" s="28"/>
    </row>
    <row r="180" spans="1:26" ht="15.75">
      <c r="A180" s="7" t="str">
        <f ca="1">IFERROR(__xludf.DUMMYFUNCTION("""COMPUTED_VALUE"""),"ti-ing-37f85cc6-1f52-4599-9741-852d98246e09")</f>
        <v>ti-ing-37f85cc6-1f52-4599-9741-852d98246e09</v>
      </c>
      <c r="B180" s="7" t="str">
        <f ca="1">IFERROR(__xludf.DUMMYFUNCTION("""COMPUTED_VALUE"""),"Rollo etiquetas fechera")</f>
        <v>Rollo etiquetas fechera</v>
      </c>
      <c r="C180" s="8">
        <v>8</v>
      </c>
      <c r="D180" s="21">
        <f ca="1">IFERROR(__xludf.DUMMYFUNCTION("""COMPUTED_VALUE"""),2800)</f>
        <v>2800</v>
      </c>
      <c r="E180" s="6" t="str">
        <f ca="1">IFERROR(__xludf.DUMMYFUNCTION("""COMPUTED_VALUE"""),"UN")</f>
        <v>UN</v>
      </c>
      <c r="F180" s="6" t="str">
        <f ca="1">IFERROR(__xludf.DUMMYFUNCTION("""COMPUTED_VALUE"""),"Desechables")</f>
        <v>Desechables</v>
      </c>
      <c r="G180" s="25">
        <f t="shared" ca="1" si="0"/>
        <v>22400</v>
      </c>
      <c r="H180" s="25">
        <f t="shared" ca="1" si="6"/>
        <v>4256</v>
      </c>
      <c r="I180" s="25">
        <f t="shared" ca="1" si="7"/>
        <v>26656</v>
      </c>
      <c r="J180" s="156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8"/>
      <c r="Z180" s="28"/>
    </row>
    <row r="181" spans="1:26" ht="15.75">
      <c r="A181" s="7" t="str">
        <f ca="1">IFERROR(__xludf.DUMMYFUNCTION("""COMPUTED_VALUE"""),"ti-ing-a2ff1857-13be-46c5-8a38-b1004f73f14b")</f>
        <v>ti-ing-a2ff1857-13be-46c5-8a38-b1004f73f14b</v>
      </c>
      <c r="B181" s="7" t="str">
        <f ca="1">IFERROR(__xludf.DUMMYFUNCTION("""COMPUTED_VALUE"""),"Rollo film pvc 45cm 1400m")</f>
        <v>Rollo film pvc 45cm 1400m</v>
      </c>
      <c r="C181" s="8">
        <v>0</v>
      </c>
      <c r="D181" s="21">
        <f ca="1">IFERROR(__xludf.DUMMYFUNCTION("""COMPUTED_VALUE"""),26360)</f>
        <v>26360</v>
      </c>
      <c r="E181" s="6" t="str">
        <f ca="1">IFERROR(__xludf.DUMMYFUNCTION("""COMPUTED_VALUE"""),"un")</f>
        <v>un</v>
      </c>
      <c r="F181" s="6" t="str">
        <f ca="1">IFERROR(__xludf.DUMMYFUNCTION("""COMPUTED_VALUE"""),"Desechables")</f>
        <v>Desechables</v>
      </c>
      <c r="G181" s="25">
        <f t="shared" ca="1" si="0"/>
        <v>0</v>
      </c>
      <c r="H181" s="25">
        <f t="shared" ca="1" si="6"/>
        <v>0</v>
      </c>
      <c r="I181" s="25">
        <f t="shared" ca="1" si="7"/>
        <v>0</v>
      </c>
      <c r="J181" s="156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8"/>
      <c r="Z181" s="28"/>
    </row>
    <row r="182" spans="1:26" ht="15.75">
      <c r="A182" s="7" t="str">
        <f ca="1">IFERROR(__xludf.DUMMYFUNCTION("""COMPUTED_VALUE"""),"ti-ing-3f1e707d-7f58-4b61-ada7-84d3d7bd168c")</f>
        <v>ti-ing-3f1e707d-7f58-4b61-ada7-84d3d7bd168c</v>
      </c>
      <c r="B182" s="7" t="str">
        <f ca="1">IFERROR(__xludf.DUMMYFUNCTION("""COMPUTED_VALUE"""),"Rollo papel mantequilla 40cm x 230m")</f>
        <v>Rollo papel mantequilla 40cm x 230m</v>
      </c>
      <c r="C182" s="8">
        <v>0</v>
      </c>
      <c r="D182" s="21">
        <f ca="1">IFERROR(__xludf.DUMMYFUNCTION("""COMPUTED_VALUE"""),15126)</f>
        <v>15126</v>
      </c>
      <c r="E182" s="6" t="str">
        <f ca="1">IFERROR(__xludf.DUMMYFUNCTION("""COMPUTED_VALUE"""),"KG")</f>
        <v>KG</v>
      </c>
      <c r="F182" s="6" t="str">
        <f ca="1">IFERROR(__xludf.DUMMYFUNCTION("""COMPUTED_VALUE"""),"Desechables")</f>
        <v>Desechables</v>
      </c>
      <c r="G182" s="25">
        <f t="shared" ca="1" si="0"/>
        <v>0</v>
      </c>
      <c r="H182" s="25">
        <f t="shared" ca="1" si="6"/>
        <v>0</v>
      </c>
      <c r="I182" s="25">
        <f t="shared" ca="1" si="7"/>
        <v>0</v>
      </c>
      <c r="J182" s="156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8"/>
      <c r="Z182" s="28"/>
    </row>
    <row r="183" spans="1:26" ht="15.75">
      <c r="A183" s="7" t="str">
        <f ca="1">IFERROR(__xludf.DUMMYFUNCTION("""COMPUTED_VALUE"""),"ti-ing-1110c5d7-8954-4527-b0c0-b9b1acd365b9")</f>
        <v>ti-ing-1110c5d7-8954-4527-b0c0-b9b1acd365b9</v>
      </c>
      <c r="B183" s="7" t="str">
        <f ca="1">IFERROR(__xludf.DUMMYFUNCTION("""COMPUTED_VALUE"""),"Rollo termico terminal de pagos getnet")</f>
        <v>Rollo termico terminal de pagos getnet</v>
      </c>
      <c r="C183" s="8">
        <v>310</v>
      </c>
      <c r="D183" s="76">
        <f ca="1">IFERROR(__xludf.DUMMYFUNCTION("""COMPUTED_VALUE"""),0)</f>
        <v>0</v>
      </c>
      <c r="E183" s="6" t="str">
        <f ca="1">IFERROR(__xludf.DUMMYFUNCTION("""COMPUTED_VALUE"""),"UN")</f>
        <v>UN</v>
      </c>
      <c r="F183" s="6" t="str">
        <f ca="1">IFERROR(__xludf.DUMMYFUNCTION("""COMPUTED_VALUE"""),"Desechables")</f>
        <v>Desechables</v>
      </c>
      <c r="G183" s="25">
        <f t="shared" ca="1" si="0"/>
        <v>0</v>
      </c>
      <c r="H183" s="25">
        <f t="shared" ca="1" si="6"/>
        <v>0</v>
      </c>
      <c r="I183" s="25">
        <f t="shared" ca="1" si="7"/>
        <v>0</v>
      </c>
      <c r="J183" s="156"/>
      <c r="K183" s="7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8"/>
      <c r="Z183" s="28"/>
    </row>
    <row r="184" spans="1:26" ht="15.75">
      <c r="A184" s="7" t="str">
        <f ca="1">IFERROR(__xludf.DUMMYFUNCTION("""COMPUTED_VALUE"""),"ti-ing-2b14e6ff-8b0e-4ff0-a453-30a8f6c3fa87")</f>
        <v>ti-ing-2b14e6ff-8b0e-4ff0-a453-30a8f6c3fa87</v>
      </c>
      <c r="B184" s="7" t="str">
        <f ca="1">IFERROR(__xludf.DUMMYFUNCTION("""COMPUTED_VALUE"""),"ROLLOS DE IMPRESORA GRANDE")</f>
        <v>ROLLOS DE IMPRESORA GRANDE</v>
      </c>
      <c r="C184" s="8">
        <v>80</v>
      </c>
      <c r="D184" s="21">
        <f ca="1">IFERROR(__xludf.DUMMYFUNCTION("""COMPUTED_VALUE"""),1690)</f>
        <v>1690</v>
      </c>
      <c r="E184" s="6" t="str">
        <f ca="1">IFERROR(__xludf.DUMMYFUNCTION("""COMPUTED_VALUE"""),"UN")</f>
        <v>UN</v>
      </c>
      <c r="F184" s="6" t="str">
        <f ca="1">IFERROR(__xludf.DUMMYFUNCTION("""COMPUTED_VALUE"""),"Desechables")</f>
        <v>Desechables</v>
      </c>
      <c r="G184" s="25">
        <f t="shared" ca="1" si="0"/>
        <v>135200</v>
      </c>
      <c r="H184" s="25">
        <f t="shared" ca="1" si="6"/>
        <v>25688</v>
      </c>
      <c r="I184" s="25">
        <f t="shared" ca="1" si="7"/>
        <v>160888</v>
      </c>
      <c r="J184" s="156"/>
      <c r="K184" s="7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8"/>
      <c r="Z184" s="28"/>
    </row>
    <row r="185" spans="1:26" ht="15.75">
      <c r="A185" s="7" t="str">
        <f ca="1">IFERROR(__xludf.DUMMYFUNCTION("""COMPUTED_VALUE"""),"ti-ing-7d497947-0049-4564-85e1-0955bf6ed17b")</f>
        <v>ti-ing-7d497947-0049-4564-85e1-0955bf6ed17b</v>
      </c>
      <c r="B185" s="7" t="str">
        <f ca="1">IFERROR(__xludf.DUMMYFUNCTION("""COMPUTED_VALUE"""),"SACHET AZUCAR (1000un Caja)")</f>
        <v>SACHET AZUCAR (1000un Caja)</v>
      </c>
      <c r="C185" s="8">
        <v>6</v>
      </c>
      <c r="D185" s="21">
        <f ca="1">IFERROR(__xludf.DUMMYFUNCTION("""COMPUTED_VALUE"""),9000)</f>
        <v>9000</v>
      </c>
      <c r="E185" s="6" t="str">
        <f ca="1">IFERROR(__xludf.DUMMYFUNCTION("""COMPUTED_VALUE"""),"UN")</f>
        <v>UN</v>
      </c>
      <c r="F185" s="6" t="str">
        <f ca="1">IFERROR(__xludf.DUMMYFUNCTION("""COMPUTED_VALUE"""),"Desechables")</f>
        <v>Desechables</v>
      </c>
      <c r="G185" s="25">
        <f t="shared" ca="1" si="0"/>
        <v>54000</v>
      </c>
      <c r="H185" s="25">
        <f t="shared" ca="1" si="6"/>
        <v>10260</v>
      </c>
      <c r="I185" s="25">
        <f t="shared" ca="1" si="7"/>
        <v>64260</v>
      </c>
      <c r="J185" s="156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8"/>
      <c r="Z185" s="28"/>
    </row>
    <row r="186" spans="1:26" ht="15.75">
      <c r="A186" s="7" t="str">
        <f ca="1">IFERROR(__xludf.DUMMYFUNCTION("""COMPUTED_VALUE"""),"ti-ing-081763ad-38c2-44b7-a994-e25dfb7024b6")</f>
        <v>ti-ing-081763ad-38c2-44b7-a994-e25dfb7024b6</v>
      </c>
      <c r="B186" s="7" t="str">
        <f ca="1">IFERROR(__xludf.DUMMYFUNCTION("""COMPUTED_VALUE"""),"SACHET AZUCAR MORENA (000un Caja)")</f>
        <v>SACHET AZUCAR MORENA (000un Caja)</v>
      </c>
      <c r="C186" s="8">
        <v>6</v>
      </c>
      <c r="D186" s="21">
        <f ca="1">IFERROR(__xludf.DUMMYFUNCTION("""COMPUTED_VALUE"""),10000)</f>
        <v>10000</v>
      </c>
      <c r="E186" s="6" t="str">
        <f ca="1">IFERROR(__xludf.DUMMYFUNCTION("""COMPUTED_VALUE"""),"UN")</f>
        <v>UN</v>
      </c>
      <c r="F186" s="6" t="str">
        <f ca="1">IFERROR(__xludf.DUMMYFUNCTION("""COMPUTED_VALUE"""),"Desechables")</f>
        <v>Desechables</v>
      </c>
      <c r="G186" s="25">
        <f t="shared" ca="1" si="0"/>
        <v>60000</v>
      </c>
      <c r="H186" s="25">
        <f t="shared" ca="1" si="6"/>
        <v>11400</v>
      </c>
      <c r="I186" s="25">
        <f t="shared" ca="1" si="7"/>
        <v>71400</v>
      </c>
      <c r="J186" s="156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8"/>
      <c r="Z186" s="28"/>
    </row>
    <row r="187" spans="1:26" ht="15.75">
      <c r="A187" s="7" t="str">
        <f ca="1">IFERROR(__xludf.DUMMYFUNCTION("""COMPUTED_VALUE"""),"ti-ing-b833aefa-aae9-439d-b12b-9b22db071743")</f>
        <v>ti-ing-b833aefa-aae9-439d-b12b-9b22db071743</v>
      </c>
      <c r="B187" s="7" t="str">
        <f ca="1">IFERROR(__xludf.DUMMYFUNCTION("""COMPUTED_VALUE"""),"Sachet De Aceite (300un Caja)")</f>
        <v>Sachet De Aceite (300un Caja)</v>
      </c>
      <c r="C187" s="8">
        <v>0</v>
      </c>
      <c r="D187" s="21">
        <f ca="1">IFERROR(__xludf.DUMMYFUNCTION("""COMPUTED_VALUE"""),48.8333)</f>
        <v>48.833300000000001</v>
      </c>
      <c r="E187" s="6" t="str">
        <f ca="1">IFERROR(__xludf.DUMMYFUNCTION("""COMPUTED_VALUE"""),"UN")</f>
        <v>UN</v>
      </c>
      <c r="F187" s="6" t="str">
        <f ca="1">IFERROR(__xludf.DUMMYFUNCTION("""COMPUTED_VALUE"""),"Desechables")</f>
        <v>Desechables</v>
      </c>
      <c r="G187" s="25">
        <f t="shared" ca="1" si="0"/>
        <v>0</v>
      </c>
      <c r="H187" s="25">
        <f t="shared" ca="1" si="6"/>
        <v>0</v>
      </c>
      <c r="I187" s="25">
        <f t="shared" ca="1" si="7"/>
        <v>0</v>
      </c>
      <c r="J187" s="156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8"/>
      <c r="Z187" s="28"/>
    </row>
    <row r="188" spans="1:26" ht="15.75">
      <c r="A188" s="7" t="str">
        <f ca="1">IFERROR(__xludf.DUMMYFUNCTION("""COMPUTED_VALUE"""),"ti-ing-da46b29f-80e6-4d7b-b347-3568a10b3d7d")</f>
        <v>ti-ing-da46b29f-80e6-4d7b-b347-3568a10b3d7d</v>
      </c>
      <c r="B188" s="7" t="str">
        <f ca="1">IFERROR(__xludf.DUMMYFUNCTION("""COMPUTED_VALUE"""),"SACHET ENDULZANTE (1000unCaja)")</f>
        <v>SACHET ENDULZANTE (1000unCaja)</v>
      </c>
      <c r="C188" s="8">
        <v>6</v>
      </c>
      <c r="D188" s="21">
        <f ca="1">IFERROR(__xludf.DUMMYFUNCTION("""COMPUTED_VALUE"""),10000)</f>
        <v>10000</v>
      </c>
      <c r="E188" s="6" t="str">
        <f ca="1">IFERROR(__xludf.DUMMYFUNCTION("""COMPUTED_VALUE"""),"UN")</f>
        <v>UN</v>
      </c>
      <c r="F188" s="6" t="str">
        <f ca="1">IFERROR(__xludf.DUMMYFUNCTION("""COMPUTED_VALUE"""),"Desechables")</f>
        <v>Desechables</v>
      </c>
      <c r="G188" s="25">
        <f t="shared" ca="1" si="0"/>
        <v>60000</v>
      </c>
      <c r="H188" s="25">
        <f t="shared" ca="1" si="6"/>
        <v>11400</v>
      </c>
      <c r="I188" s="25">
        <f t="shared" ca="1" si="7"/>
        <v>71400</v>
      </c>
      <c r="J188" s="156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8"/>
      <c r="Z188" s="28"/>
    </row>
    <row r="189" spans="1:26" ht="15.75">
      <c r="A189" s="7" t="str">
        <f ca="1">IFERROR(__xludf.DUMMYFUNCTION("""COMPUTED_VALUE"""),"ti-ing-40eede5f-fb08-441c-a3e8-ffe725776bf9")</f>
        <v>ti-ing-40eede5f-fb08-441c-a3e8-ffe725776bf9</v>
      </c>
      <c r="B189" s="7" t="str">
        <f ca="1">IFERROR(__xludf.DUMMYFUNCTION("""COMPUTED_VALUE"""),"SACHET SAL (2000un Caja)")</f>
        <v>SACHET SAL (2000un Caja)</v>
      </c>
      <c r="C189" s="8">
        <v>0</v>
      </c>
      <c r="D189" s="21">
        <f ca="1">IFERROR(__xludf.DUMMYFUNCTION("""COMPUTED_VALUE"""),7898)</f>
        <v>7898</v>
      </c>
      <c r="E189" s="6" t="str">
        <f ca="1">IFERROR(__xludf.DUMMYFUNCTION("""COMPUTED_VALUE"""),"UN")</f>
        <v>UN</v>
      </c>
      <c r="F189" s="6" t="str">
        <f ca="1">IFERROR(__xludf.DUMMYFUNCTION("""COMPUTED_VALUE"""),"Desechables")</f>
        <v>Desechables</v>
      </c>
      <c r="G189" s="25">
        <f t="shared" ca="1" si="0"/>
        <v>0</v>
      </c>
      <c r="H189" s="25">
        <f t="shared" ca="1" si="6"/>
        <v>0</v>
      </c>
      <c r="I189" s="25">
        <f t="shared" ca="1" si="7"/>
        <v>0</v>
      </c>
      <c r="J189" s="156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8"/>
      <c r="Z189" s="28"/>
    </row>
    <row r="190" spans="1:26" ht="15.75">
      <c r="A190" s="7" t="str">
        <f ca="1">IFERROR(__xludf.DUMMYFUNCTION("""COMPUTED_VALUE"""),"ti-ing-ef7db192-d75b-4caf-9b64-4071ac937fdd")</f>
        <v>ti-ing-ef7db192-d75b-4caf-9b64-4071ac937fdd</v>
      </c>
      <c r="B190" s="7" t="str">
        <f ca="1">IFERROR(__xludf.DUMMYFUNCTION("""COMPUTED_VALUE"""),"Sachet Stevia (1000un caj)")</f>
        <v>Sachet Stevia (1000un caj)</v>
      </c>
      <c r="C190" s="8">
        <v>2</v>
      </c>
      <c r="D190" s="21">
        <f ca="1">IFERROR(__xludf.DUMMYFUNCTION("""COMPUTED_VALUE"""),15000)</f>
        <v>15000</v>
      </c>
      <c r="E190" s="6" t="str">
        <f ca="1">IFERROR(__xludf.DUMMYFUNCTION("""COMPUTED_VALUE"""),"UN")</f>
        <v>UN</v>
      </c>
      <c r="F190" s="6" t="str">
        <f ca="1">IFERROR(__xludf.DUMMYFUNCTION("""COMPUTED_VALUE"""),"Desechables")</f>
        <v>Desechables</v>
      </c>
      <c r="G190" s="25">
        <f t="shared" ca="1" si="0"/>
        <v>30000</v>
      </c>
      <c r="H190" s="25">
        <f t="shared" ca="1" si="6"/>
        <v>5700</v>
      </c>
      <c r="I190" s="25">
        <f t="shared" ca="1" si="7"/>
        <v>35700</v>
      </c>
      <c r="J190" s="156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8"/>
      <c r="Z190" s="28"/>
    </row>
    <row r="191" spans="1:26" ht="15.75">
      <c r="A191" s="7" t="str">
        <f ca="1">IFERROR(__xludf.DUMMYFUNCTION("""COMPUTED_VALUE"""),"ti-ing-d8901493-508c-4c40-81e4-bdb1f54453c9")</f>
        <v>ti-ing-d8901493-508c-4c40-81e4-bdb1f54453c9</v>
      </c>
      <c r="B191" s="7" t="str">
        <f ca="1">IFERROR(__xludf.DUMMYFUNCTION("""COMPUTED_VALUE"""),"Saco cafe T-200")</f>
        <v>Saco cafe T-200</v>
      </c>
      <c r="C191" s="8">
        <v>0</v>
      </c>
      <c r="D191" s="21">
        <f ca="1">IFERROR(__xludf.DUMMYFUNCTION("""COMPUTED_VALUE"""),14.267)</f>
        <v>14.266999999999999</v>
      </c>
      <c r="E191" s="6" t="str">
        <f ca="1">IFERROR(__xludf.DUMMYFUNCTION("""COMPUTED_VALUE"""),"UN")</f>
        <v>UN</v>
      </c>
      <c r="F191" s="6" t="str">
        <f ca="1">IFERROR(__xludf.DUMMYFUNCTION("""COMPUTED_VALUE"""),"Desechables")</f>
        <v>Desechables</v>
      </c>
      <c r="G191" s="25">
        <f t="shared" ca="1" si="0"/>
        <v>0</v>
      </c>
      <c r="H191" s="25">
        <f t="shared" ca="1" si="6"/>
        <v>0</v>
      </c>
      <c r="I191" s="25">
        <f t="shared" ca="1" si="7"/>
        <v>0</v>
      </c>
      <c r="J191" s="156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8"/>
      <c r="Z191" s="28"/>
    </row>
    <row r="192" spans="1:26" ht="15.75">
      <c r="A192" s="7" t="str">
        <f ca="1">IFERROR(__xludf.DUMMYFUNCTION("""COMPUTED_VALUE"""),"ti-ing-c288eac1-1799-4159-b7f8-9715a4a51bb5")</f>
        <v>ti-ing-c288eac1-1799-4159-b7f8-9715a4a51bb5</v>
      </c>
      <c r="B192" s="7" t="str">
        <f ca="1">IFERROR(__xludf.DUMMYFUNCTION("""COMPUTED_VALUE"""),"SACO CAFE T-400")</f>
        <v>SACO CAFE T-400</v>
      </c>
      <c r="C192" s="8">
        <v>500</v>
      </c>
      <c r="D192" s="21">
        <f ca="1">IFERROR(__xludf.DUMMYFUNCTION("""COMPUTED_VALUE"""),28.38)</f>
        <v>28.38</v>
      </c>
      <c r="E192" s="6" t="str">
        <f ca="1">IFERROR(__xludf.DUMMYFUNCTION("""COMPUTED_VALUE"""),"UN")</f>
        <v>UN</v>
      </c>
      <c r="F192" s="6" t="str">
        <f ca="1">IFERROR(__xludf.DUMMYFUNCTION("""COMPUTED_VALUE"""),"Desechables")</f>
        <v>Desechables</v>
      </c>
      <c r="G192" s="25">
        <f t="shared" ca="1" si="0"/>
        <v>14190</v>
      </c>
      <c r="H192" s="25">
        <f t="shared" ca="1" si="6"/>
        <v>2696.1</v>
      </c>
      <c r="I192" s="25">
        <f t="shared" ca="1" si="7"/>
        <v>16886.099999999999</v>
      </c>
      <c r="J192" s="156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8"/>
      <c r="Z192" s="28"/>
    </row>
    <row r="193" spans="1:26" ht="15.75">
      <c r="A193" s="7" t="str">
        <f ca="1">IFERROR(__xludf.DUMMYFUNCTION("""COMPUTED_VALUE"""),"ti-ing-adbdb3a6-fa6e-4cc0-b438-e716257e73a5")</f>
        <v>ti-ing-adbdb3a6-fa6e-4cc0-b438-e716257e73a5</v>
      </c>
      <c r="B193" s="7" t="str">
        <f ca="1">IFERROR(__xludf.DUMMYFUNCTION("""COMPUTED_VALUE"""),"SACO CAFE T-700")</f>
        <v>SACO CAFE T-700</v>
      </c>
      <c r="C193" s="8">
        <v>500</v>
      </c>
      <c r="D193" s="21">
        <f ca="1">IFERROR(__xludf.DUMMYFUNCTION("""COMPUTED_VALUE"""),42.36)</f>
        <v>42.36</v>
      </c>
      <c r="E193" s="6" t="str">
        <f ca="1">IFERROR(__xludf.DUMMYFUNCTION("""COMPUTED_VALUE"""),"UN")</f>
        <v>UN</v>
      </c>
      <c r="F193" s="6" t="str">
        <f ca="1">IFERROR(__xludf.DUMMYFUNCTION("""COMPUTED_VALUE"""),"Desechables")</f>
        <v>Desechables</v>
      </c>
      <c r="G193" s="25">
        <f t="shared" ca="1" si="0"/>
        <v>21180</v>
      </c>
      <c r="H193" s="25">
        <f t="shared" ca="1" si="6"/>
        <v>4024.2000000000003</v>
      </c>
      <c r="I193" s="25">
        <f t="shared" ca="1" si="7"/>
        <v>25204.2</v>
      </c>
      <c r="J193" s="156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8"/>
      <c r="Z193" s="28"/>
    </row>
    <row r="194" spans="1:26" ht="15.75">
      <c r="A194" s="7" t="str">
        <f ca="1">IFERROR(__xludf.DUMMYFUNCTION("""COMPUTED_VALUE"""),"ti-ing-9b7809aa-5c0b-4799-8fde-5d6680df5688")</f>
        <v>ti-ing-9b7809aa-5c0b-4799-8fde-5d6680df5688</v>
      </c>
      <c r="B194" s="7" t="str">
        <f ca="1">IFERROR(__xludf.DUMMYFUNCTION("""COMPUTED_VALUE"""),"SERVILLETA CHICA (200un Paquete)")</f>
        <v>SERVILLETA CHICA (200un Paquete)</v>
      </c>
      <c r="C194" s="8">
        <v>14</v>
      </c>
      <c r="D194" s="21">
        <f ca="1">IFERROR(__xludf.DUMMYFUNCTION("""COMPUTED_VALUE"""),734.25)</f>
        <v>734.25</v>
      </c>
      <c r="E194" s="6" t="str">
        <f ca="1">IFERROR(__xludf.DUMMYFUNCTION("""COMPUTED_VALUE"""),"UN")</f>
        <v>UN</v>
      </c>
      <c r="F194" s="6" t="str">
        <f ca="1">IFERROR(__xludf.DUMMYFUNCTION("""COMPUTED_VALUE"""),"Desechables")</f>
        <v>Desechables</v>
      </c>
      <c r="G194" s="25">
        <f t="shared" ca="1" si="0"/>
        <v>10279.5</v>
      </c>
      <c r="H194" s="25">
        <f t="shared" ca="1" si="6"/>
        <v>1953.105</v>
      </c>
      <c r="I194" s="25">
        <f t="shared" ca="1" si="7"/>
        <v>12232.605</v>
      </c>
      <c r="J194" s="156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8"/>
      <c r="Z194" s="28"/>
    </row>
    <row r="195" spans="1:26" ht="15.75">
      <c r="A195" s="7" t="str">
        <f ca="1">IFERROR(__xludf.DUMMYFUNCTION("""COMPUTED_VALUE"""),"ti-ing-8a33946c-a301-4d70-8e6f-5bf08aab1505")</f>
        <v>ti-ing-8a33946c-a301-4d70-8e6f-5bf08aab1505</v>
      </c>
      <c r="B195" s="7" t="str">
        <f ca="1">IFERROR(__xludf.DUMMYFUNCTION("""COMPUTED_VALUE"""),"SERVILLETA GRANDE (100un Paquete)")</f>
        <v>SERVILLETA GRANDE (100un Paquete)</v>
      </c>
      <c r="C195" s="8">
        <v>7</v>
      </c>
      <c r="D195" s="21">
        <f ca="1">IFERROR(__xludf.DUMMYFUNCTION("""COMPUTED_VALUE"""),1247.292)</f>
        <v>1247.2919999999999</v>
      </c>
      <c r="E195" s="6" t="str">
        <f ca="1">IFERROR(__xludf.DUMMYFUNCTION("""COMPUTED_VALUE"""),"UN")</f>
        <v>UN</v>
      </c>
      <c r="F195" s="6" t="str">
        <f ca="1">IFERROR(__xludf.DUMMYFUNCTION("""COMPUTED_VALUE"""),"Desechables")</f>
        <v>Desechables</v>
      </c>
      <c r="G195" s="25">
        <f t="shared" ca="1" si="0"/>
        <v>8731.0439999999999</v>
      </c>
      <c r="H195" s="25">
        <f t="shared" ca="1" si="6"/>
        <v>1658.8983599999999</v>
      </c>
      <c r="I195" s="25">
        <f t="shared" ca="1" si="7"/>
        <v>10389.942359999999</v>
      </c>
      <c r="J195" s="156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8"/>
      <c r="Z195" s="28"/>
    </row>
    <row r="196" spans="1:26" ht="15.75">
      <c r="A196" s="7" t="str">
        <f ca="1">IFERROR(__xludf.DUMMYFUNCTION("""COMPUTED_VALUE"""),"ti-ing-ae70d1d0-3e81-4033-827e-cc81fd286fb6")</f>
        <v>ti-ing-ae70d1d0-3e81-4033-827e-cc81fd286fb6</v>
      </c>
      <c r="B196" s="7" t="str">
        <f ca="1">IFERROR(__xludf.DUMMYFUNCTION("""COMPUTED_VALUE"""),"Sticker bolsa chica")</f>
        <v>Sticker bolsa chica</v>
      </c>
      <c r="C196" s="8">
        <v>10000</v>
      </c>
      <c r="D196" s="21">
        <f ca="1">IFERROR(__xludf.DUMMYFUNCTION("""COMPUTED_VALUE"""),75)</f>
        <v>75</v>
      </c>
      <c r="E196" s="6" t="str">
        <f ca="1">IFERROR(__xludf.DUMMYFUNCTION("""COMPUTED_VALUE"""),"UN")</f>
        <v>UN</v>
      </c>
      <c r="F196" s="6" t="str">
        <f ca="1">IFERROR(__xludf.DUMMYFUNCTION("""COMPUTED_VALUE"""),"Desechables")</f>
        <v>Desechables</v>
      </c>
      <c r="G196" s="25">
        <f t="shared" ca="1" si="0"/>
        <v>750000</v>
      </c>
      <c r="H196" s="25">
        <f t="shared" ca="1" si="6"/>
        <v>142500</v>
      </c>
      <c r="I196" s="25">
        <f t="shared" ca="1" si="7"/>
        <v>892500</v>
      </c>
      <c r="J196" s="156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8"/>
      <c r="Z196" s="28"/>
    </row>
    <row r="197" spans="1:26" ht="15.75">
      <c r="A197" s="7" t="str">
        <f ca="1">IFERROR(__xludf.DUMMYFUNCTION("""COMPUTED_VALUE"""),"ti-ing-7b618b85-cf7f-482e-86dc-8ecc8319d881")</f>
        <v>ti-ing-7b618b85-cf7f-482e-86dc-8ecc8319d881</v>
      </c>
      <c r="B197" s="7" t="str">
        <f ca="1">IFERROR(__xludf.DUMMYFUNCTION("""COMPUTED_VALUE"""),"Sticker bolsa grande")</f>
        <v>Sticker bolsa grande</v>
      </c>
      <c r="C197" s="8">
        <v>9000</v>
      </c>
      <c r="D197" s="21">
        <f ca="1">IFERROR(__xludf.DUMMYFUNCTION("""COMPUTED_VALUE"""),80)</f>
        <v>80</v>
      </c>
      <c r="E197" s="6" t="str">
        <f ca="1">IFERROR(__xludf.DUMMYFUNCTION("""COMPUTED_VALUE"""),"UN")</f>
        <v>UN</v>
      </c>
      <c r="F197" s="6" t="str">
        <f ca="1">IFERROR(__xludf.DUMMYFUNCTION("""COMPUTED_VALUE"""),"Desechables")</f>
        <v>Desechables</v>
      </c>
      <c r="G197" s="25">
        <f t="shared" ca="1" si="0"/>
        <v>720000</v>
      </c>
      <c r="H197" s="25">
        <f t="shared" ca="1" si="6"/>
        <v>136800</v>
      </c>
      <c r="I197" s="25">
        <f t="shared" ca="1" si="7"/>
        <v>856800</v>
      </c>
      <c r="J197" s="156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8"/>
      <c r="Z197" s="28"/>
    </row>
    <row r="198" spans="1:26" ht="15.75">
      <c r="A198" s="7" t="str">
        <f ca="1">IFERROR(__xludf.DUMMYFUNCTION("""COMPUTED_VALUE"""),"ti-ing-cb13ff9f-f104-46cf-bfb3-3141bb91157a")</f>
        <v>ti-ing-cb13ff9f-f104-46cf-bfb3-3141bb91157a</v>
      </c>
      <c r="B198" s="7" t="str">
        <f ca="1">IFERROR(__xludf.DUMMYFUNCTION("""COMPUTED_VALUE"""),"Sticker caja de galletas")</f>
        <v>Sticker caja de galletas</v>
      </c>
      <c r="C198" s="8">
        <v>3634</v>
      </c>
      <c r="D198" s="21">
        <f ca="1">IFERROR(__xludf.DUMMYFUNCTION("""COMPUTED_VALUE"""),85)</f>
        <v>85</v>
      </c>
      <c r="E198" s="6" t="str">
        <f ca="1">IFERROR(__xludf.DUMMYFUNCTION("""COMPUTED_VALUE"""),"UN")</f>
        <v>UN</v>
      </c>
      <c r="F198" s="6" t="str">
        <f ca="1">IFERROR(__xludf.DUMMYFUNCTION("""COMPUTED_VALUE"""),"Desechables")</f>
        <v>Desechables</v>
      </c>
      <c r="G198" s="25">
        <f t="shared" ca="1" si="0"/>
        <v>308890</v>
      </c>
      <c r="H198" s="25">
        <f t="shared" ca="1" si="6"/>
        <v>58689.1</v>
      </c>
      <c r="I198" s="25">
        <f t="shared" ca="1" si="7"/>
        <v>367579.1</v>
      </c>
      <c r="J198" s="156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8"/>
      <c r="Z198" s="28"/>
    </row>
    <row r="199" spans="1:26" ht="15.75">
      <c r="A199" s="7" t="str">
        <f ca="1">IFERROR(__xludf.DUMMYFUNCTION("""COMPUTED_VALUE"""),"ti-ing-8b497250-1389-4cde-a0b7-772d4319ff48")</f>
        <v>ti-ing-8b497250-1389-4cde-a0b7-772d4319ff48</v>
      </c>
      <c r="B199" s="7" t="str">
        <f ca="1">IFERROR(__xludf.DUMMYFUNCTION("""COMPUTED_VALUE"""),"Sticker caja de regalo")</f>
        <v>Sticker caja de regalo</v>
      </c>
      <c r="C199" s="8">
        <v>7</v>
      </c>
      <c r="D199" s="73">
        <f ca="1">IFERROR(__xludf.DUMMYFUNCTION("""COMPUTED_VALUE"""),80)</f>
        <v>80</v>
      </c>
      <c r="E199" s="6" t="str">
        <f ca="1">IFERROR(__xludf.DUMMYFUNCTION("""COMPUTED_VALUE"""),"UN")</f>
        <v>UN</v>
      </c>
      <c r="F199" s="6" t="str">
        <f ca="1">IFERROR(__xludf.DUMMYFUNCTION("""COMPUTED_VALUE"""),"Desechables")</f>
        <v>Desechables</v>
      </c>
      <c r="G199" s="25">
        <f t="shared" ca="1" si="0"/>
        <v>560</v>
      </c>
      <c r="H199" s="25">
        <f t="shared" ca="1" si="6"/>
        <v>106.4</v>
      </c>
      <c r="I199" s="25">
        <f t="shared" ca="1" si="7"/>
        <v>666.4</v>
      </c>
      <c r="J199" s="156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8"/>
      <c r="Z199" s="28"/>
    </row>
    <row r="200" spans="1:26" ht="15.75">
      <c r="A200" s="7" t="str">
        <f ca="1">IFERROR(__xludf.DUMMYFUNCTION("""COMPUTED_VALUE"""),"ti-ing-cd658cee-a117-438a-b569-785a9aae27da")</f>
        <v>ti-ing-cd658cee-a117-438a-b569-785a9aae27da</v>
      </c>
      <c r="B200" s="7" t="str">
        <f ca="1">IFERROR(__xludf.DUMMYFUNCTION("""COMPUTED_VALUE"""),"Sticker La Brioche")</f>
        <v>Sticker La Brioche</v>
      </c>
      <c r="C200" s="8">
        <v>4000</v>
      </c>
      <c r="D200" s="21">
        <f ca="1">IFERROR(__xludf.DUMMYFUNCTION("""COMPUTED_VALUE"""),25)</f>
        <v>25</v>
      </c>
      <c r="E200" s="6" t="str">
        <f ca="1">IFERROR(__xludf.DUMMYFUNCTION("""COMPUTED_VALUE"""),"un")</f>
        <v>un</v>
      </c>
      <c r="F200" s="6" t="str">
        <f ca="1">IFERROR(__xludf.DUMMYFUNCTION("""COMPUTED_VALUE"""),"Desechables")</f>
        <v>Desechables</v>
      </c>
      <c r="G200" s="25">
        <f t="shared" ca="1" si="0"/>
        <v>100000</v>
      </c>
      <c r="H200" s="25">
        <f t="shared" ca="1" si="6"/>
        <v>19000</v>
      </c>
      <c r="I200" s="25">
        <f t="shared" ca="1" si="7"/>
        <v>119000</v>
      </c>
      <c r="J200" s="156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8"/>
      <c r="Z200" s="28"/>
    </row>
    <row r="201" spans="1:26" ht="15.75">
      <c r="A201" s="7" t="str">
        <f ca="1">IFERROR(__xludf.DUMMYFUNCTION("""COMPUTED_VALUE"""),"ti-ing-eb406216-ee42-4fa1-82a6-91d3d62b5e79")</f>
        <v>ti-ing-eb406216-ee42-4fa1-82a6-91d3d62b5e79</v>
      </c>
      <c r="B201" s="7" t="str">
        <f ca="1">IFERROR(__xludf.DUMMYFUNCTION("""COMPUTED_VALUE"""),"TAPA BOWL 1300 (1X300)")</f>
        <v>TAPA BOWL 1300 (1X300)</v>
      </c>
      <c r="C201" s="8">
        <v>300</v>
      </c>
      <c r="D201" s="21">
        <f ca="1">IFERROR(__xludf.DUMMYFUNCTION("""COMPUTED_VALUE"""),61.6667)</f>
        <v>61.666699999999999</v>
      </c>
      <c r="E201" s="6" t="str">
        <f ca="1">IFERROR(__xludf.DUMMYFUNCTION("""COMPUTED_VALUE"""),"UN")</f>
        <v>UN</v>
      </c>
      <c r="F201" s="6" t="str">
        <f ca="1">IFERROR(__xludf.DUMMYFUNCTION("""COMPUTED_VALUE"""),"Desechables")</f>
        <v>Desechables</v>
      </c>
      <c r="G201" s="25">
        <f t="shared" ca="1" si="0"/>
        <v>18500.009999999998</v>
      </c>
      <c r="H201" s="25">
        <f t="shared" ca="1" si="6"/>
        <v>3515.0018999999998</v>
      </c>
      <c r="I201" s="25">
        <f t="shared" ca="1" si="7"/>
        <v>22015.011899999998</v>
      </c>
      <c r="J201" s="156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8"/>
      <c r="Z201" s="28"/>
    </row>
    <row r="202" spans="1:26" ht="15.75">
      <c r="A202" s="7" t="str">
        <f ca="1">IFERROR(__xludf.DUMMYFUNCTION("""COMPUTED_VALUE"""),"ti-ing-5f615c7e-0ecf-4925-aeb1-a3e1d6b038f0")</f>
        <v>ti-ing-5f615c7e-0ecf-4925-aeb1-a3e1d6b038f0</v>
      </c>
      <c r="B202" s="7" t="str">
        <f ca="1">IFERROR(__xludf.DUMMYFUNCTION("""COMPUTED_VALUE"""),"Tapa C-18 Transparente")</f>
        <v>Tapa C-18 Transparente</v>
      </c>
      <c r="C202" s="8">
        <v>150</v>
      </c>
      <c r="D202" s="21">
        <f ca="1">IFERROR(__xludf.DUMMYFUNCTION("""COMPUTED_VALUE"""),75.04157)</f>
        <v>75.041569999999993</v>
      </c>
      <c r="E202" s="6" t="str">
        <f ca="1">IFERROR(__xludf.DUMMYFUNCTION("""COMPUTED_VALUE"""),"UN")</f>
        <v>UN</v>
      </c>
      <c r="F202" s="6" t="str">
        <f ca="1">IFERROR(__xludf.DUMMYFUNCTION("""COMPUTED_VALUE"""),"Desechables")</f>
        <v>Desechables</v>
      </c>
      <c r="G202" s="25">
        <f t="shared" ca="1" si="0"/>
        <v>11256.235499999999</v>
      </c>
      <c r="H202" s="25">
        <f t="shared" ca="1" si="6"/>
        <v>2138.684745</v>
      </c>
      <c r="I202" s="25">
        <f t="shared" ca="1" si="7"/>
        <v>13394.920244999999</v>
      </c>
      <c r="J202" s="156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8"/>
      <c r="Z202" s="28"/>
    </row>
    <row r="203" spans="1:26" ht="15.75">
      <c r="A203" s="7" t="str">
        <f ca="1">IFERROR(__xludf.DUMMYFUNCTION("""COMPUTED_VALUE"""),"ti-ing-56f980b3-a0b2-4681-914f-f242858e5aa4")</f>
        <v>ti-ing-56f980b3-a0b2-4681-914f-f242858e5aa4</v>
      </c>
      <c r="B203" s="7" t="str">
        <f ca="1">IFERROR(__xludf.DUMMYFUNCTION("""COMPUTED_VALUE"""),"TAPA VASO KRAFT DE CAFÉ CHICO 8 OZ (10x100)")</f>
        <v>TAPA VASO KRAFT DE CAFÉ CHICO 8 OZ (10x100)</v>
      </c>
      <c r="C203" s="8">
        <v>850</v>
      </c>
      <c r="D203" s="21">
        <f ca="1">IFERROR(__xludf.DUMMYFUNCTION("""COMPUTED_VALUE"""),22.19391)</f>
        <v>22.193909999999999</v>
      </c>
      <c r="E203" s="6" t="str">
        <f ca="1">IFERROR(__xludf.DUMMYFUNCTION("""COMPUTED_VALUE"""),"UN")</f>
        <v>UN</v>
      </c>
      <c r="F203" s="6" t="str">
        <f ca="1">IFERROR(__xludf.DUMMYFUNCTION("""COMPUTED_VALUE"""),"Desechables")</f>
        <v>Desechables</v>
      </c>
      <c r="G203" s="25">
        <f t="shared" ca="1" si="0"/>
        <v>18864.823499999999</v>
      </c>
      <c r="H203" s="25">
        <f t="shared" ca="1" si="6"/>
        <v>3584.3164649999999</v>
      </c>
      <c r="I203" s="25">
        <f t="shared" ca="1" si="7"/>
        <v>22449.139964999998</v>
      </c>
      <c r="J203" s="156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8"/>
      <c r="Z203" s="28"/>
    </row>
    <row r="204" spans="1:26" ht="15.75">
      <c r="A204" s="7" t="str">
        <f ca="1">IFERROR(__xludf.DUMMYFUNCTION("""COMPUTED_VALUE"""),"ti-ing-e8e97ffd-d4fd-4a88-93d3-f1c9f42d2c70")</f>
        <v>ti-ing-e8e97ffd-d4fd-4a88-93d3-f1c9f42d2c70</v>
      </c>
      <c r="B204" s="7" t="str">
        <f ca="1">IFERROR(__xludf.DUMMYFUNCTION("""COMPUTED_VALUE"""),"TAPA VASO KRAFT DE CAFÉ GRANDE 12/16 OZ (20x50)")</f>
        <v>TAPA VASO KRAFT DE CAFÉ GRANDE 12/16 OZ (20x50)</v>
      </c>
      <c r="C204" s="8">
        <v>100</v>
      </c>
      <c r="D204" s="21">
        <f ca="1">IFERROR(__xludf.DUMMYFUNCTION("""COMPUTED_VALUE"""),25.824)</f>
        <v>25.824000000000002</v>
      </c>
      <c r="E204" s="6" t="str">
        <f ca="1">IFERROR(__xludf.DUMMYFUNCTION("""COMPUTED_VALUE"""),"UN")</f>
        <v>UN</v>
      </c>
      <c r="F204" s="6" t="str">
        <f ca="1">IFERROR(__xludf.DUMMYFUNCTION("""COMPUTED_VALUE"""),"Desechables")</f>
        <v>Desechables</v>
      </c>
      <c r="G204" s="25">
        <f t="shared" ca="1" si="0"/>
        <v>2582.4</v>
      </c>
      <c r="H204" s="25">
        <f t="shared" ca="1" si="6"/>
        <v>490.65600000000001</v>
      </c>
      <c r="I204" s="25">
        <f t="shared" ca="1" si="7"/>
        <v>3073.056</v>
      </c>
      <c r="J204" s="156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8"/>
      <c r="Z204" s="28"/>
    </row>
    <row r="205" spans="1:26" ht="15.75">
      <c r="A205" s="7" t="str">
        <f ca="1">IFERROR(__xludf.DUMMYFUNCTION("""COMPUTED_VALUE"""),"ti-ing-4ef4c0d1-5801-4432-9578-bf67189095c6")</f>
        <v>ti-ing-4ef4c0d1-5801-4432-9578-bf67189095c6</v>
      </c>
      <c r="B205" s="7" t="str">
        <f ca="1">IFERROR(__xludf.DUMMYFUNCTION("""COMPUTED_VALUE"""),"Tapa vaso plastico transparente La Brioche 16oz")</f>
        <v>Tapa vaso plastico transparente La Brioche 16oz</v>
      </c>
      <c r="C205" s="68">
        <v>300</v>
      </c>
      <c r="D205" s="21">
        <f ca="1">IFERROR(__xludf.DUMMYFUNCTION("""COMPUTED_VALUE"""),19.831)</f>
        <v>19.831</v>
      </c>
      <c r="E205" s="6" t="str">
        <f ca="1">IFERROR(__xludf.DUMMYFUNCTION("""COMPUTED_VALUE"""),"UN")</f>
        <v>UN</v>
      </c>
      <c r="F205" s="6" t="str">
        <f ca="1">IFERROR(__xludf.DUMMYFUNCTION("""COMPUTED_VALUE"""),"Desechables")</f>
        <v>Desechables</v>
      </c>
      <c r="G205" s="25">
        <f t="shared" ca="1" si="0"/>
        <v>5949.3</v>
      </c>
      <c r="H205" s="25">
        <f t="shared" ca="1" si="6"/>
        <v>1130.367</v>
      </c>
      <c r="I205" s="25">
        <f t="shared" ca="1" si="7"/>
        <v>7079.6670000000004</v>
      </c>
      <c r="J205" s="156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8"/>
      <c r="Z205" s="28"/>
    </row>
    <row r="206" spans="1:26" ht="15.75">
      <c r="A206" s="7" t="str">
        <f ca="1">IFERROR(__xludf.DUMMYFUNCTION("""COMPUTED_VALUE"""),"ti-ing-63ee691c-d1fd-446f-a76e-39a17a192cfa")</f>
        <v>ti-ing-63ee691c-d1fd-446f-a76e-39a17a192cfa</v>
      </c>
      <c r="B206" s="7" t="str">
        <f ca="1">IFERROR(__xludf.DUMMYFUNCTION("""COMPUTED_VALUE"""),"Totebag La Brioche")</f>
        <v>Totebag La Brioche</v>
      </c>
      <c r="C206" s="8">
        <v>30</v>
      </c>
      <c r="D206" s="21">
        <f ca="1">IFERROR(__xludf.DUMMYFUNCTION("""COMPUTED_VALUE"""),1030.48)</f>
        <v>1030.48</v>
      </c>
      <c r="E206" s="6" t="str">
        <f ca="1">IFERROR(__xludf.DUMMYFUNCTION("""COMPUTED_VALUE"""),"UN")</f>
        <v>UN</v>
      </c>
      <c r="F206" s="6" t="str">
        <f ca="1">IFERROR(__xludf.DUMMYFUNCTION("""COMPUTED_VALUE"""),"Desechables")</f>
        <v>Desechables</v>
      </c>
      <c r="G206" s="25">
        <f t="shared" ca="1" si="0"/>
        <v>30914.400000000001</v>
      </c>
      <c r="H206" s="25">
        <f t="shared" ca="1" si="6"/>
        <v>5873.7360000000008</v>
      </c>
      <c r="I206" s="25">
        <f t="shared" ca="1" si="7"/>
        <v>36788.135999999999</v>
      </c>
      <c r="J206" s="156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8"/>
      <c r="Z206" s="28"/>
    </row>
    <row r="207" spans="1:26" ht="15.75">
      <c r="A207" s="7" t="str">
        <f ca="1">IFERROR(__xludf.DUMMYFUNCTION("""COMPUTED_VALUE"""),"ti-ing-6c67fad1-c0b0-4cc1-bcb5-6616cf9ccdef")</f>
        <v>ti-ing-6c67fad1-c0b0-4cc1-bcb5-6616cf9ccdef</v>
      </c>
      <c r="B207" s="7" t="str">
        <f ca="1">IFERROR(__xludf.DUMMYFUNCTION("""COMPUTED_VALUE"""),"Vaso plastico transparente La Brioche 16oz")</f>
        <v>Vaso plastico transparente La Brioche 16oz</v>
      </c>
      <c r="C207" s="8">
        <v>200</v>
      </c>
      <c r="D207" s="21">
        <f ca="1">IFERROR(__xludf.DUMMYFUNCTION("""COMPUTED_VALUE"""),53.76)</f>
        <v>53.76</v>
      </c>
      <c r="E207" s="6" t="str">
        <f ca="1">IFERROR(__xludf.DUMMYFUNCTION("""COMPUTED_VALUE"""),"un")</f>
        <v>un</v>
      </c>
      <c r="F207" s="6" t="str">
        <f ca="1">IFERROR(__xludf.DUMMYFUNCTION("""COMPUTED_VALUE"""),"Desechables")</f>
        <v>Desechables</v>
      </c>
      <c r="G207" s="25">
        <f t="shared" ca="1" si="0"/>
        <v>10752</v>
      </c>
      <c r="H207" s="25">
        <f t="shared" ca="1" si="6"/>
        <v>2042.88</v>
      </c>
      <c r="I207" s="25">
        <f t="shared" ca="1" si="7"/>
        <v>12794.880000000001</v>
      </c>
      <c r="J207" s="156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8"/>
      <c r="Z207" s="28"/>
    </row>
    <row r="208" spans="1:26" ht="15.75">
      <c r="A208" s="7" t="str">
        <f ca="1">IFERROR(__xludf.DUMMYFUNCTION("""COMPUTED_VALUE"""),"ti-ing-38e4a287-f7f0-411b-9aa4-66ed9f4d8879")</f>
        <v>ti-ing-38e4a287-f7f0-411b-9aa4-66ed9f4d8879</v>
      </c>
      <c r="B208" s="7" t="str">
        <f ca="1">IFERROR(__xludf.DUMMYFUNCTION("""COMPUTED_VALUE"""),"Vaso polipapel kraft 8z")</f>
        <v>Vaso polipapel kraft 8z</v>
      </c>
      <c r="C208" s="8">
        <v>0</v>
      </c>
      <c r="D208" s="73">
        <f ca="1">IFERROR(__xludf.DUMMYFUNCTION("""COMPUTED_VALUE"""),35)</f>
        <v>35</v>
      </c>
      <c r="E208" s="6" t="str">
        <f ca="1">IFERROR(__xludf.DUMMYFUNCTION("""COMPUTED_VALUE"""),"UN")</f>
        <v>UN</v>
      </c>
      <c r="F208" s="6" t="str">
        <f ca="1">IFERROR(__xludf.DUMMYFUNCTION("""COMPUTED_VALUE"""),"Desechables")</f>
        <v>Desechables</v>
      </c>
      <c r="G208" s="25">
        <f t="shared" ca="1" si="0"/>
        <v>0</v>
      </c>
      <c r="H208" s="25">
        <f t="shared" ca="1" si="6"/>
        <v>0</v>
      </c>
      <c r="I208" s="25">
        <f t="shared" ca="1" si="7"/>
        <v>0</v>
      </c>
      <c r="J208" s="156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8"/>
      <c r="Z208" s="28"/>
    </row>
    <row r="209" spans="1:26" ht="15.75">
      <c r="A209" s="7" t="str">
        <f ca="1">IFERROR(__xludf.DUMMYFUNCTION("""COMPUTED_VALUE"""),"ti-ing-9c508a36-0dc3-4234-bfbf-60c7c204139e")</f>
        <v>ti-ing-9c508a36-0dc3-4234-bfbf-60c7c204139e</v>
      </c>
      <c r="B209" s="7" t="str">
        <f ca="1">IFERROR(__xludf.DUMMYFUNCTION("""COMPUTED_VALUE"""),"VASOS")</f>
        <v>VASOS</v>
      </c>
      <c r="C209" s="8">
        <v>0</v>
      </c>
      <c r="D209" s="21">
        <f ca="1">IFERROR(__xludf.DUMMYFUNCTION("""COMPUTED_VALUE"""),12.10714746)</f>
        <v>12.10714746</v>
      </c>
      <c r="E209" s="6" t="str">
        <f ca="1">IFERROR(__xludf.DUMMYFUNCTION("""COMPUTED_VALUE"""),"UN")</f>
        <v>UN</v>
      </c>
      <c r="F209" s="6" t="str">
        <f ca="1">IFERROR(__xludf.DUMMYFUNCTION("""COMPUTED_VALUE"""),"Desechables")</f>
        <v>Desechables</v>
      </c>
      <c r="G209" s="25">
        <f t="shared" ca="1" si="0"/>
        <v>0</v>
      </c>
      <c r="H209" s="25">
        <f t="shared" ca="1" si="6"/>
        <v>0</v>
      </c>
      <c r="I209" s="25">
        <f t="shared" ca="1" si="7"/>
        <v>0</v>
      </c>
      <c r="J209" s="156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8"/>
      <c r="Z209" s="28"/>
    </row>
    <row r="210" spans="1:26" ht="15.75">
      <c r="A210" s="7" t="str">
        <f ca="1">IFERROR(__xludf.DUMMYFUNCTION("""COMPUTED_VALUE"""),"ti-ing-4ac19bcb-9eb8-4168-b767-1332c4025e39")</f>
        <v>ti-ing-4ac19bcb-9eb8-4168-b767-1332c4025e39</v>
      </c>
      <c r="B210" s="7" t="str">
        <f ca="1">IFERROR(__xludf.DUMMYFUNCTION("""COMPUTED_VALUE"""),"VASOS 350 CC PLASTICO (1x2800)")</f>
        <v>VASOS 350 CC PLASTICO (1x2800)</v>
      </c>
      <c r="C210" s="8">
        <v>250</v>
      </c>
      <c r="D210" s="21">
        <f ca="1">IFERROR(__xludf.DUMMYFUNCTION("""COMPUTED_VALUE"""),55.5686)</f>
        <v>55.568600000000004</v>
      </c>
      <c r="E210" s="6" t="str">
        <f ca="1">IFERROR(__xludf.DUMMYFUNCTION("""COMPUTED_VALUE"""),"UN")</f>
        <v>UN</v>
      </c>
      <c r="F210" s="6" t="str">
        <f ca="1">IFERROR(__xludf.DUMMYFUNCTION("""COMPUTED_VALUE"""),"Desechables")</f>
        <v>Desechables</v>
      </c>
      <c r="G210" s="25">
        <f t="shared" ca="1" si="0"/>
        <v>13892.150000000001</v>
      </c>
      <c r="H210" s="25">
        <f t="shared" ca="1" si="6"/>
        <v>2639.5085000000004</v>
      </c>
      <c r="I210" s="25">
        <f t="shared" ca="1" si="7"/>
        <v>16531.658500000001</v>
      </c>
      <c r="J210" s="156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8"/>
      <c r="Z210" s="28"/>
    </row>
    <row r="211" spans="1:26" ht="15.75">
      <c r="A211" s="7" t="str">
        <f ca="1">IFERROR(__xludf.DUMMYFUNCTION("""COMPUTED_VALUE"""),"ti-ing-1b068b5c-8486-48c1-95a7-c503be908e2f")</f>
        <v>ti-ing-1b068b5c-8486-48c1-95a7-c503be908e2f</v>
      </c>
      <c r="B211" s="7" t="str">
        <f ca="1">IFERROR(__xludf.DUMMYFUNCTION("""COMPUTED_VALUE"""),"VASOS KRAFT LA BRIOCHE CHICO 8 OZ (20X50)")</f>
        <v>VASOS KRAFT LA BRIOCHE CHICO 8 OZ (20X50)</v>
      </c>
      <c r="C211" s="8">
        <v>0</v>
      </c>
      <c r="D211" s="21">
        <f ca="1">IFERROR(__xludf.DUMMYFUNCTION("""COMPUTED_VALUE"""),46.68825182)</f>
        <v>46.688251819999998</v>
      </c>
      <c r="E211" s="6" t="str">
        <f ca="1">IFERROR(__xludf.DUMMYFUNCTION("""COMPUTED_VALUE"""),"UN")</f>
        <v>UN</v>
      </c>
      <c r="F211" s="6" t="str">
        <f ca="1">IFERROR(__xludf.DUMMYFUNCTION("""COMPUTED_VALUE"""),"Desechables")</f>
        <v>Desechables</v>
      </c>
      <c r="G211" s="25">
        <f t="shared" ca="1" si="0"/>
        <v>0</v>
      </c>
      <c r="H211" s="25">
        <f t="shared" ca="1" si="6"/>
        <v>0</v>
      </c>
      <c r="I211" s="25">
        <f t="shared" ca="1" si="7"/>
        <v>0</v>
      </c>
      <c r="J211" s="156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8"/>
      <c r="Z211" s="28"/>
    </row>
    <row r="212" spans="1:26" ht="15.75">
      <c r="A212" s="7" t="str">
        <f ca="1">IFERROR(__xludf.DUMMYFUNCTION("""COMPUTED_VALUE"""),"ti-ing-810c6e51-cf5b-4857-a53b-6b277d684b42")</f>
        <v>ti-ing-810c6e51-cf5b-4857-a53b-6b277d684b42</v>
      </c>
      <c r="B212" s="7" t="str">
        <f ca="1">IFERROR(__xludf.DUMMYFUNCTION("""COMPUTED_VALUE"""),"VASOS KRAFT LA BRIOCHE MEDIANO 12 OZ (50X20)")</f>
        <v>VASOS KRAFT LA BRIOCHE MEDIANO 12 OZ (50X20)</v>
      </c>
      <c r="C212" s="8">
        <v>350</v>
      </c>
      <c r="D212" s="21">
        <f ca="1">IFERROR(__xludf.DUMMYFUNCTION("""COMPUTED_VALUE"""),46.36834499)</f>
        <v>46.368344989999997</v>
      </c>
      <c r="E212" s="6" t="str">
        <f ca="1">IFERROR(__xludf.DUMMYFUNCTION("""COMPUTED_VALUE"""),"UN")</f>
        <v>UN</v>
      </c>
      <c r="F212" s="6" t="str">
        <f ca="1">IFERROR(__xludf.DUMMYFUNCTION("""COMPUTED_VALUE"""),"Desechables")</f>
        <v>Desechables</v>
      </c>
      <c r="G212" s="25">
        <f t="shared" ca="1" si="0"/>
        <v>16228.920746499998</v>
      </c>
      <c r="H212" s="25">
        <f t="shared" ca="1" si="6"/>
        <v>3083.4949418349997</v>
      </c>
      <c r="I212" s="25">
        <f t="shared" ca="1" si="7"/>
        <v>19312.415688334997</v>
      </c>
      <c r="J212" s="156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8"/>
      <c r="Z212" s="28"/>
    </row>
    <row r="213" spans="1:26" ht="15.75">
      <c r="A213" s="7"/>
      <c r="B213" s="7" t="str">
        <f ca="1">IFERROR(__xludf.DUMMYFUNCTION("""COMPUTED_VALUE"""),"Tenedor madera")</f>
        <v>Tenedor madera</v>
      </c>
      <c r="C213" s="8">
        <v>300</v>
      </c>
      <c r="D213" s="21">
        <f ca="1">IFERROR(__xludf.DUMMYFUNCTION("""COMPUTED_VALUE"""),12.43)</f>
        <v>12.43</v>
      </c>
      <c r="E213" s="6" t="str">
        <f ca="1">IFERROR(__xludf.DUMMYFUNCTION("""COMPUTED_VALUE"""),"UN")</f>
        <v>UN</v>
      </c>
      <c r="F213" s="6" t="str">
        <f ca="1">IFERROR(__xludf.DUMMYFUNCTION("""COMPUTED_VALUE"""),"Desechables")</f>
        <v>Desechables</v>
      </c>
      <c r="G213" s="25">
        <f t="shared" ca="1" si="0"/>
        <v>3729</v>
      </c>
      <c r="H213" s="25">
        <f t="shared" ca="1" si="6"/>
        <v>708.51</v>
      </c>
      <c r="I213" s="25">
        <f t="shared" ca="1" si="7"/>
        <v>4437.51</v>
      </c>
      <c r="J213" s="156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8"/>
      <c r="Z213" s="28"/>
    </row>
    <row r="214" spans="1:26" ht="15.75">
      <c r="A214" s="7"/>
      <c r="B214" s="7" t="str">
        <f ca="1">IFERROR(__xludf.DUMMYFUNCTION("""COMPUTED_VALUE"""),"Cuchillo madera")</f>
        <v>Cuchillo madera</v>
      </c>
      <c r="C214" s="8">
        <v>400</v>
      </c>
      <c r="D214" s="21">
        <f ca="1">IFERROR(__xludf.DUMMYFUNCTION("""COMPUTED_VALUE"""),9.84)</f>
        <v>9.84</v>
      </c>
      <c r="E214" s="6" t="str">
        <f ca="1">IFERROR(__xludf.DUMMYFUNCTION("""COMPUTED_VALUE"""),"UN")</f>
        <v>UN</v>
      </c>
      <c r="F214" s="6" t="str">
        <f ca="1">IFERROR(__xludf.DUMMYFUNCTION("""COMPUTED_VALUE"""),"Desechables")</f>
        <v>Desechables</v>
      </c>
      <c r="G214" s="25">
        <f t="shared" ca="1" si="0"/>
        <v>3936</v>
      </c>
      <c r="H214" s="25">
        <f t="shared" ca="1" si="6"/>
        <v>747.84</v>
      </c>
      <c r="I214" s="25">
        <f t="shared" ca="1" si="7"/>
        <v>4683.84</v>
      </c>
      <c r="J214" s="156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8"/>
      <c r="Z214" s="28"/>
    </row>
    <row r="215" spans="1:26" ht="15.75">
      <c r="A215" s="7"/>
      <c r="B215" s="7" t="str">
        <f ca="1">IFERROR(__xludf.DUMMYFUNCTION("""COMPUTED_VALUE"""),"Cuchara madera")</f>
        <v>Cuchara madera</v>
      </c>
      <c r="C215" s="8">
        <v>1700</v>
      </c>
      <c r="D215" s="21">
        <f ca="1">IFERROR(__xludf.DUMMYFUNCTION("""COMPUTED_VALUE"""),12.43)</f>
        <v>12.43</v>
      </c>
      <c r="E215" s="6" t="str">
        <f ca="1">IFERROR(__xludf.DUMMYFUNCTION("""COMPUTED_VALUE"""),"UN")</f>
        <v>UN</v>
      </c>
      <c r="F215" s="6" t="str">
        <f ca="1">IFERROR(__xludf.DUMMYFUNCTION("""COMPUTED_VALUE"""),"Desechables")</f>
        <v>Desechables</v>
      </c>
      <c r="G215" s="25">
        <f t="shared" ca="1" si="0"/>
        <v>21131</v>
      </c>
      <c r="H215" s="25">
        <f t="shared" ca="1" si="6"/>
        <v>4014.89</v>
      </c>
      <c r="I215" s="25">
        <f t="shared" ca="1" si="7"/>
        <v>25145.89</v>
      </c>
      <c r="J215" s="156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8"/>
      <c r="Z215" s="28"/>
    </row>
    <row r="216" spans="1:26" ht="15.75">
      <c r="A216" s="7" t="str">
        <f ca="1">IFERROR(__xludf.DUMMYFUNCTION("""COMPUTED_VALUE"""),"ti-ing-b505ceae-6021-4652-a617-603008378183")</f>
        <v>ti-ing-b505ceae-6021-4652-a617-603008378183</v>
      </c>
      <c r="B216" s="7" t="str">
        <f ca="1">IFERROR(__xludf.DUMMYFUNCTION("""COMPUTED_VALUE"""),"Fruta congelada Arandano")</f>
        <v>Fruta congelada Arandano</v>
      </c>
      <c r="C216" s="8">
        <v>15</v>
      </c>
      <c r="D216" s="21">
        <f ca="1">IFERROR(__xludf.DUMMYFUNCTION("""COMPUTED_VALUE"""),3689)</f>
        <v>3689</v>
      </c>
      <c r="E216" s="6" t="str">
        <f ca="1">IFERROR(__xludf.DUMMYFUNCTION("""COMPUTED_VALUE"""),"KG")</f>
        <v>KG</v>
      </c>
      <c r="F216" s="6" t="str">
        <f ca="1">IFERROR(__xludf.DUMMYFUNCTION("""COMPUTED_VALUE"""),"Frutas y Verduras")</f>
        <v>Frutas y Verduras</v>
      </c>
      <c r="G216" s="25">
        <f t="shared" ca="1" si="0"/>
        <v>55335</v>
      </c>
      <c r="H216" s="25">
        <f t="shared" ca="1" si="6"/>
        <v>10513.65</v>
      </c>
      <c r="I216" s="25">
        <f t="shared" ca="1" si="7"/>
        <v>65848.649999999994</v>
      </c>
      <c r="J216" s="156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8"/>
      <c r="Z216" s="28"/>
    </row>
    <row r="217" spans="1:26" ht="15.75">
      <c r="A217" s="7" t="str">
        <f ca="1">IFERROR(__xludf.DUMMYFUNCTION("""COMPUTED_VALUE"""),"ti-ing-d749a7c1-eed0-4911-befb-3b6bd7964e76")</f>
        <v>ti-ing-d749a7c1-eed0-4911-befb-3b6bd7964e76</v>
      </c>
      <c r="B217" s="7" t="str">
        <f ca="1">IFERROR(__xludf.DUMMYFUNCTION("""COMPUTED_VALUE"""),"Fruta congelada Frambuesa")</f>
        <v>Fruta congelada Frambuesa</v>
      </c>
      <c r="C217" s="8">
        <v>21</v>
      </c>
      <c r="D217" s="21">
        <f ca="1">IFERROR(__xludf.DUMMYFUNCTION("""COMPUTED_VALUE"""),2661)</f>
        <v>2661</v>
      </c>
      <c r="E217" s="6" t="str">
        <f ca="1">IFERROR(__xludf.DUMMYFUNCTION("""COMPUTED_VALUE"""),"Kg")</f>
        <v>Kg</v>
      </c>
      <c r="F217" s="6" t="str">
        <f ca="1">IFERROR(__xludf.DUMMYFUNCTION("""COMPUTED_VALUE"""),"Frutas y Verduras")</f>
        <v>Frutas y Verduras</v>
      </c>
      <c r="G217" s="25">
        <f t="shared" ca="1" si="0"/>
        <v>55881</v>
      </c>
      <c r="H217" s="25">
        <f t="shared" ca="1" si="6"/>
        <v>10617.39</v>
      </c>
      <c r="I217" s="25">
        <f t="shared" ca="1" si="7"/>
        <v>66498.39</v>
      </c>
      <c r="J217" s="156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8"/>
      <c r="Z217" s="28"/>
    </row>
    <row r="218" spans="1:26" ht="15.75">
      <c r="A218" s="7" t="str">
        <f ca="1">IFERROR(__xludf.DUMMYFUNCTION("""COMPUTED_VALUE"""),"ti-ing-36d188be-1d21-49c4-81d6-40aa525186bc")</f>
        <v>ti-ing-36d188be-1d21-49c4-81d6-40aa525186bc</v>
      </c>
      <c r="B218" s="7" t="str">
        <f ca="1">IFERROR(__xludf.DUMMYFUNCTION("""COMPUTED_VALUE"""),"Harina Fuerza la estampa")</f>
        <v>Harina Fuerza la estampa</v>
      </c>
      <c r="C218" s="8">
        <v>75</v>
      </c>
      <c r="D218" s="21">
        <f ca="1">IFERROR(__xludf.DUMMYFUNCTION("""COMPUTED_VALUE"""),720)</f>
        <v>720</v>
      </c>
      <c r="E218" s="6" t="str">
        <f ca="1">IFERROR(__xludf.DUMMYFUNCTION("""COMPUTED_VALUE"""),"KG")</f>
        <v>KG</v>
      </c>
      <c r="F218" s="6" t="str">
        <f ca="1">IFERROR(__xludf.DUMMYFUNCTION("""COMPUTED_VALUE"""),"Harinas")</f>
        <v>Harinas</v>
      </c>
      <c r="G218" s="25">
        <f t="shared" ca="1" si="0"/>
        <v>54000</v>
      </c>
      <c r="H218" s="25">
        <f t="shared" ca="1" si="6"/>
        <v>10260</v>
      </c>
      <c r="I218" s="25">
        <f t="shared" ca="1" si="7"/>
        <v>64260</v>
      </c>
      <c r="J218" s="156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8"/>
      <c r="Z218" s="28"/>
    </row>
    <row r="219" spans="1:26" ht="15.75">
      <c r="A219" s="7" t="str">
        <f ca="1">IFERROR(__xludf.DUMMYFUNCTION("""COMPUTED_VALUE"""),"ti-ing-c022b8f7-37cb-4495-b583-adf8c2912827")</f>
        <v>ti-ing-c022b8f7-37cb-4495-b583-adf8c2912827</v>
      </c>
      <c r="B219" s="7" t="str">
        <f ca="1">IFERROR(__xludf.DUMMYFUNCTION("""COMPUTED_VALUE"""),"Harina Integral la estampa")</f>
        <v>Harina Integral la estampa</v>
      </c>
      <c r="C219" s="8">
        <v>75</v>
      </c>
      <c r="D219" s="21">
        <f ca="1">IFERROR(__xludf.DUMMYFUNCTION("""COMPUTED_VALUE"""),715.28)</f>
        <v>715.28</v>
      </c>
      <c r="E219" s="6" t="str">
        <f ca="1">IFERROR(__xludf.DUMMYFUNCTION("""COMPUTED_VALUE"""),"KG")</f>
        <v>KG</v>
      </c>
      <c r="F219" s="6" t="str">
        <f ca="1">IFERROR(__xludf.DUMMYFUNCTION("""COMPUTED_VALUE"""),"Harinas")</f>
        <v>Harinas</v>
      </c>
      <c r="G219" s="25">
        <f t="shared" ca="1" si="0"/>
        <v>53646</v>
      </c>
      <c r="H219" s="25">
        <f t="shared" ca="1" si="6"/>
        <v>10192.74</v>
      </c>
      <c r="I219" s="25">
        <f t="shared" ca="1" si="7"/>
        <v>63838.74</v>
      </c>
      <c r="J219" s="156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8"/>
      <c r="Z219" s="28"/>
    </row>
    <row r="220" spans="1:26" ht="15.75">
      <c r="A220" s="7"/>
      <c r="B220" s="7" t="str">
        <f ca="1">IFERROR(__xludf.DUMMYFUNCTION("""COMPUTED_VALUE"""),"harina san cristobal fortaleza ")</f>
        <v xml:space="preserve">harina san cristobal fortaleza </v>
      </c>
      <c r="C220" s="8">
        <v>375</v>
      </c>
      <c r="D220" s="21">
        <f ca="1">IFERROR(__xludf.DUMMYFUNCTION("""COMPUTED_VALUE"""),714)</f>
        <v>714</v>
      </c>
      <c r="E220" s="6" t="str">
        <f ca="1">IFERROR(__xludf.DUMMYFUNCTION("""COMPUTED_VALUE"""),"KG")</f>
        <v>KG</v>
      </c>
      <c r="F220" s="6" t="str">
        <f ca="1">IFERROR(__xludf.DUMMYFUNCTION("""COMPUTED_VALUE"""),"Harinas")</f>
        <v>Harinas</v>
      </c>
      <c r="G220" s="25">
        <f t="shared" ca="1" si="0"/>
        <v>267750</v>
      </c>
      <c r="H220" s="25">
        <f t="shared" ca="1" si="6"/>
        <v>50872.5</v>
      </c>
      <c r="I220" s="25">
        <f t="shared" ca="1" si="7"/>
        <v>318622.5</v>
      </c>
      <c r="J220" s="156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8"/>
      <c r="Z220" s="28"/>
    </row>
    <row r="221" spans="1:26" ht="15.75">
      <c r="A221" s="7" t="str">
        <f ca="1">IFERROR(__xludf.DUMMYFUNCTION("""COMPUTED_VALUE"""),"ti-ing-63bb439b-2f54-484e-8af1-634f36b26a2f")</f>
        <v>ti-ing-63bb439b-2f54-484e-8af1-634f36b26a2f</v>
      </c>
      <c r="B221" s="7" t="str">
        <f ca="1">IFERROR(__xludf.DUMMYFUNCTION("""COMPUTED_VALUE"""),"Harina Super la estampa")</f>
        <v>Harina Super la estampa</v>
      </c>
      <c r="C221" s="8">
        <v>325</v>
      </c>
      <c r="D221" s="21">
        <f ca="1">IFERROR(__xludf.DUMMYFUNCTION("""COMPUTED_VALUE"""),590.24)</f>
        <v>590.24</v>
      </c>
      <c r="E221" s="6" t="str">
        <f ca="1">IFERROR(__xludf.DUMMYFUNCTION("""COMPUTED_VALUE"""),"KG")</f>
        <v>KG</v>
      </c>
      <c r="F221" s="6" t="str">
        <f ca="1">IFERROR(__xludf.DUMMYFUNCTION("""COMPUTED_VALUE"""),"Harinas")</f>
        <v>Harinas</v>
      </c>
      <c r="G221" s="25">
        <f t="shared" ca="1" si="0"/>
        <v>191828</v>
      </c>
      <c r="H221" s="25">
        <f t="shared" ca="1" si="6"/>
        <v>36447.32</v>
      </c>
      <c r="I221" s="25">
        <f t="shared" ca="1" si="7"/>
        <v>228275.32</v>
      </c>
      <c r="J221" s="156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8"/>
      <c r="Z221" s="28"/>
    </row>
    <row r="222" spans="1:26" ht="15.75">
      <c r="A222" s="7" t="str">
        <f ca="1">IFERROR(__xludf.DUMMYFUNCTION("""COMPUTED_VALUE"""),"ti-ing-f5df0060-3824-4a90-b181-f166174871b5")</f>
        <v>ti-ing-f5df0060-3824-4a90-b181-f166174871b5</v>
      </c>
      <c r="B222" s="7" t="str">
        <f ca="1">IFERROR(__xludf.DUMMYFUNCTION("""COMPUTED_VALUE"""),"Crema De Chocolate")</f>
        <v>Crema De Chocolate</v>
      </c>
      <c r="C222" s="8">
        <v>0</v>
      </c>
      <c r="D222" s="21">
        <f ca="1">IFERROR(__xludf.DUMMYFUNCTION("""COMPUTED_VALUE"""),5300)</f>
        <v>5300</v>
      </c>
      <c r="E222" s="6" t="str">
        <f ca="1">IFERROR(__xludf.DUMMYFUNCTION("""COMPUTED_VALUE"""),"KG")</f>
        <v>KG</v>
      </c>
      <c r="F222" s="6" t="str">
        <f ca="1">IFERROR(__xludf.DUMMYFUNCTION("""COMPUTED_VALUE"""),"Lácteos y Quesos")</f>
        <v>Lácteos y Quesos</v>
      </c>
      <c r="G222" s="25">
        <f t="shared" ca="1" si="0"/>
        <v>0</v>
      </c>
      <c r="H222" s="25">
        <f t="shared" ca="1" si="6"/>
        <v>0</v>
      </c>
      <c r="I222" s="25">
        <f t="shared" ca="1" si="7"/>
        <v>0</v>
      </c>
      <c r="J222" s="156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8"/>
      <c r="Z222" s="28"/>
    </row>
    <row r="223" spans="1:26" ht="15.75">
      <c r="A223" s="7" t="str">
        <f ca="1">IFERROR(__xludf.DUMMYFUNCTION("""COMPUTED_VALUE"""),"ti-ing-aa29f857-a1c6-4602-83d9-a873366a6e06")</f>
        <v>ti-ing-aa29f857-a1c6-4602-83d9-a873366a6e06</v>
      </c>
      <c r="B223" s="7" t="str">
        <f ca="1">IFERROR(__xludf.DUMMYFUNCTION("""COMPUTED_VALUE"""),"Crema de leche animal")</f>
        <v>Crema de leche animal</v>
      </c>
      <c r="C223" s="8">
        <v>15</v>
      </c>
      <c r="D223" s="21">
        <f ca="1">IFERROR(__xludf.DUMMYFUNCTION("""COMPUTED_VALUE"""),3413.667)</f>
        <v>3413.6669999999999</v>
      </c>
      <c r="E223" s="6" t="str">
        <f ca="1">IFERROR(__xludf.DUMMYFUNCTION("""COMPUTED_VALUE"""),"LT")</f>
        <v>LT</v>
      </c>
      <c r="F223" s="6" t="str">
        <f ca="1">IFERROR(__xludf.DUMMYFUNCTION("""COMPUTED_VALUE"""),"Lácteos y Quesos")</f>
        <v>Lácteos y Quesos</v>
      </c>
      <c r="G223" s="25">
        <f t="shared" ca="1" si="0"/>
        <v>51205.004999999997</v>
      </c>
      <c r="H223" s="25">
        <f t="shared" ca="1" si="6"/>
        <v>9728.9509500000004</v>
      </c>
      <c r="I223" s="25">
        <f t="shared" ca="1" si="7"/>
        <v>60933.955949999996</v>
      </c>
      <c r="J223" s="156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8"/>
      <c r="Z223" s="28"/>
    </row>
    <row r="224" spans="1:26" ht="15.75">
      <c r="A224" s="7" t="str">
        <f ca="1">IFERROR(__xludf.DUMMYFUNCTION("""COMPUTED_VALUE"""),"ti-ing-8b4a4fb5-2fa0-4402-83b9-8dd51959d1bb")</f>
        <v>ti-ing-8b4a4fb5-2fa0-4402-83b9-8dd51959d1bb</v>
      </c>
      <c r="B224" s="7" t="str">
        <f ca="1">IFERROR(__xludf.DUMMYFUNCTION("""COMPUTED_VALUE"""),"Crema festipak s/azucar (L)")</f>
        <v>Crema festipak s/azucar (L)</v>
      </c>
      <c r="C224" s="8">
        <v>8</v>
      </c>
      <c r="D224" s="21">
        <f ca="1">IFERROR(__xludf.DUMMYFUNCTION("""COMPUTED_VALUE"""),5270)</f>
        <v>5270</v>
      </c>
      <c r="E224" s="6" t="str">
        <f ca="1">IFERROR(__xludf.DUMMYFUNCTION("""COMPUTED_VALUE"""),"LT")</f>
        <v>LT</v>
      </c>
      <c r="F224" s="6" t="str">
        <f ca="1">IFERROR(__xludf.DUMMYFUNCTION("""COMPUTED_VALUE"""),"Lácteos y Quesos")</f>
        <v>Lácteos y Quesos</v>
      </c>
      <c r="G224" s="25">
        <f t="shared" ca="1" si="0"/>
        <v>42160</v>
      </c>
      <c r="H224" s="25">
        <f t="shared" ca="1" si="6"/>
        <v>8010.4000000000005</v>
      </c>
      <c r="I224" s="25">
        <f t="shared" ca="1" si="7"/>
        <v>50170.400000000001</v>
      </c>
      <c r="J224" s="156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8"/>
      <c r="Z224" s="28"/>
    </row>
    <row r="225" spans="1:26" ht="15.75">
      <c r="A225" s="7" t="str">
        <f ca="1">IFERROR(__xludf.DUMMYFUNCTION("""COMPUTED_VALUE"""),"ti-ing-ee163a96-a490-400a-85f3-5c0c4dfab97e")</f>
        <v>ti-ing-ee163a96-a490-400a-85f3-5c0c4dfab97e</v>
      </c>
      <c r="B225" s="7" t="str">
        <f ca="1">IFERROR(__xludf.DUMMYFUNCTION("""COMPUTED_VALUE"""),"Crema Nata")</f>
        <v>Crema Nata</v>
      </c>
      <c r="C225" s="8">
        <v>0</v>
      </c>
      <c r="D225" s="21">
        <f ca="1">IFERROR(__xludf.DUMMYFUNCTION("""COMPUTED_VALUE"""),3500)</f>
        <v>3500</v>
      </c>
      <c r="E225" s="6" t="str">
        <f ca="1">IFERROR(__xludf.DUMMYFUNCTION("""COMPUTED_VALUE"""),"KG")</f>
        <v>KG</v>
      </c>
      <c r="F225" s="6" t="str">
        <f ca="1">IFERROR(__xludf.DUMMYFUNCTION("""COMPUTED_VALUE"""),"Lácteos y Quesos")</f>
        <v>Lácteos y Quesos</v>
      </c>
      <c r="G225" s="25">
        <f t="shared" ca="1" si="0"/>
        <v>0</v>
      </c>
      <c r="H225" s="25">
        <f t="shared" ca="1" si="6"/>
        <v>0</v>
      </c>
      <c r="I225" s="25">
        <f t="shared" ca="1" si="7"/>
        <v>0</v>
      </c>
      <c r="J225" s="156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8"/>
      <c r="Z225" s="28"/>
    </row>
    <row r="226" spans="1:26" ht="15.75">
      <c r="A226" s="7" t="str">
        <f ca="1">IFERROR(__xludf.DUMMYFUNCTION("""COMPUTED_VALUE"""),"ti-ing-60787c9f-e111-4bf2-8601-3311d46197ae")</f>
        <v>ti-ing-60787c9f-e111-4bf2-8601-3311d46197ae</v>
      </c>
      <c r="B226" s="7" t="str">
        <f ca="1">IFERROR(__xludf.DUMMYFUNCTION("""COMPUTED_VALUE"""),"Crema Vegetal MONA LISA")</f>
        <v>Crema Vegetal MONA LISA</v>
      </c>
      <c r="C226" s="8">
        <v>1</v>
      </c>
      <c r="D226" s="21">
        <f ca="1">IFERROR(__xludf.DUMMYFUNCTION("""COMPUTED_VALUE"""),2890)</f>
        <v>2890</v>
      </c>
      <c r="E226" s="6" t="str">
        <f ca="1">IFERROR(__xludf.DUMMYFUNCTION("""COMPUTED_VALUE"""),"LT")</f>
        <v>LT</v>
      </c>
      <c r="F226" s="6" t="str">
        <f ca="1">IFERROR(__xludf.DUMMYFUNCTION("""COMPUTED_VALUE"""),"Lácteos y Quesos")</f>
        <v>Lácteos y Quesos</v>
      </c>
      <c r="G226" s="25">
        <f t="shared" ca="1" si="0"/>
        <v>2890</v>
      </c>
      <c r="H226" s="25">
        <f t="shared" ca="1" si="6"/>
        <v>549.1</v>
      </c>
      <c r="I226" s="25">
        <f t="shared" ca="1" si="7"/>
        <v>3439.1</v>
      </c>
      <c r="J226" s="156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8"/>
      <c r="Z226" s="28"/>
    </row>
    <row r="227" spans="1:26" ht="15.75">
      <c r="A227" s="7" t="str">
        <f ca="1">IFERROR(__xludf.DUMMYFUNCTION("""COMPUTED_VALUE"""),"ti-ing-8262d660-3530-4e0b-8ef7-7198065a11f9")</f>
        <v>ti-ing-8262d660-3530-4e0b-8ef7-7198065a11f9</v>
      </c>
      <c r="B227" s="7" t="str">
        <f ca="1">IFERROR(__xludf.DUMMYFUNCTION("""COMPUTED_VALUE"""),"Leche condensada kg")</f>
        <v>Leche condensada kg</v>
      </c>
      <c r="C227" s="8">
        <v>24</v>
      </c>
      <c r="D227" s="21">
        <f ca="1">IFERROR(__xludf.DUMMYFUNCTION("""COMPUTED_VALUE"""),3377.333)</f>
        <v>3377.3330000000001</v>
      </c>
      <c r="E227" s="6" t="str">
        <f ca="1">IFERROR(__xludf.DUMMYFUNCTION("""COMPUTED_VALUE"""),"kg")</f>
        <v>kg</v>
      </c>
      <c r="F227" s="6" t="str">
        <f ca="1">IFERROR(__xludf.DUMMYFUNCTION("""COMPUTED_VALUE"""),"Lácteos y Quesos")</f>
        <v>Lácteos y Quesos</v>
      </c>
      <c r="G227" s="25">
        <f t="shared" ca="1" si="0"/>
        <v>81055.991999999998</v>
      </c>
      <c r="H227" s="25">
        <f t="shared" ca="1" si="6"/>
        <v>15400.63848</v>
      </c>
      <c r="I227" s="25">
        <f t="shared" ca="1" si="7"/>
        <v>96456.630479999993</v>
      </c>
      <c r="J227" s="156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8"/>
      <c r="Z227" s="28"/>
    </row>
    <row r="228" spans="1:26" ht="15.75">
      <c r="A228" s="7" t="str">
        <f ca="1">IFERROR(__xludf.DUMMYFUNCTION("""COMPUTED_VALUE"""),"ti-ing-a099253c-8088-44a5-94f5-0a7ec1379344")</f>
        <v>ti-ing-a099253c-8088-44a5-94f5-0a7ec1379344</v>
      </c>
      <c r="B228" s="7" t="str">
        <f ca="1">IFERROR(__xludf.DUMMYFUNCTION("""COMPUTED_VALUE"""),"Leche desc / sin lactosa unidad 1 lt")</f>
        <v>Leche desc / sin lactosa unidad 1 lt</v>
      </c>
      <c r="C228" s="8">
        <v>84</v>
      </c>
      <c r="D228" s="21">
        <f ca="1">IFERROR(__xludf.DUMMYFUNCTION("""COMPUTED_VALUE"""),1123.5)</f>
        <v>1123.5</v>
      </c>
      <c r="E228" s="6" t="str">
        <f ca="1">IFERROR(__xludf.DUMMYFUNCTION("""COMPUTED_VALUE"""),"LT")</f>
        <v>LT</v>
      </c>
      <c r="F228" s="6" t="str">
        <f ca="1">IFERROR(__xludf.DUMMYFUNCTION("""COMPUTED_VALUE"""),"Lácteos y Quesos")</f>
        <v>Lácteos y Quesos</v>
      </c>
      <c r="G228" s="25">
        <f t="shared" ca="1" si="0"/>
        <v>94374</v>
      </c>
      <c r="H228" s="25">
        <f t="shared" ca="1" si="6"/>
        <v>17931.060000000001</v>
      </c>
      <c r="I228" s="25">
        <f t="shared" ca="1" si="7"/>
        <v>112305.06</v>
      </c>
      <c r="J228" s="156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8"/>
      <c r="Z228" s="28"/>
    </row>
    <row r="229" spans="1:26" ht="15.75">
      <c r="A229" s="7" t="str">
        <f ca="1">IFERROR(__xludf.DUMMYFUNCTION("""COMPUTED_VALUE"""),"ti-ing-f217056d-5d63-4d3a-850f-a0137c3c2bc8")</f>
        <v>ti-ing-f217056d-5d63-4d3a-850f-a0137c3c2bc8</v>
      </c>
      <c r="B229" s="7" t="str">
        <f ca="1">IFERROR(__xludf.DUMMYFUNCTION("""COMPUTED_VALUE"""),"Leche entera 1 lt")</f>
        <v>Leche entera 1 lt</v>
      </c>
      <c r="C229" s="8">
        <v>156</v>
      </c>
      <c r="D229" s="21">
        <f ca="1">IFERROR(__xludf.DUMMYFUNCTION("""COMPUTED_VALUE"""),1022.3333)</f>
        <v>1022.3333</v>
      </c>
      <c r="E229" s="6" t="str">
        <f ca="1">IFERROR(__xludf.DUMMYFUNCTION("""COMPUTED_VALUE"""),"LT")</f>
        <v>LT</v>
      </c>
      <c r="F229" s="6" t="str">
        <f ca="1">IFERROR(__xludf.DUMMYFUNCTION("""COMPUTED_VALUE"""),"Lácteos y Quesos")</f>
        <v>Lácteos y Quesos</v>
      </c>
      <c r="G229" s="25">
        <f t="shared" ca="1" si="0"/>
        <v>159483.99480000001</v>
      </c>
      <c r="H229" s="25">
        <f t="shared" ca="1" si="6"/>
        <v>30301.959012000003</v>
      </c>
      <c r="I229" s="25">
        <f t="shared" ca="1" si="7"/>
        <v>189785.95381200002</v>
      </c>
      <c r="J229" s="156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8"/>
      <c r="Z229" s="28"/>
    </row>
    <row r="230" spans="1:26" ht="15.75">
      <c r="A230" s="7" t="str">
        <f ca="1">IFERROR(__xludf.DUMMYFUNCTION("""COMPUTED_VALUE"""),"ti-ing-efbb157d-1cf5-48ff-aa74-a931c248d95b")</f>
        <v>ti-ing-efbb157d-1cf5-48ff-aa74-a931c248d95b</v>
      </c>
      <c r="B230" s="7" t="str">
        <f ca="1">IFERROR(__xludf.DUMMYFUNCTION("""COMPUTED_VALUE"""),"Leche evaporada (1 tarro)")</f>
        <v>Leche evaporada (1 tarro)</v>
      </c>
      <c r="C230" s="8">
        <v>30</v>
      </c>
      <c r="D230" s="21">
        <f ca="1">IFERROR(__xludf.DUMMYFUNCTION("""COMPUTED_VALUE"""),1277)</f>
        <v>1277</v>
      </c>
      <c r="E230" s="6" t="str">
        <f ca="1">IFERROR(__xludf.DUMMYFUNCTION("""COMPUTED_VALUE"""),"UN")</f>
        <v>UN</v>
      </c>
      <c r="F230" s="6" t="str">
        <f ca="1">IFERROR(__xludf.DUMMYFUNCTION("""COMPUTED_VALUE"""),"Lácteos y Quesos")</f>
        <v>Lácteos y Quesos</v>
      </c>
      <c r="G230" s="25">
        <f t="shared" ca="1" si="0"/>
        <v>38310</v>
      </c>
      <c r="H230" s="25">
        <f t="shared" ca="1" si="6"/>
        <v>7278.9</v>
      </c>
      <c r="I230" s="25">
        <f t="shared" ca="1" si="7"/>
        <v>45588.9</v>
      </c>
      <c r="J230" s="156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8"/>
      <c r="Z230" s="28"/>
    </row>
    <row r="231" spans="1:26" ht="15.75">
      <c r="A231" s="7" t="str">
        <f ca="1">IFERROR(__xludf.DUMMYFUNCTION("""COMPUTED_VALUE"""),"ti-ing-f3d94cde-48f1-42db-8049-c5b03f49e386")</f>
        <v>ti-ing-f3d94cde-48f1-42db-8049-c5b03f49e386</v>
      </c>
      <c r="B231" s="7" t="str">
        <f ca="1">IFERROR(__xludf.DUMMYFUNCTION("""COMPUTED_VALUE"""),"Leche vegetal almendra 1 lt")</f>
        <v>Leche vegetal almendra 1 lt</v>
      </c>
      <c r="C231" s="8">
        <v>11</v>
      </c>
      <c r="D231" s="21">
        <f ca="1">IFERROR(__xludf.DUMMYFUNCTION("""COMPUTED_VALUE"""),1490)</f>
        <v>1490</v>
      </c>
      <c r="E231" s="6" t="str">
        <f ca="1">IFERROR(__xludf.DUMMYFUNCTION("""COMPUTED_VALUE"""),"LT")</f>
        <v>LT</v>
      </c>
      <c r="F231" s="6" t="str">
        <f ca="1">IFERROR(__xludf.DUMMYFUNCTION("""COMPUTED_VALUE"""),"Lácteos y Quesos")</f>
        <v>Lácteos y Quesos</v>
      </c>
      <c r="G231" s="25">
        <f t="shared" ca="1" si="0"/>
        <v>16390</v>
      </c>
      <c r="H231" s="25">
        <f t="shared" ca="1" si="6"/>
        <v>3114.1</v>
      </c>
      <c r="I231" s="25">
        <f t="shared" ca="1" si="7"/>
        <v>19504.099999999999</v>
      </c>
      <c r="J231" s="156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8"/>
      <c r="Z231" s="28"/>
    </row>
    <row r="232" spans="1:26" ht="15.75">
      <c r="A232" s="7" t="str">
        <f ca="1">IFERROR(__xludf.DUMMYFUNCTION("""COMPUTED_VALUE"""),"ti-ing-64b80843-980f-4e02-80ef-5eedfb1ad90d")</f>
        <v>ti-ing-64b80843-980f-4e02-80ef-5eedfb1ad90d</v>
      </c>
      <c r="B232" s="7" t="str">
        <f ca="1">IFERROR(__xludf.DUMMYFUNCTION("""COMPUTED_VALUE"""),"Leche vegetal avena 1 lt")</f>
        <v>Leche vegetal avena 1 lt</v>
      </c>
      <c r="C232" s="8">
        <v>10</v>
      </c>
      <c r="D232" s="21">
        <f ca="1">IFERROR(__xludf.DUMMYFUNCTION("""COMPUTED_VALUE"""),2290)</f>
        <v>2290</v>
      </c>
      <c r="E232" s="6" t="str">
        <f ca="1">IFERROR(__xludf.DUMMYFUNCTION("""COMPUTED_VALUE"""),"LT")</f>
        <v>LT</v>
      </c>
      <c r="F232" s="6" t="str">
        <f ca="1">IFERROR(__xludf.DUMMYFUNCTION("""COMPUTED_VALUE"""),"Lácteos y Quesos")</f>
        <v>Lácteos y Quesos</v>
      </c>
      <c r="G232" s="25">
        <f t="shared" ca="1" si="0"/>
        <v>22900</v>
      </c>
      <c r="H232" s="25">
        <f t="shared" ca="1" si="6"/>
        <v>4351</v>
      </c>
      <c r="I232" s="25">
        <f t="shared" ca="1" si="7"/>
        <v>27251</v>
      </c>
      <c r="J232" s="156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8"/>
      <c r="Z232" s="28"/>
    </row>
    <row r="233" spans="1:26" ht="15.75">
      <c r="A233" s="7" t="str">
        <f ca="1">IFERROR(__xludf.DUMMYFUNCTION("""COMPUTED_VALUE"""),"ti-ing-7f6f3cb5-d68f-4eda-8218-918eb16bfa9b")</f>
        <v>ti-ing-7f6f3cb5-d68f-4eda-8218-918eb16bfa9b</v>
      </c>
      <c r="B233" s="7" t="str">
        <f ca="1">IFERROR(__xludf.DUMMYFUNCTION("""COMPUTED_VALUE"""),"Leche Vegetal Soya 1 lt")</f>
        <v>Leche Vegetal Soya 1 lt</v>
      </c>
      <c r="C233" s="8">
        <v>4</v>
      </c>
      <c r="D233" s="21">
        <f ca="1">IFERROR(__xludf.DUMMYFUNCTION("""COMPUTED_VALUE"""),2290)</f>
        <v>2290</v>
      </c>
      <c r="E233" s="6" t="str">
        <f ca="1">IFERROR(__xludf.DUMMYFUNCTION("""COMPUTED_VALUE"""),"LT")</f>
        <v>LT</v>
      </c>
      <c r="F233" s="6" t="str">
        <f ca="1">IFERROR(__xludf.DUMMYFUNCTION("""COMPUTED_VALUE"""),"Lácteos y Quesos")</f>
        <v>Lácteos y Quesos</v>
      </c>
      <c r="G233" s="25">
        <f t="shared" ca="1" si="0"/>
        <v>9160</v>
      </c>
      <c r="H233" s="25">
        <f t="shared" ca="1" si="6"/>
        <v>1740.4</v>
      </c>
      <c r="I233" s="25">
        <f t="shared" ca="1" si="7"/>
        <v>10900.4</v>
      </c>
      <c r="J233" s="156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8"/>
      <c r="Z233" s="28"/>
    </row>
    <row r="234" spans="1:26" ht="15.75">
      <c r="A234" s="7" t="str">
        <f ca="1">IFERROR(__xludf.DUMMYFUNCTION("""COMPUTED_VALUE"""),"ti-ing-954249fd-0da9-476c-818b-572694743b97")</f>
        <v>ti-ing-954249fd-0da9-476c-818b-572694743b97</v>
      </c>
      <c r="B234" s="7" t="str">
        <f ca="1">IFERROR(__xludf.DUMMYFUNCTION("""COMPUTED_VALUE"""),"Manjar Repostero")</f>
        <v>Manjar Repostero</v>
      </c>
      <c r="C234" s="8">
        <v>0</v>
      </c>
      <c r="D234" s="21">
        <f ca="1">IFERROR(__xludf.DUMMYFUNCTION("""COMPUTED_VALUE"""),3469)</f>
        <v>3469</v>
      </c>
      <c r="E234" s="6" t="str">
        <f ca="1">IFERROR(__xludf.DUMMYFUNCTION("""COMPUTED_VALUE"""),"KG")</f>
        <v>KG</v>
      </c>
      <c r="F234" s="6" t="str">
        <f ca="1">IFERROR(__xludf.DUMMYFUNCTION("""COMPUTED_VALUE"""),"Lácteos y Quesos")</f>
        <v>Lácteos y Quesos</v>
      </c>
      <c r="G234" s="25">
        <f t="shared" ca="1" si="0"/>
        <v>0</v>
      </c>
      <c r="H234" s="25">
        <f t="shared" ca="1" si="6"/>
        <v>0</v>
      </c>
      <c r="I234" s="25">
        <f t="shared" ca="1" si="7"/>
        <v>0</v>
      </c>
      <c r="J234" s="156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8"/>
      <c r="Z234" s="28"/>
    </row>
    <row r="235" spans="1:26" ht="15.75">
      <c r="A235" s="7" t="str">
        <f ca="1">IFERROR(__xludf.DUMMYFUNCTION("""COMPUTED_VALUE"""),"ti-ing-cc4ca94a-8d6a-45e3-9479-ec6ec3c164ff")</f>
        <v>ti-ing-cc4ca94a-8d6a-45e3-9479-ec6ec3c164ff</v>
      </c>
      <c r="B235" s="7" t="str">
        <f ca="1">IFERROR(__xludf.DUMMYFUNCTION("""COMPUTED_VALUE"""),"Manteca Vegetal soprole")</f>
        <v>Manteca Vegetal soprole</v>
      </c>
      <c r="C235" s="8">
        <v>12</v>
      </c>
      <c r="D235" s="21">
        <f ca="1">IFERROR(__xludf.DUMMYFUNCTION("""COMPUTED_VALUE"""),3508.493501)</f>
        <v>3508.4935009999999</v>
      </c>
      <c r="E235" s="6" t="str">
        <f ca="1">IFERROR(__xludf.DUMMYFUNCTION("""COMPUTED_VALUE"""),"KG")</f>
        <v>KG</v>
      </c>
      <c r="F235" s="6" t="str">
        <f ca="1">IFERROR(__xludf.DUMMYFUNCTION("""COMPUTED_VALUE"""),"Lácteos y Quesos")</f>
        <v>Lácteos y Quesos</v>
      </c>
      <c r="G235" s="25">
        <f t="shared" ca="1" si="0"/>
        <v>42101.922011999995</v>
      </c>
      <c r="H235" s="25">
        <f t="shared" ca="1" si="6"/>
        <v>7999.3651822799993</v>
      </c>
      <c r="I235" s="25">
        <f t="shared" ca="1" si="7"/>
        <v>50101.287194279997</v>
      </c>
      <c r="J235" s="156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8"/>
      <c r="Z235" s="28"/>
    </row>
    <row r="236" spans="1:26" ht="15.75">
      <c r="A236" s="7" t="str">
        <f ca="1">IFERROR(__xludf.DUMMYFUNCTION("""COMPUTED_VALUE"""),"ti-ing-ecd37d53-82cc-47dc-a91b-bd72d972df17")</f>
        <v>ti-ing-ecd37d53-82cc-47dc-a91b-bd72d972df17</v>
      </c>
      <c r="B236" s="7" t="str">
        <f ca="1">IFERROR(__xludf.DUMMYFUNCTION("""COMPUTED_VALUE"""),"Mantequilla sin sal")</f>
        <v>Mantequilla sin sal</v>
      </c>
      <c r="C236" s="8">
        <v>25</v>
      </c>
      <c r="D236" s="21">
        <f ca="1">IFERROR(__xludf.DUMMYFUNCTION("""COMPUTED_VALUE"""),8415.28)</f>
        <v>8415.2800000000007</v>
      </c>
      <c r="E236" s="6" t="str">
        <f ca="1">IFERROR(__xludf.DUMMYFUNCTION("""COMPUTED_VALUE"""),"KG")</f>
        <v>KG</v>
      </c>
      <c r="F236" s="6" t="str">
        <f ca="1">IFERROR(__xludf.DUMMYFUNCTION("""COMPUTED_VALUE"""),"Lácteos y Quesos")</f>
        <v>Lácteos y Quesos</v>
      </c>
      <c r="G236" s="25">
        <f t="shared" ca="1" si="0"/>
        <v>210382.00000000003</v>
      </c>
      <c r="H236" s="25">
        <f t="shared" ca="1" si="6"/>
        <v>39972.580000000009</v>
      </c>
      <c r="I236" s="25">
        <f t="shared" ca="1" si="7"/>
        <v>250354.58000000005</v>
      </c>
      <c r="J236" s="156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8"/>
      <c r="Z236" s="28"/>
    </row>
    <row r="237" spans="1:26" ht="15.75">
      <c r="A237" s="7" t="str">
        <f ca="1">IFERROR(__xludf.DUMMYFUNCTION("""COMPUTED_VALUE"""),"ti-ing-614d8fd2-0c43-4daa-a2e1-ce85599adc8e")</f>
        <v>ti-ing-614d8fd2-0c43-4daa-a2e1-ce85599adc8e</v>
      </c>
      <c r="B237" s="7" t="str">
        <f ca="1">IFERROR(__xludf.DUMMYFUNCTION("""COMPUTED_VALUE"""),"Margarina De Horneo soprole")</f>
        <v>Margarina De Horneo soprole</v>
      </c>
      <c r="C237" s="8">
        <v>20</v>
      </c>
      <c r="D237" s="21">
        <f ca="1">IFERROR(__xludf.DUMMYFUNCTION("""COMPUTED_VALUE"""),3523.04)</f>
        <v>3523.04</v>
      </c>
      <c r="E237" s="6" t="str">
        <f ca="1">IFERROR(__xludf.DUMMYFUNCTION("""COMPUTED_VALUE"""),"kg")</f>
        <v>kg</v>
      </c>
      <c r="F237" s="6" t="str">
        <f ca="1">IFERROR(__xludf.DUMMYFUNCTION("""COMPUTED_VALUE"""),"Lácteos y Quesos")</f>
        <v>Lácteos y Quesos</v>
      </c>
      <c r="G237" s="25">
        <f t="shared" ca="1" si="0"/>
        <v>70460.800000000003</v>
      </c>
      <c r="H237" s="25">
        <f t="shared" ca="1" si="6"/>
        <v>13387.552000000001</v>
      </c>
      <c r="I237" s="25">
        <f t="shared" ca="1" si="7"/>
        <v>83848.351999999999</v>
      </c>
      <c r="J237" s="156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8"/>
      <c r="Z237" s="28"/>
    </row>
    <row r="238" spans="1:26" ht="15.75">
      <c r="A238" s="7" t="str">
        <f ca="1">IFERROR(__xludf.DUMMYFUNCTION("""COMPUTED_VALUE"""),"ti-ing-ae308e8b-ea5d-4ac4-9239-53ac83800a28")</f>
        <v>ti-ing-ae308e8b-ea5d-4ac4-9239-53ac83800a28</v>
      </c>
      <c r="B238" s="7" t="str">
        <f ca="1">IFERROR(__xludf.DUMMYFUNCTION("""COMPUTED_VALUE"""),"Margarina Laminacion Plus")</f>
        <v>Margarina Laminacion Plus</v>
      </c>
      <c r="C238" s="8">
        <v>0</v>
      </c>
      <c r="D238" s="21">
        <f ca="1">IFERROR(__xludf.DUMMYFUNCTION("""COMPUTED_VALUE"""),4789.992)</f>
        <v>4789.9920000000002</v>
      </c>
      <c r="E238" s="6" t="str">
        <f ca="1">IFERROR(__xludf.DUMMYFUNCTION("""COMPUTED_VALUE"""),"kg")</f>
        <v>kg</v>
      </c>
      <c r="F238" s="6" t="str">
        <f ca="1">IFERROR(__xludf.DUMMYFUNCTION("""COMPUTED_VALUE"""),"Lácteos y Quesos")</f>
        <v>Lácteos y Quesos</v>
      </c>
      <c r="G238" s="25">
        <f t="shared" ca="1" si="0"/>
        <v>0</v>
      </c>
      <c r="H238" s="25">
        <f t="shared" ca="1" si="6"/>
        <v>0</v>
      </c>
      <c r="I238" s="25">
        <f t="shared" ca="1" si="7"/>
        <v>0</v>
      </c>
      <c r="J238" s="156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8"/>
      <c r="Z238" s="28"/>
    </row>
    <row r="239" spans="1:26" ht="15.75">
      <c r="A239" s="7" t="str">
        <f ca="1">IFERROR(__xludf.DUMMYFUNCTION("""COMPUTED_VALUE"""),"ti-ing-5eda8072-f112-42f3-8d31-bd3f4d3d9960")</f>
        <v>ti-ing-5eda8072-f112-42f3-8d31-bd3f4d3d9960</v>
      </c>
      <c r="B239" s="7" t="str">
        <f ca="1">IFERROR(__xludf.DUMMYFUNCTION("""COMPUTED_VALUE"""),"Nutella")</f>
        <v>Nutella</v>
      </c>
      <c r="C239" s="8">
        <v>3</v>
      </c>
      <c r="D239" s="21">
        <f ca="1">IFERROR(__xludf.DUMMYFUNCTION("""COMPUTED_VALUE"""),9500)</f>
        <v>9500</v>
      </c>
      <c r="E239" s="6" t="str">
        <f ca="1">IFERROR(__xludf.DUMMYFUNCTION("""COMPUTED_VALUE"""),"Kg")</f>
        <v>Kg</v>
      </c>
      <c r="F239" s="6" t="str">
        <f ca="1">IFERROR(__xludf.DUMMYFUNCTION("""COMPUTED_VALUE"""),"Lácteos y Quesos")</f>
        <v>Lácteos y Quesos</v>
      </c>
      <c r="G239" s="25">
        <f t="shared" ca="1" si="0"/>
        <v>28500</v>
      </c>
      <c r="H239" s="25">
        <f t="shared" ca="1" si="6"/>
        <v>5415</v>
      </c>
      <c r="I239" s="25">
        <f t="shared" ca="1" si="7"/>
        <v>33915</v>
      </c>
      <c r="J239" s="156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8"/>
      <c r="Z239" s="28"/>
    </row>
    <row r="240" spans="1:26" ht="15.75">
      <c r="A240" s="7" t="str">
        <f ca="1">IFERROR(__xludf.DUMMYFUNCTION("""COMPUTED_VALUE"""),"ti-ing-2915f576-b015-4ddd-99da-0fbdd699d5d4")</f>
        <v>ti-ing-2915f576-b015-4ddd-99da-0fbdd699d5d4</v>
      </c>
      <c r="B240" s="7" t="str">
        <f ca="1">IFERROR(__xludf.DUMMYFUNCTION("""COMPUTED_VALUE"""),"Alulosa")</f>
        <v>Alulosa</v>
      </c>
      <c r="C240" s="8">
        <v>0</v>
      </c>
      <c r="D240" s="21">
        <f ca="1">IFERROR(__xludf.DUMMYFUNCTION("""COMPUTED_VALUE"""),8151.3)</f>
        <v>8151.3</v>
      </c>
      <c r="E240" s="6" t="str">
        <f ca="1">IFERROR(__xludf.DUMMYFUNCTION("""COMPUTED_VALUE"""),"Kg")</f>
        <v>Kg</v>
      </c>
      <c r="F240" s="6" t="str">
        <f ca="1">IFERROR(__xludf.DUMMYFUNCTION("""COMPUTED_VALUE"""),"Pastelería")</f>
        <v>Pastelería</v>
      </c>
      <c r="G240" s="25">
        <f t="shared" ca="1" si="0"/>
        <v>0</v>
      </c>
      <c r="H240" s="25">
        <f t="shared" ca="1" si="6"/>
        <v>0</v>
      </c>
      <c r="I240" s="25">
        <f t="shared" ca="1" si="7"/>
        <v>0</v>
      </c>
      <c r="J240" s="156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8"/>
      <c r="Z240" s="28"/>
    </row>
    <row r="241" spans="1:26" ht="15.75">
      <c r="A241" s="7" t="str">
        <f ca="1">IFERROR(__xludf.DUMMYFUNCTION("""COMPUTED_VALUE"""),"ti-ing-15d5080f-54bb-48ae-a3a4-5a9102e62c0a")</f>
        <v>ti-ing-15d5080f-54bb-48ae-a3a4-5a9102e62c0a</v>
      </c>
      <c r="B241" s="7" t="str">
        <f ca="1">IFERROR(__xludf.DUMMYFUNCTION("""COMPUTED_VALUE"""),"Azucar flor")</f>
        <v>Azucar flor</v>
      </c>
      <c r="C241" s="8">
        <v>4</v>
      </c>
      <c r="D241" s="21">
        <f ca="1">IFERROR(__xludf.DUMMYFUNCTION("""COMPUTED_VALUE"""),1505)</f>
        <v>1505</v>
      </c>
      <c r="E241" s="6" t="str">
        <f ca="1">IFERROR(__xludf.DUMMYFUNCTION("""COMPUTED_VALUE"""),"KG")</f>
        <v>KG</v>
      </c>
      <c r="F241" s="6" t="str">
        <f ca="1">IFERROR(__xludf.DUMMYFUNCTION("""COMPUTED_VALUE"""),"Pastelería")</f>
        <v>Pastelería</v>
      </c>
      <c r="G241" s="25">
        <f t="shared" ca="1" si="0"/>
        <v>6020</v>
      </c>
      <c r="H241" s="25">
        <f t="shared" ca="1" si="6"/>
        <v>1143.8</v>
      </c>
      <c r="I241" s="25">
        <f t="shared" ca="1" si="7"/>
        <v>7163.8</v>
      </c>
      <c r="J241" s="156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8"/>
      <c r="Z241" s="28"/>
    </row>
    <row r="242" spans="1:26" ht="15.75">
      <c r="A242" s="7" t="str">
        <f ca="1">IFERROR(__xludf.DUMMYFUNCTION("""COMPUTED_VALUE"""),"ti-ing-df62a31d-453b-4454-933e-0aa4b1134061")</f>
        <v>ti-ing-df62a31d-453b-4454-933e-0aa4b1134061</v>
      </c>
      <c r="B242" s="7" t="str">
        <f ca="1">IFERROR(__xludf.DUMMYFUNCTION("""COMPUTED_VALUE"""),"Bacardi")</f>
        <v>Bacardi</v>
      </c>
      <c r="C242" s="8">
        <v>0</v>
      </c>
      <c r="D242" s="21">
        <f ca="1">IFERROR(__xludf.DUMMYFUNCTION("""COMPUTED_VALUE"""),6485.58)</f>
        <v>6485.58</v>
      </c>
      <c r="E242" s="6" t="str">
        <f ca="1">IFERROR(__xludf.DUMMYFUNCTION("""COMPUTED_VALUE"""),"KG")</f>
        <v>KG</v>
      </c>
      <c r="F242" s="6" t="str">
        <f ca="1">IFERROR(__xludf.DUMMYFUNCTION("""COMPUTED_VALUE"""),"Pastelería")</f>
        <v>Pastelería</v>
      </c>
      <c r="G242" s="25">
        <f t="shared" ca="1" si="0"/>
        <v>0</v>
      </c>
      <c r="H242" s="25">
        <f t="shared" ca="1" si="6"/>
        <v>0</v>
      </c>
      <c r="I242" s="25">
        <f t="shared" ca="1" si="7"/>
        <v>0</v>
      </c>
      <c r="J242" s="156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8"/>
      <c r="Z242" s="28"/>
    </row>
    <row r="243" spans="1:26" ht="15.75">
      <c r="A243" s="7" t="str">
        <f ca="1">IFERROR(__xludf.DUMMYFUNCTION("""COMPUTED_VALUE"""),"ti-ing-2541bdef-1295-48fd-a2a6-eb459571041d")</f>
        <v>ti-ing-2541bdef-1295-48fd-a2a6-eb459571041d</v>
      </c>
      <c r="B243" s="7" t="str">
        <f ca="1">IFERROR(__xludf.DUMMYFUNCTION("""COMPUTED_VALUE"""),"Bicarbonato kg")</f>
        <v>Bicarbonato kg</v>
      </c>
      <c r="C243" s="8">
        <v>1</v>
      </c>
      <c r="D243" s="21">
        <f ca="1">IFERROR(__xludf.DUMMYFUNCTION("""COMPUTED_VALUE"""),2850)</f>
        <v>2850</v>
      </c>
      <c r="E243" s="6" t="str">
        <f ca="1">IFERROR(__xludf.DUMMYFUNCTION("""COMPUTED_VALUE"""),"KG")</f>
        <v>KG</v>
      </c>
      <c r="F243" s="6" t="str">
        <f ca="1">IFERROR(__xludf.DUMMYFUNCTION("""COMPUTED_VALUE"""),"Pastelería")</f>
        <v>Pastelería</v>
      </c>
      <c r="G243" s="25">
        <f t="shared" ca="1" si="0"/>
        <v>2850</v>
      </c>
      <c r="H243" s="25">
        <f t="shared" ca="1" si="6"/>
        <v>541.5</v>
      </c>
      <c r="I243" s="25">
        <f t="shared" ca="1" si="7"/>
        <v>3391.5</v>
      </c>
      <c r="J243" s="156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8"/>
      <c r="Z243" s="28"/>
    </row>
    <row r="244" spans="1:26" ht="15.75">
      <c r="A244" s="7" t="str">
        <f ca="1">IFERROR(__xludf.DUMMYFUNCTION("""COMPUTED_VALUE"""),"ti-ing-201209f4-cb56-4b56-aa67-0823a798b19c")</f>
        <v>ti-ing-201209f4-cb56-4b56-aa67-0823a798b19c</v>
      </c>
      <c r="B244" s="7" t="str">
        <f ca="1">IFERROR(__xludf.DUMMYFUNCTION("""COMPUTED_VALUE"""),"Brillo Frio Puratos")</f>
        <v>Brillo Frio Puratos</v>
      </c>
      <c r="C244" s="8">
        <v>0</v>
      </c>
      <c r="D244" s="21">
        <f ca="1">IFERROR(__xludf.DUMMYFUNCTION("""COMPUTED_VALUE"""),1232.889)</f>
        <v>1232.8889999999999</v>
      </c>
      <c r="E244" s="6" t="str">
        <f ca="1">IFERROR(__xludf.DUMMYFUNCTION("""COMPUTED_VALUE"""),"UN")</f>
        <v>UN</v>
      </c>
      <c r="F244" s="6" t="str">
        <f ca="1">IFERROR(__xludf.DUMMYFUNCTION("""COMPUTED_VALUE"""),"Pastelería")</f>
        <v>Pastelería</v>
      </c>
      <c r="G244" s="25">
        <f t="shared" ca="1" si="0"/>
        <v>0</v>
      </c>
      <c r="H244" s="25">
        <f t="shared" ca="1" si="6"/>
        <v>0</v>
      </c>
      <c r="I244" s="25">
        <f t="shared" ca="1" si="7"/>
        <v>0</v>
      </c>
      <c r="J244" s="156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8"/>
      <c r="Z244" s="28"/>
    </row>
    <row r="245" spans="1:26" ht="15.75">
      <c r="A245" s="7" t="str">
        <f ca="1">IFERROR(__xludf.DUMMYFUNCTION("""COMPUTED_VALUE"""),"ti-ing-2f673947-19c3-4bf1-85f0-2fd4eba84abb")</f>
        <v>ti-ing-2f673947-19c3-4bf1-85f0-2fd4eba84abb</v>
      </c>
      <c r="B245" s="7" t="str">
        <f ca="1">IFERROR(__xludf.DUMMYFUNCTION("""COMPUTED_VALUE"""),"Cacao Amargo kg")</f>
        <v>Cacao Amargo kg</v>
      </c>
      <c r="C245" s="8">
        <v>4</v>
      </c>
      <c r="D245" s="21">
        <f ca="1">IFERROR(__xludf.DUMMYFUNCTION("""COMPUTED_VALUE"""),6850)</f>
        <v>6850</v>
      </c>
      <c r="E245" s="6" t="str">
        <f ca="1">IFERROR(__xludf.DUMMYFUNCTION("""COMPUTED_VALUE"""),"KG")</f>
        <v>KG</v>
      </c>
      <c r="F245" s="6" t="str">
        <f ca="1">IFERROR(__xludf.DUMMYFUNCTION("""COMPUTED_VALUE"""),"Pastelería")</f>
        <v>Pastelería</v>
      </c>
      <c r="G245" s="25">
        <f t="shared" ca="1" si="0"/>
        <v>27400</v>
      </c>
      <c r="H245" s="25">
        <f t="shared" ca="1" si="6"/>
        <v>5206</v>
      </c>
      <c r="I245" s="25">
        <f t="shared" ca="1" si="7"/>
        <v>32606</v>
      </c>
      <c r="J245" s="156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8"/>
      <c r="Z245" s="28"/>
    </row>
    <row r="246" spans="1:26" ht="15.75">
      <c r="A246" s="7" t="str">
        <f ca="1">IFERROR(__xludf.DUMMYFUNCTION("""COMPUTED_VALUE"""),"ti-ing-a11b5aec-b526-418e-8eae-07a24b51f441")</f>
        <v>ti-ing-a11b5aec-b526-418e-8eae-07a24b51f441</v>
      </c>
      <c r="B246" s="7" t="str">
        <f ca="1">IFERROR(__xludf.DUMMYFUNCTION("""COMPUTED_VALUE"""),"Cacao Dulce kg")</f>
        <v>Cacao Dulce kg</v>
      </c>
      <c r="C246" s="8">
        <v>4</v>
      </c>
      <c r="D246" s="21">
        <f ca="1">IFERROR(__xludf.DUMMYFUNCTION("""COMPUTED_VALUE"""),6030)</f>
        <v>6030</v>
      </c>
      <c r="E246" s="6" t="str">
        <f ca="1">IFERROR(__xludf.DUMMYFUNCTION("""COMPUTED_VALUE"""),"KG")</f>
        <v>KG</v>
      </c>
      <c r="F246" s="6" t="str">
        <f ca="1">IFERROR(__xludf.DUMMYFUNCTION("""COMPUTED_VALUE"""),"Pastelería")</f>
        <v>Pastelería</v>
      </c>
      <c r="G246" s="25">
        <f t="shared" ca="1" si="0"/>
        <v>24120</v>
      </c>
      <c r="H246" s="25">
        <f t="shared" ca="1" si="6"/>
        <v>4582.8</v>
      </c>
      <c r="I246" s="25">
        <f t="shared" ca="1" si="7"/>
        <v>28702.799999999999</v>
      </c>
      <c r="J246" s="156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8"/>
      <c r="Z246" s="28"/>
    </row>
    <row r="247" spans="1:26" ht="15.75">
      <c r="A247" s="7" t="str">
        <f ca="1">IFERROR(__xludf.DUMMYFUNCTION("""COMPUTED_VALUE"""),"ti-ing-dd0f1244-936b-4a8b-b9b2-4a35e302d871")</f>
        <v>ti-ing-dd0f1244-936b-4a8b-b9b2-4a35e302d871</v>
      </c>
      <c r="B247" s="7" t="str">
        <f ca="1">IFERROR(__xludf.DUMMYFUNCTION("""COMPUTED_VALUE"""),"Canela en polvo kg")</f>
        <v>Canela en polvo kg</v>
      </c>
      <c r="C247" s="8">
        <v>3</v>
      </c>
      <c r="D247" s="21">
        <f ca="1">IFERROR(__xludf.DUMMYFUNCTION("""COMPUTED_VALUE"""),9950)</f>
        <v>9950</v>
      </c>
      <c r="E247" s="6" t="str">
        <f ca="1">IFERROR(__xludf.DUMMYFUNCTION("""COMPUTED_VALUE"""),"KG")</f>
        <v>KG</v>
      </c>
      <c r="F247" s="6" t="str">
        <f ca="1">IFERROR(__xludf.DUMMYFUNCTION("""COMPUTED_VALUE"""),"Pastelería")</f>
        <v>Pastelería</v>
      </c>
      <c r="G247" s="25">
        <f t="shared" ca="1" si="0"/>
        <v>29850</v>
      </c>
      <c r="H247" s="25">
        <f t="shared" ca="1" si="6"/>
        <v>5671.5</v>
      </c>
      <c r="I247" s="25">
        <f t="shared" ca="1" si="7"/>
        <v>35521.5</v>
      </c>
      <c r="J247" s="156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8"/>
      <c r="Z247" s="28"/>
    </row>
    <row r="248" spans="1:26" ht="15.75">
      <c r="A248" s="7" t="str">
        <f ca="1">IFERROR(__xludf.DUMMYFUNCTION("""COMPUTED_VALUE"""),"ti-ing-d4b56ec8-f74a-4b85-bb2d-969f74506069")</f>
        <v>ti-ing-d4b56ec8-f74a-4b85-bb2d-969f74506069</v>
      </c>
      <c r="B248" s="7" t="str">
        <f ca="1">IFERROR(__xludf.DUMMYFUNCTION("""COMPUTED_VALUE"""),"Canela entera")</f>
        <v>Canela entera</v>
      </c>
      <c r="C248" s="8">
        <v>1</v>
      </c>
      <c r="D248" s="21">
        <f ca="1">IFERROR(__xludf.DUMMYFUNCTION("""COMPUTED_VALUE"""),12490)</f>
        <v>12490</v>
      </c>
      <c r="E248" s="6" t="str">
        <f ca="1">IFERROR(__xludf.DUMMYFUNCTION("""COMPUTED_VALUE"""),"KG")</f>
        <v>KG</v>
      </c>
      <c r="F248" s="6" t="str">
        <f ca="1">IFERROR(__xludf.DUMMYFUNCTION("""COMPUTED_VALUE"""),"Pastelería")</f>
        <v>Pastelería</v>
      </c>
      <c r="G248" s="25">
        <f t="shared" ca="1" si="0"/>
        <v>12490</v>
      </c>
      <c r="H248" s="25">
        <f t="shared" ca="1" si="6"/>
        <v>2373.1</v>
      </c>
      <c r="I248" s="25">
        <f t="shared" ca="1" si="7"/>
        <v>14863.1</v>
      </c>
      <c r="J248" s="156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8"/>
      <c r="Z248" s="28"/>
    </row>
    <row r="249" spans="1:26" ht="15.75">
      <c r="A249" s="7" t="str">
        <f ca="1">IFERROR(__xludf.DUMMYFUNCTION("""COMPUTED_VALUE"""),"ti-ing-ffb9e40d-d20e-4e86-9d0e-41944bba152b")</f>
        <v>ti-ing-ffb9e40d-d20e-4e86-9d0e-41944bba152b</v>
      </c>
      <c r="B249" s="7" t="str">
        <f ca="1">IFERROR(__xludf.DUMMYFUNCTION("""COMPUTED_VALUE"""),"Chocolate barra blanco 1 kg")</f>
        <v>Chocolate barra blanco 1 kg</v>
      </c>
      <c r="C249" s="8">
        <v>7</v>
      </c>
      <c r="D249" s="21">
        <f ca="1">IFERROR(__xludf.DUMMYFUNCTION("""COMPUTED_VALUE"""),5409)</f>
        <v>5409</v>
      </c>
      <c r="E249" s="6" t="str">
        <f ca="1">IFERROR(__xludf.DUMMYFUNCTION("""COMPUTED_VALUE"""),"KG")</f>
        <v>KG</v>
      </c>
      <c r="F249" s="6" t="str">
        <f ca="1">IFERROR(__xludf.DUMMYFUNCTION("""COMPUTED_VALUE"""),"Pastelería")</f>
        <v>Pastelería</v>
      </c>
      <c r="G249" s="25">
        <f t="shared" ca="1" si="0"/>
        <v>37863</v>
      </c>
      <c r="H249" s="25">
        <f t="shared" ca="1" si="6"/>
        <v>7193.97</v>
      </c>
      <c r="I249" s="25">
        <f t="shared" ca="1" si="7"/>
        <v>45056.97</v>
      </c>
      <c r="J249" s="156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8"/>
      <c r="Z249" s="28"/>
    </row>
    <row r="250" spans="1:26" ht="15.75">
      <c r="A250" s="7" t="str">
        <f ca="1">IFERROR(__xludf.DUMMYFUNCTION("""COMPUTED_VALUE"""),"ti-ing-838436a7-39c0-470f-8526-61e27cb03924")</f>
        <v>ti-ing-838436a7-39c0-470f-8526-61e27cb03924</v>
      </c>
      <c r="B250" s="7" t="str">
        <f ca="1">IFERROR(__xludf.DUMMYFUNCTION("""COMPUTED_VALUE"""),"Chocolate Blanco Monedas servicio")</f>
        <v>Chocolate Blanco Monedas servicio</v>
      </c>
      <c r="C250" s="8">
        <v>4.5</v>
      </c>
      <c r="D250" s="21">
        <f ca="1">IFERROR(__xludf.DUMMYFUNCTION("""COMPUTED_VALUE"""),19520)</f>
        <v>19520</v>
      </c>
      <c r="E250" s="6" t="str">
        <f ca="1">IFERROR(__xludf.DUMMYFUNCTION("""COMPUTED_VALUE"""),"KG")</f>
        <v>KG</v>
      </c>
      <c r="F250" s="6" t="str">
        <f ca="1">IFERROR(__xludf.DUMMYFUNCTION("""COMPUTED_VALUE"""),"Pastelería")</f>
        <v>Pastelería</v>
      </c>
      <c r="G250" s="25">
        <f t="shared" ca="1" si="0"/>
        <v>87840</v>
      </c>
      <c r="H250" s="25">
        <f t="shared" ca="1" si="6"/>
        <v>16689.599999999999</v>
      </c>
      <c r="I250" s="25">
        <f t="shared" ca="1" si="7"/>
        <v>104529.60000000001</v>
      </c>
      <c r="J250" s="156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8"/>
      <c r="Z250" s="28"/>
    </row>
    <row r="251" spans="1:26" ht="15.75">
      <c r="A251" s="7" t="str">
        <f ca="1">IFERROR(__xludf.DUMMYFUNCTION("""COMPUTED_VALUE"""),"ti-ing-eb991dd6-0950-4f43-8b92-b0ff69cfe793")</f>
        <v>ti-ing-eb991dd6-0950-4f43-8b92-b0ff69cfe793</v>
      </c>
      <c r="B251" s="7" t="str">
        <f ca="1">IFERROR(__xludf.DUMMYFUNCTION("""COMPUTED_VALUE"""),"Chocolate Blanco pasteleria")</f>
        <v>Chocolate Blanco pasteleria</v>
      </c>
      <c r="C251" s="8">
        <v>4</v>
      </c>
      <c r="D251" s="21">
        <f ca="1">IFERROR(__xludf.DUMMYFUNCTION("""COMPUTED_VALUE"""),5650)</f>
        <v>5650</v>
      </c>
      <c r="E251" s="6" t="str">
        <f ca="1">IFERROR(__xludf.DUMMYFUNCTION("""COMPUTED_VALUE"""),"un")</f>
        <v>un</v>
      </c>
      <c r="F251" s="6" t="str">
        <f ca="1">IFERROR(__xludf.DUMMYFUNCTION("""COMPUTED_VALUE"""),"Pastelería")</f>
        <v>Pastelería</v>
      </c>
      <c r="G251" s="25">
        <f t="shared" ca="1" si="0"/>
        <v>22600</v>
      </c>
      <c r="H251" s="25">
        <f t="shared" ca="1" si="6"/>
        <v>4294</v>
      </c>
      <c r="I251" s="25">
        <f t="shared" ca="1" si="7"/>
        <v>26894</v>
      </c>
      <c r="J251" s="156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8"/>
      <c r="Z251" s="28"/>
    </row>
    <row r="252" spans="1:26" ht="15.75">
      <c r="A252" s="7" t="str">
        <f ca="1">IFERROR(__xludf.DUMMYFUNCTION("""COMPUTED_VALUE"""),"ti-ing-fef3563f-f9ea-432e-a284-9daef11f3cb6")</f>
        <v>ti-ing-fef3563f-f9ea-432e-a284-9daef11f3cb6</v>
      </c>
      <c r="B252" s="7" t="str">
        <f ca="1">IFERROR(__xludf.DUMMYFUNCTION("""COMPUTED_VALUE"""),"Chocolate Carat Cover Pasteleria sin azucar Puratos (kg)")</f>
        <v>Chocolate Carat Cover Pasteleria sin azucar Puratos (kg)</v>
      </c>
      <c r="C252" s="8">
        <v>11</v>
      </c>
      <c r="D252" s="21">
        <f ca="1">IFERROR(__xludf.DUMMYFUNCTION("""COMPUTED_VALUE"""),7135.7)</f>
        <v>7135.7</v>
      </c>
      <c r="E252" s="6" t="str">
        <f ca="1">IFERROR(__xludf.DUMMYFUNCTION("""COMPUTED_VALUE"""),"KG")</f>
        <v>KG</v>
      </c>
      <c r="F252" s="6" t="str">
        <f ca="1">IFERROR(__xludf.DUMMYFUNCTION("""COMPUTED_VALUE"""),"Pastelería")</f>
        <v>Pastelería</v>
      </c>
      <c r="G252" s="25">
        <f t="shared" ca="1" si="0"/>
        <v>78492.7</v>
      </c>
      <c r="H252" s="25">
        <f t="shared" ca="1" si="6"/>
        <v>14913.612999999999</v>
      </c>
      <c r="I252" s="25">
        <f t="shared" ca="1" si="7"/>
        <v>93406.312999999995</v>
      </c>
      <c r="J252" s="156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8"/>
      <c r="Z252" s="28"/>
    </row>
    <row r="253" spans="1:26" ht="15.75">
      <c r="A253" s="7" t="str">
        <f ca="1">IFERROR(__xludf.DUMMYFUNCTION("""COMPUTED_VALUE"""),"ti-ing-69506080-ae55-4a6b-b225-ca16e97bca25")</f>
        <v>ti-ing-69506080-ae55-4a6b-b225-ca16e97bca25</v>
      </c>
      <c r="B253" s="7" t="str">
        <f ca="1">IFERROR(__xludf.DUMMYFUNCTION("""COMPUTED_VALUE"""),"Colorante para chocolate")</f>
        <v>Colorante para chocolate</v>
      </c>
      <c r="C253" s="8">
        <v>6</v>
      </c>
      <c r="D253" s="21">
        <f ca="1">IFERROR(__xludf.DUMMYFUNCTION("""COMPUTED_VALUE"""),1650)</f>
        <v>1650</v>
      </c>
      <c r="E253" s="6" t="str">
        <f ca="1">IFERROR(__xludf.DUMMYFUNCTION("""COMPUTED_VALUE"""),"UN")</f>
        <v>UN</v>
      </c>
      <c r="F253" s="6" t="str">
        <f ca="1">IFERROR(__xludf.DUMMYFUNCTION("""COMPUTED_VALUE"""),"Pastelería")</f>
        <v>Pastelería</v>
      </c>
      <c r="G253" s="25">
        <f t="shared" ca="1" si="0"/>
        <v>9900</v>
      </c>
      <c r="H253" s="25">
        <f t="shared" ca="1" si="6"/>
        <v>1881</v>
      </c>
      <c r="I253" s="25">
        <f t="shared" ca="1" si="7"/>
        <v>11781</v>
      </c>
      <c r="J253" s="156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8"/>
      <c r="Z253" s="28"/>
    </row>
    <row r="254" spans="1:26" ht="15.75">
      <c r="A254" s="7" t="str">
        <f ca="1">IFERROR(__xludf.DUMMYFUNCTION("""COMPUTED_VALUE"""),"ti-ing-0a26e605-00fb-4a2d-9dff-135c2f627162")</f>
        <v>ti-ing-0a26e605-00fb-4a2d-9dff-135c2f627162</v>
      </c>
      <c r="B254" s="7" t="str">
        <f ca="1">IFERROR(__xludf.DUMMYFUNCTION("""COMPUTED_VALUE"""),"Colorante Rojo Gel (botella chica)")</f>
        <v>Colorante Rojo Gel (botella chica)</v>
      </c>
      <c r="C254" s="8">
        <v>12</v>
      </c>
      <c r="D254" s="21">
        <f ca="1">IFERROR(__xludf.DUMMYFUNCTION("""COMPUTED_VALUE"""),1354.611)</f>
        <v>1354.6110000000001</v>
      </c>
      <c r="E254" s="6" t="str">
        <f ca="1">IFERROR(__xludf.DUMMYFUNCTION("""COMPUTED_VALUE"""),"UN")</f>
        <v>UN</v>
      </c>
      <c r="F254" s="6" t="str">
        <f ca="1">IFERROR(__xludf.DUMMYFUNCTION("""COMPUTED_VALUE"""),"Pastelería")</f>
        <v>Pastelería</v>
      </c>
      <c r="G254" s="25">
        <f t="shared" ca="1" si="0"/>
        <v>16255.332000000002</v>
      </c>
      <c r="H254" s="25">
        <f t="shared" ca="1" si="6"/>
        <v>3088.5130800000006</v>
      </c>
      <c r="I254" s="25">
        <f t="shared" ca="1" si="7"/>
        <v>19343.845080000003</v>
      </c>
      <c r="J254" s="156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8"/>
      <c r="Z254" s="28"/>
    </row>
    <row r="255" spans="1:26" ht="15.75">
      <c r="A255" s="7" t="str">
        <f ca="1">IFERROR(__xludf.DUMMYFUNCTION("""COMPUTED_VALUE"""),"ti-ing-5f35b814-c678-4274-9e64-c1c716986f8e")</f>
        <v>ti-ing-5f35b814-c678-4274-9e64-c1c716986f8e</v>
      </c>
      <c r="B255" s="7" t="str">
        <f ca="1">IFERROR(__xludf.DUMMYFUNCTION("""COMPUTED_VALUE"""),"Colorantes varios")</f>
        <v>Colorantes varios</v>
      </c>
      <c r="C255" s="8">
        <v>0</v>
      </c>
      <c r="D255" s="21">
        <f ca="1">IFERROR(__xludf.DUMMYFUNCTION("""COMPUTED_VALUE"""),1862.053)</f>
        <v>1862.0530000000001</v>
      </c>
      <c r="E255" s="6" t="str">
        <f ca="1">IFERROR(__xludf.DUMMYFUNCTION("""COMPUTED_VALUE"""),"un")</f>
        <v>un</v>
      </c>
      <c r="F255" s="6" t="str">
        <f ca="1">IFERROR(__xludf.DUMMYFUNCTION("""COMPUTED_VALUE"""),"Pastelería")</f>
        <v>Pastelería</v>
      </c>
      <c r="G255" s="25">
        <f t="shared" ca="1" si="0"/>
        <v>0</v>
      </c>
      <c r="H255" s="25">
        <f t="shared" ca="1" si="6"/>
        <v>0</v>
      </c>
      <c r="I255" s="25">
        <f t="shared" ca="1" si="7"/>
        <v>0</v>
      </c>
      <c r="J255" s="156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8"/>
      <c r="Z255" s="28"/>
    </row>
    <row r="256" spans="1:26" ht="15.75">
      <c r="A256" s="7" t="str">
        <f ca="1">IFERROR(__xludf.DUMMYFUNCTION("""COMPUTED_VALUE"""),"ti-ing-5fd0d290-9632-4380-82c8-85b3a6f271a2")</f>
        <v>ti-ing-5fd0d290-9632-4380-82c8-85b3a6f271a2</v>
      </c>
      <c r="B256" s="7" t="str">
        <f ca="1">IFERROR(__xludf.DUMMYFUNCTION("""COMPUTED_VALUE"""),"Crema Pastelera")</f>
        <v>Crema Pastelera</v>
      </c>
      <c r="C256" s="8">
        <v>16</v>
      </c>
      <c r="D256" s="21">
        <f ca="1">IFERROR(__xludf.DUMMYFUNCTION("""COMPUTED_VALUE"""),4310)</f>
        <v>4310</v>
      </c>
      <c r="E256" s="6" t="str">
        <f ca="1">IFERROR(__xludf.DUMMYFUNCTION("""COMPUTED_VALUE"""),"Kg")</f>
        <v>Kg</v>
      </c>
      <c r="F256" s="6" t="str">
        <f ca="1">IFERROR(__xludf.DUMMYFUNCTION("""COMPUTED_VALUE"""),"Pastelería")</f>
        <v>Pastelería</v>
      </c>
      <c r="G256" s="25">
        <f t="shared" ca="1" si="0"/>
        <v>68960</v>
      </c>
      <c r="H256" s="25">
        <f t="shared" ca="1" si="6"/>
        <v>13102.4</v>
      </c>
      <c r="I256" s="25">
        <f t="shared" ca="1" si="7"/>
        <v>82062.399999999994</v>
      </c>
      <c r="J256" s="156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8"/>
      <c r="Z256" s="28"/>
    </row>
    <row r="257" spans="1:26" ht="15.75">
      <c r="A257" s="7"/>
      <c r="B257" s="7" t="str">
        <f ca="1">IFERROR(__xludf.DUMMYFUNCTION("""COMPUTED_VALUE"""),"Galleta oreo entera ")</f>
        <v xml:space="preserve">Galleta oreo entera </v>
      </c>
      <c r="C257" s="8">
        <v>22</v>
      </c>
      <c r="D257" s="21">
        <f ca="1">IFERROR(__xludf.DUMMYFUNCTION("""COMPUTED_VALUE"""),870)</f>
        <v>870</v>
      </c>
      <c r="E257" s="6" t="str">
        <f ca="1">IFERROR(__xludf.DUMMYFUNCTION("""COMPUTED_VALUE"""),"UN")</f>
        <v>UN</v>
      </c>
      <c r="F257" s="6" t="str">
        <f ca="1">IFERROR(__xludf.DUMMYFUNCTION("""COMPUTED_VALUE"""),"Pastelería")</f>
        <v>Pastelería</v>
      </c>
      <c r="G257" s="25">
        <f t="shared" ca="1" si="0"/>
        <v>19140</v>
      </c>
      <c r="H257" s="25">
        <f t="shared" ca="1" si="6"/>
        <v>3636.6</v>
      </c>
      <c r="I257" s="25">
        <f t="shared" ca="1" si="7"/>
        <v>22776.6</v>
      </c>
      <c r="J257" s="156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8"/>
      <c r="Z257" s="28"/>
    </row>
    <row r="258" spans="1:26" ht="15.75">
      <c r="A258" s="7"/>
      <c r="B258" s="7" t="str">
        <f ca="1">IFERROR(__xludf.DUMMYFUNCTION("""COMPUTED_VALUE"""),"Galleta oreo molida ")</f>
        <v xml:space="preserve">Galleta oreo molida </v>
      </c>
      <c r="C258" s="8">
        <v>8</v>
      </c>
      <c r="D258" s="21">
        <f ca="1">IFERROR(__xludf.DUMMYFUNCTION("""COMPUTED_VALUE"""),5404)</f>
        <v>5404</v>
      </c>
      <c r="E258" s="6" t="str">
        <f ca="1">IFERROR(__xludf.DUMMYFUNCTION("""COMPUTED_VALUE"""),"KG")</f>
        <v>KG</v>
      </c>
      <c r="F258" s="6" t="str">
        <f ca="1">IFERROR(__xludf.DUMMYFUNCTION("""COMPUTED_VALUE"""),"Pastelería")</f>
        <v>Pastelería</v>
      </c>
      <c r="G258" s="25">
        <f t="shared" ref="G258:G300" ca="1" si="8">(C258)*D258</f>
        <v>43232</v>
      </c>
      <c r="H258" s="25">
        <f t="shared" ca="1" si="6"/>
        <v>8214.08</v>
      </c>
      <c r="I258" s="25">
        <f t="shared" ca="1" si="7"/>
        <v>51446.080000000002</v>
      </c>
      <c r="J258" s="156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8"/>
      <c r="Z258" s="28"/>
    </row>
    <row r="259" spans="1:26" ht="15.75">
      <c r="A259" s="7"/>
      <c r="B259" s="7" t="str">
        <f ca="1">IFERROR(__xludf.DUMMYFUNCTION("""COMPUTED_VALUE"""),"Galletas lotus")</f>
        <v>Galletas lotus</v>
      </c>
      <c r="C259" s="8">
        <v>10</v>
      </c>
      <c r="D259" s="21">
        <f ca="1">IFERROR(__xludf.DUMMYFUNCTION("""COMPUTED_VALUE"""),2876)</f>
        <v>2876</v>
      </c>
      <c r="E259" s="6" t="str">
        <f ca="1">IFERROR(__xludf.DUMMYFUNCTION("""COMPUTED_VALUE"""),"UN")</f>
        <v>UN</v>
      </c>
      <c r="F259" s="6" t="str">
        <f ca="1">IFERROR(__xludf.DUMMYFUNCTION("""COMPUTED_VALUE"""),"Pastelería")</f>
        <v>Pastelería</v>
      </c>
      <c r="G259" s="25">
        <f t="shared" ca="1" si="8"/>
        <v>28760</v>
      </c>
      <c r="H259" s="25">
        <f t="shared" ca="1" si="6"/>
        <v>5464.4</v>
      </c>
      <c r="I259" s="25">
        <f t="shared" ca="1" si="7"/>
        <v>34224.400000000001</v>
      </c>
      <c r="J259" s="156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8"/>
      <c r="Z259" s="28"/>
    </row>
    <row r="260" spans="1:26" ht="15.75">
      <c r="A260" s="7" t="str">
        <f ca="1">IFERROR(__xludf.DUMMYFUNCTION("""COMPUTED_VALUE"""),"ti-ing-b57ed2cb-f7c0-45ff-b0cb-120c17c5c298")</f>
        <v>ti-ing-b57ed2cb-f7c0-45ff-b0cb-120c17c5c298</v>
      </c>
      <c r="B260" s="7" t="str">
        <f ca="1">IFERROR(__xludf.DUMMYFUNCTION("""COMPUTED_VALUE"""),"Galletas Vainilla Fruna Paquete")</f>
        <v>Galletas Vainilla Fruna Paquete</v>
      </c>
      <c r="C260" s="8">
        <v>0</v>
      </c>
      <c r="D260" s="21">
        <f ca="1">IFERROR(__xludf.DUMMYFUNCTION("""COMPUTED_VALUE"""),1865.5)</f>
        <v>1865.5</v>
      </c>
      <c r="E260" s="6" t="str">
        <f ca="1">IFERROR(__xludf.DUMMYFUNCTION("""COMPUTED_VALUE"""),"UN")</f>
        <v>UN</v>
      </c>
      <c r="F260" s="6" t="str">
        <f ca="1">IFERROR(__xludf.DUMMYFUNCTION("""COMPUTED_VALUE"""),"Pastelería")</f>
        <v>Pastelería</v>
      </c>
      <c r="G260" s="25">
        <f t="shared" ca="1" si="8"/>
        <v>0</v>
      </c>
      <c r="H260" s="25">
        <f t="shared" ca="1" si="6"/>
        <v>0</v>
      </c>
      <c r="I260" s="25">
        <f t="shared" ca="1" si="7"/>
        <v>0</v>
      </c>
      <c r="J260" s="156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8"/>
      <c r="Z260" s="28"/>
    </row>
    <row r="261" spans="1:26" ht="15.75">
      <c r="A261" s="7" t="str">
        <f ca="1">IFERROR(__xludf.DUMMYFUNCTION("""COMPUTED_VALUE"""),"ti-ing-60791d11-d195-46af-941a-93b24cf2fd16")</f>
        <v>ti-ing-60791d11-d195-46af-941a-93b24cf2fd16</v>
      </c>
      <c r="B261" s="7" t="str">
        <f ca="1">IFERROR(__xludf.DUMMYFUNCTION("""COMPUTED_VALUE"""),"Gas Butano (190g)")</f>
        <v>Gas Butano (190g)</v>
      </c>
      <c r="C261" s="8">
        <v>0</v>
      </c>
      <c r="D261" s="21">
        <f ca="1">IFERROR(__xludf.DUMMYFUNCTION("""COMPUTED_VALUE"""),1639)</f>
        <v>1639</v>
      </c>
      <c r="E261" s="6" t="str">
        <f ca="1">IFERROR(__xludf.DUMMYFUNCTION("""COMPUTED_VALUE"""),"UN")</f>
        <v>UN</v>
      </c>
      <c r="F261" s="6" t="str">
        <f ca="1">IFERROR(__xludf.DUMMYFUNCTION("""COMPUTED_VALUE"""),"Pastelería")</f>
        <v>Pastelería</v>
      </c>
      <c r="G261" s="25">
        <f t="shared" ca="1" si="8"/>
        <v>0</v>
      </c>
      <c r="H261" s="25">
        <f t="shared" ca="1" si="6"/>
        <v>0</v>
      </c>
      <c r="I261" s="25">
        <f t="shared" ca="1" si="7"/>
        <v>0</v>
      </c>
      <c r="J261" s="156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8"/>
      <c r="Z261" s="28"/>
    </row>
    <row r="262" spans="1:26" ht="15.75">
      <c r="A262" s="7"/>
      <c r="B262" s="7" t="str">
        <f ca="1">IFERROR(__xludf.DUMMYFUNCTION("""COMPUTED_VALUE"""),"Leche en polvo descremada")</f>
        <v>Leche en polvo descremada</v>
      </c>
      <c r="C262" s="8">
        <v>0</v>
      </c>
      <c r="D262" s="21">
        <f ca="1">IFERROR(__xludf.DUMMYFUNCTION("""COMPUTED_VALUE"""),5865.5)</f>
        <v>5865.5</v>
      </c>
      <c r="E262" s="6" t="str">
        <f ca="1">IFERROR(__xludf.DUMMYFUNCTION("""COMPUTED_VALUE"""),"KG")</f>
        <v>KG</v>
      </c>
      <c r="F262" s="6" t="str">
        <f ca="1">IFERROR(__xludf.DUMMYFUNCTION("""COMPUTED_VALUE"""),"Pastelería")</f>
        <v>Pastelería</v>
      </c>
      <c r="G262" s="25">
        <f t="shared" ca="1" si="8"/>
        <v>0</v>
      </c>
      <c r="H262" s="25">
        <f t="shared" ca="1" si="6"/>
        <v>0</v>
      </c>
      <c r="I262" s="25">
        <f t="shared" ca="1" si="7"/>
        <v>0</v>
      </c>
      <c r="J262" s="156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8"/>
      <c r="Z262" s="28"/>
    </row>
    <row r="263" spans="1:26" ht="15.75">
      <c r="A263" s="7" t="str">
        <f ca="1">IFERROR(__xludf.DUMMYFUNCTION("""COMPUTED_VALUE"""),"ti-ing-f44c95d0-1670-4ab8-b35c-f3def12843c8")</f>
        <v>ti-ing-f44c95d0-1670-4ab8-b35c-f3def12843c8</v>
      </c>
      <c r="B263" s="7" t="str">
        <f ca="1">IFERROR(__xludf.DUMMYFUNCTION("""COMPUTED_VALUE"""),"Licor De Café")</f>
        <v>Licor De Café</v>
      </c>
      <c r="C263" s="8">
        <v>1</v>
      </c>
      <c r="D263" s="21">
        <f ca="1">IFERROR(__xludf.DUMMYFUNCTION("""COMPUTED_VALUE"""),7677.847)</f>
        <v>7677.8469999999998</v>
      </c>
      <c r="E263" s="6" t="str">
        <f ca="1">IFERROR(__xludf.DUMMYFUNCTION("""COMPUTED_VALUE"""),"UN")</f>
        <v>UN</v>
      </c>
      <c r="F263" s="6" t="str">
        <f ca="1">IFERROR(__xludf.DUMMYFUNCTION("""COMPUTED_VALUE"""),"Pastelería")</f>
        <v>Pastelería</v>
      </c>
      <c r="G263" s="25">
        <f t="shared" ca="1" si="8"/>
        <v>7677.8469999999998</v>
      </c>
      <c r="H263" s="25">
        <f t="shared" ca="1" si="6"/>
        <v>1458.7909299999999</v>
      </c>
      <c r="I263" s="25">
        <f t="shared" ca="1" si="7"/>
        <v>9136.637929999999</v>
      </c>
      <c r="J263" s="156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8"/>
      <c r="Z263" s="28"/>
    </row>
    <row r="264" spans="1:26" ht="15.75">
      <c r="A264" s="7" t="str">
        <f ca="1">IFERROR(__xludf.DUMMYFUNCTION("""COMPUTED_VALUE"""),"ti-ing-37cccdc4-12fe-4756-aa6c-b99a15b2d249")</f>
        <v>ti-ing-37cccdc4-12fe-4756-aa6c-b99a15b2d249</v>
      </c>
      <c r="B264" s="7" t="str">
        <f ca="1">IFERROR(__xludf.DUMMYFUNCTION("""COMPUTED_VALUE"""),"Manga plástica desechable")</f>
        <v>Manga plástica desechable</v>
      </c>
      <c r="C264" s="8">
        <v>200</v>
      </c>
      <c r="D264" s="21">
        <f ca="1">IFERROR(__xludf.DUMMYFUNCTION("""COMPUTED_VALUE"""),6.530234)</f>
        <v>6.5302340000000001</v>
      </c>
      <c r="E264" s="6" t="str">
        <f ca="1">IFERROR(__xludf.DUMMYFUNCTION("""COMPUTED_VALUE"""),"UN")</f>
        <v>UN</v>
      </c>
      <c r="F264" s="6" t="str">
        <f ca="1">IFERROR(__xludf.DUMMYFUNCTION("""COMPUTED_VALUE"""),"Pastelería")</f>
        <v>Pastelería</v>
      </c>
      <c r="G264" s="25">
        <f t="shared" ca="1" si="8"/>
        <v>1306.0468000000001</v>
      </c>
      <c r="H264" s="25">
        <f t="shared" ca="1" si="6"/>
        <v>248.14889200000002</v>
      </c>
      <c r="I264" s="25">
        <f t="shared" ca="1" si="7"/>
        <v>1554.195692</v>
      </c>
      <c r="J264" s="156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8"/>
      <c r="Z264" s="28"/>
    </row>
    <row r="265" spans="1:26" ht="15.75">
      <c r="A265" s="7"/>
      <c r="B265" s="7" t="str">
        <f ca="1">IFERROR(__xludf.DUMMYFUNCTION("""COMPUTED_VALUE"""),"manjar colun ")</f>
        <v xml:space="preserve">manjar colun </v>
      </c>
      <c r="C265" s="8">
        <v>5</v>
      </c>
      <c r="D265" s="21">
        <f ca="1">IFERROR(__xludf.DUMMYFUNCTION("""COMPUTED_VALUE"""),3187)</f>
        <v>3187</v>
      </c>
      <c r="E265" s="6" t="str">
        <f ca="1">IFERROR(__xludf.DUMMYFUNCTION("""COMPUTED_VALUE"""),"KG")</f>
        <v>KG</v>
      </c>
      <c r="F265" s="6" t="str">
        <f ca="1">IFERROR(__xludf.DUMMYFUNCTION("""COMPUTED_VALUE"""),"Pastelería")</f>
        <v>Pastelería</v>
      </c>
      <c r="G265" s="25">
        <f t="shared" ca="1" si="8"/>
        <v>15935</v>
      </c>
      <c r="H265" s="25">
        <f t="shared" ca="1" si="6"/>
        <v>3027.65</v>
      </c>
      <c r="I265" s="25">
        <f t="shared" ca="1" si="7"/>
        <v>18962.650000000001</v>
      </c>
      <c r="J265" s="156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8"/>
      <c r="Z265" s="28"/>
    </row>
    <row r="266" spans="1:26" ht="15.75">
      <c r="A266" s="7" t="str">
        <f ca="1">IFERROR(__xludf.DUMMYFUNCTION("""COMPUTED_VALUE"""),"ti-ing-4afadf49-d8d8-45bd-9f1c-56f3da97a088")</f>
        <v>ti-ing-4afadf49-d8d8-45bd-9f1c-56f3da97a088</v>
      </c>
      <c r="B266" s="7" t="str">
        <f ca="1">IFERROR(__xludf.DUMMYFUNCTION("""COMPUTED_VALUE"""),"Manjar sin azucar")</f>
        <v>Manjar sin azucar</v>
      </c>
      <c r="C266" s="8">
        <v>7</v>
      </c>
      <c r="D266" s="21">
        <f ca="1">IFERROR(__xludf.DUMMYFUNCTION("""COMPUTED_VALUE"""),4521.176471)</f>
        <v>4521.1764709999998</v>
      </c>
      <c r="E266" s="6" t="str">
        <f ca="1">IFERROR(__xludf.DUMMYFUNCTION("""COMPUTED_VALUE"""),"KG")</f>
        <v>KG</v>
      </c>
      <c r="F266" s="6" t="str">
        <f ca="1">IFERROR(__xludf.DUMMYFUNCTION("""COMPUTED_VALUE"""),"Pastelería")</f>
        <v>Pastelería</v>
      </c>
      <c r="G266" s="25">
        <f t="shared" ca="1" si="8"/>
        <v>31648.235296999999</v>
      </c>
      <c r="H266" s="25">
        <f t="shared" ca="1" si="6"/>
        <v>6013.1647064299996</v>
      </c>
      <c r="I266" s="25">
        <f t="shared" ca="1" si="7"/>
        <v>37661.400003429997</v>
      </c>
      <c r="J266" s="156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8"/>
      <c r="Z266" s="28"/>
    </row>
    <row r="267" spans="1:26" ht="15.75">
      <c r="A267" s="7" t="str">
        <f ca="1">IFERROR(__xludf.DUMMYFUNCTION("""COMPUTED_VALUE"""),"ti-ing-f4f95cfa-68c6-4086-abf7-551594eb9cd4")</f>
        <v>ti-ing-f4f95cfa-68c6-4086-abf7-551594eb9cd4</v>
      </c>
      <c r="B267" s="7" t="str">
        <f ca="1">IFERROR(__xludf.DUMMYFUNCTION("""COMPUTED_VALUE"""),"Nuez kg")</f>
        <v>Nuez kg</v>
      </c>
      <c r="C267" s="6">
        <v>0</v>
      </c>
      <c r="D267" s="21">
        <f ca="1">IFERROR(__xludf.DUMMYFUNCTION("""COMPUTED_VALUE"""),7650)</f>
        <v>7650</v>
      </c>
      <c r="E267" s="6" t="str">
        <f ca="1">IFERROR(__xludf.DUMMYFUNCTION("""COMPUTED_VALUE"""),"KG")</f>
        <v>KG</v>
      </c>
      <c r="F267" s="6" t="str">
        <f ca="1">IFERROR(__xludf.DUMMYFUNCTION("""COMPUTED_VALUE"""),"Pastelería")</f>
        <v>Pastelería</v>
      </c>
      <c r="G267" s="25">
        <f t="shared" ca="1" si="8"/>
        <v>0</v>
      </c>
      <c r="H267" s="25">
        <f t="shared" ca="1" si="6"/>
        <v>0</v>
      </c>
      <c r="I267" s="25">
        <f t="shared" ca="1" si="7"/>
        <v>0</v>
      </c>
      <c r="J267" s="156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8"/>
      <c r="Z267" s="28"/>
    </row>
    <row r="268" spans="1:26" ht="15.75">
      <c r="A268" s="7" t="str">
        <f ca="1">IFERROR(__xludf.DUMMYFUNCTION("""COMPUTED_VALUE"""),"ti-ing-7cf2e52c-e626-4cf2-a3e6-c822b1ec2152")</f>
        <v>ti-ing-7cf2e52c-e626-4cf2-a3e6-c822b1ec2152</v>
      </c>
      <c r="B268" s="7" t="str">
        <f ca="1">IFERROR(__xludf.DUMMYFUNCTION("""COMPUTED_VALUE"""),"Oporto")</f>
        <v>Oporto</v>
      </c>
      <c r="C268" s="6">
        <v>1</v>
      </c>
      <c r="D268" s="21">
        <f ca="1">IFERROR(__xludf.DUMMYFUNCTION("""COMPUTED_VALUE"""),6273.865)</f>
        <v>6273.8649999999998</v>
      </c>
      <c r="E268" s="6" t="str">
        <f ca="1">IFERROR(__xludf.DUMMYFUNCTION("""COMPUTED_VALUE"""),"UN")</f>
        <v>UN</v>
      </c>
      <c r="F268" s="6" t="str">
        <f ca="1">IFERROR(__xludf.DUMMYFUNCTION("""COMPUTED_VALUE"""),"Pastelería")</f>
        <v>Pastelería</v>
      </c>
      <c r="G268" s="25">
        <f t="shared" ca="1" si="8"/>
        <v>6273.8649999999998</v>
      </c>
      <c r="H268" s="25">
        <f t="shared" ca="1" si="6"/>
        <v>1192.0343499999999</v>
      </c>
      <c r="I268" s="25">
        <f t="shared" ca="1" si="7"/>
        <v>7465.8993499999997</v>
      </c>
      <c r="J268" s="156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8"/>
      <c r="Z268" s="28"/>
    </row>
    <row r="269" spans="1:26" ht="15.75">
      <c r="A269" s="7" t="str">
        <f ca="1">IFERROR(__xludf.DUMMYFUNCTION("""COMPUTED_VALUE"""),"ti-ing-1ccc6f24-9c07-41d1-b646-716c6b371216")</f>
        <v>ti-ing-1ccc6f24-9c07-41d1-b646-716c6b371216</v>
      </c>
      <c r="B269" s="7" t="str">
        <f ca="1">IFERROR(__xludf.DUMMYFUNCTION("""COMPUTED_VALUE"""),"Pasta de Pistachos")</f>
        <v>Pasta de Pistachos</v>
      </c>
      <c r="C269" s="6">
        <v>0</v>
      </c>
      <c r="D269" s="21">
        <f ca="1">IFERROR(__xludf.DUMMYFUNCTION("""COMPUTED_VALUE"""),51080)</f>
        <v>51080</v>
      </c>
      <c r="E269" s="6" t="str">
        <f ca="1">IFERROR(__xludf.DUMMYFUNCTION("""COMPUTED_VALUE"""),"KG")</f>
        <v>KG</v>
      </c>
      <c r="F269" s="6" t="str">
        <f ca="1">IFERROR(__xludf.DUMMYFUNCTION("""COMPUTED_VALUE"""),"Pastelería")</f>
        <v>Pastelería</v>
      </c>
      <c r="G269" s="25">
        <f t="shared" ca="1" si="8"/>
        <v>0</v>
      </c>
      <c r="H269" s="25">
        <f t="shared" ca="1" si="6"/>
        <v>0</v>
      </c>
      <c r="I269" s="25">
        <f t="shared" ca="1" si="7"/>
        <v>0</v>
      </c>
      <c r="J269" s="156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8"/>
      <c r="Z269" s="28"/>
    </row>
    <row r="270" spans="1:26" ht="15.75">
      <c r="A270" s="7" t="str">
        <f ca="1">IFERROR(__xludf.DUMMYFUNCTION("""COMPUTED_VALUE"""),"ti-ing-0ffd3a02-efb6-4948-8396-87f4754f3e9c")</f>
        <v>ti-ing-0ffd3a02-efb6-4948-8396-87f4754f3e9c</v>
      </c>
      <c r="B270" s="7" t="str">
        <f ca="1">IFERROR(__xludf.DUMMYFUNCTION("""COMPUTED_VALUE"""),"Pistacho S/Cascara")</f>
        <v>Pistacho S/Cascara</v>
      </c>
      <c r="C270" s="8">
        <v>3</v>
      </c>
      <c r="D270" s="21">
        <f ca="1">IFERROR(__xludf.DUMMYFUNCTION("""COMPUTED_VALUE"""),39525)</f>
        <v>39525</v>
      </c>
      <c r="E270" s="6" t="str">
        <f ca="1">IFERROR(__xludf.DUMMYFUNCTION("""COMPUTED_VALUE"""),"KG")</f>
        <v>KG</v>
      </c>
      <c r="F270" s="6" t="str">
        <f ca="1">IFERROR(__xludf.DUMMYFUNCTION("""COMPUTED_VALUE"""),"Pastelería")</f>
        <v>Pastelería</v>
      </c>
      <c r="G270" s="25">
        <f t="shared" ca="1" si="8"/>
        <v>118575</v>
      </c>
      <c r="H270" s="25">
        <f t="shared" ca="1" si="6"/>
        <v>22529.25</v>
      </c>
      <c r="I270" s="25">
        <f t="shared" ca="1" si="7"/>
        <v>141104.25</v>
      </c>
      <c r="J270" s="156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8"/>
      <c r="Z270" s="28"/>
    </row>
    <row r="271" spans="1:26" ht="15.75">
      <c r="A271" s="7" t="str">
        <f ca="1">IFERROR(__xludf.DUMMYFUNCTION("""COMPUTED_VALUE"""),"ti-ing-e2ad32fd-91fe-4192-9cde-5f837e2e4b91")</f>
        <v>ti-ing-e2ad32fd-91fe-4192-9cde-5f837e2e4b91</v>
      </c>
      <c r="B271" s="7" t="str">
        <f ca="1">IFERROR(__xludf.DUMMYFUNCTION("""COMPUTED_VALUE"""),"Puratos chocolate COVERLIC ALFAJOR")</f>
        <v>Puratos chocolate COVERLIC ALFAJOR</v>
      </c>
      <c r="C271" s="8">
        <v>15</v>
      </c>
      <c r="D271" s="21">
        <f ca="1">IFERROR(__xludf.DUMMYFUNCTION("""COMPUTED_VALUE"""),5402.034969)</f>
        <v>5402.0349690000003</v>
      </c>
      <c r="E271" s="6" t="str">
        <f ca="1">IFERROR(__xludf.DUMMYFUNCTION("""COMPUTED_VALUE"""),"KG")</f>
        <v>KG</v>
      </c>
      <c r="F271" s="6" t="str">
        <f ca="1">IFERROR(__xludf.DUMMYFUNCTION("""COMPUTED_VALUE"""),"Pastelería")</f>
        <v>Pastelería</v>
      </c>
      <c r="G271" s="25">
        <f t="shared" ca="1" si="8"/>
        <v>81030.524535000004</v>
      </c>
      <c r="H271" s="25">
        <f t="shared" ca="1" si="6"/>
        <v>15395.79966165</v>
      </c>
      <c r="I271" s="25">
        <f t="shared" ca="1" si="7"/>
        <v>96426.324196650006</v>
      </c>
      <c r="J271" s="156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8"/>
      <c r="Z271" s="28"/>
    </row>
    <row r="272" spans="1:26" ht="15.75">
      <c r="A272" s="7" t="str">
        <f ca="1">IFERROR(__xludf.DUMMYFUNCTION("""COMPUTED_VALUE"""),"ti-ing-d2775d01-0f4a-4325-8e30-1bf0598c39a5")</f>
        <v>ti-ing-d2775d01-0f4a-4325-8e30-1bf0598c39a5</v>
      </c>
      <c r="B272" s="7" t="str">
        <f ca="1">IFERROR(__xludf.DUMMYFUNCTION("""COMPUTED_VALUE"""),"Salsa caramelo")</f>
        <v>Salsa caramelo</v>
      </c>
      <c r="C272" s="8">
        <v>1</v>
      </c>
      <c r="D272" s="21">
        <f ca="1">IFERROR(__xludf.DUMMYFUNCTION("""COMPUTED_VALUE"""),3360)</f>
        <v>3360</v>
      </c>
      <c r="E272" s="6" t="str">
        <f ca="1">IFERROR(__xludf.DUMMYFUNCTION("""COMPUTED_VALUE"""),"UN")</f>
        <v>UN</v>
      </c>
      <c r="F272" s="6" t="str">
        <f ca="1">IFERROR(__xludf.DUMMYFUNCTION("""COMPUTED_VALUE"""),"Pastelería")</f>
        <v>Pastelería</v>
      </c>
      <c r="G272" s="25">
        <f t="shared" ca="1" si="8"/>
        <v>3360</v>
      </c>
      <c r="H272" s="25">
        <f t="shared" ca="1" si="6"/>
        <v>638.4</v>
      </c>
      <c r="I272" s="25">
        <f t="shared" ca="1" si="7"/>
        <v>3998.4</v>
      </c>
      <c r="J272" s="156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8"/>
      <c r="Z272" s="28"/>
    </row>
    <row r="273" spans="1:26" ht="15.75">
      <c r="A273" s="7" t="str">
        <f ca="1">IFERROR(__xludf.DUMMYFUNCTION("""COMPUTED_VALUE"""),"ti-ing-8ff4dc1e-379e-4484-b1ad-3e7b82bfc4c4")</f>
        <v>ti-ing-8ff4dc1e-379e-4484-b1ad-3e7b82bfc4c4</v>
      </c>
      <c r="B273" s="7" t="str">
        <f ca="1">IFERROR(__xludf.DUMMYFUNCTION("""COMPUTED_VALUE"""),"Xantana kg")</f>
        <v>Xantana kg</v>
      </c>
      <c r="C273" s="8">
        <v>1</v>
      </c>
      <c r="D273" s="21">
        <f ca="1">IFERROR(__xludf.DUMMYFUNCTION("""COMPUTED_VALUE"""),7299)</f>
        <v>7299</v>
      </c>
      <c r="E273" s="6" t="str">
        <f ca="1">IFERROR(__xludf.DUMMYFUNCTION("""COMPUTED_VALUE"""),"KG")</f>
        <v>KG</v>
      </c>
      <c r="F273" s="6" t="str">
        <f ca="1">IFERROR(__xludf.DUMMYFUNCTION("""COMPUTED_VALUE"""),"Pastelería")</f>
        <v>Pastelería</v>
      </c>
      <c r="G273" s="25">
        <f t="shared" ca="1" si="8"/>
        <v>7299</v>
      </c>
      <c r="H273" s="25">
        <f t="shared" ca="1" si="6"/>
        <v>1386.81</v>
      </c>
      <c r="I273" s="25">
        <f t="shared" ca="1" si="7"/>
        <v>8685.81</v>
      </c>
      <c r="J273" s="156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8"/>
      <c r="Z273" s="28"/>
    </row>
    <row r="274" spans="1:26" ht="15.75">
      <c r="A274" s="7"/>
      <c r="B274" s="7" t="str">
        <f ca="1">IFERROR(__xludf.DUMMYFUNCTION("""COMPUTED_VALUE"""),"Pasta pie de limón")</f>
        <v>Pasta pie de limón</v>
      </c>
      <c r="C274" s="8">
        <v>0</v>
      </c>
      <c r="D274" s="21">
        <f ca="1">IFERROR(__xludf.DUMMYFUNCTION("""COMPUTED_VALUE"""),10688)</f>
        <v>10688</v>
      </c>
      <c r="E274" s="6" t="str">
        <f ca="1">IFERROR(__xludf.DUMMYFUNCTION("""COMPUTED_VALUE"""),"KG")</f>
        <v>KG</v>
      </c>
      <c r="F274" s="6" t="str">
        <f ca="1">IFERROR(__xludf.DUMMYFUNCTION("""COMPUTED_VALUE"""),"Pastelería")</f>
        <v>Pastelería</v>
      </c>
      <c r="G274" s="25">
        <f t="shared" ca="1" si="8"/>
        <v>0</v>
      </c>
      <c r="H274" s="25">
        <f t="shared" ca="1" si="6"/>
        <v>0</v>
      </c>
      <c r="I274" s="25">
        <f t="shared" ca="1" si="7"/>
        <v>0</v>
      </c>
      <c r="J274" s="156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8"/>
      <c r="Z274" s="28"/>
    </row>
    <row r="275" spans="1:26" ht="15.75">
      <c r="A275" s="7"/>
      <c r="B275" s="7" t="str">
        <f ca="1">IFERROR(__xludf.DUMMYFUNCTION("""COMPUTED_VALUE"""),"Pasta Caramelo salado")</f>
        <v>Pasta Caramelo salado</v>
      </c>
      <c r="C275" s="8">
        <v>0</v>
      </c>
      <c r="D275" s="21">
        <f ca="1">IFERROR(__xludf.DUMMYFUNCTION("""COMPUTED_VALUE"""),10688)</f>
        <v>10688</v>
      </c>
      <c r="E275" s="6" t="str">
        <f ca="1">IFERROR(__xludf.DUMMYFUNCTION("""COMPUTED_VALUE"""),"KG")</f>
        <v>KG</v>
      </c>
      <c r="F275" s="6" t="str">
        <f ca="1">IFERROR(__xludf.DUMMYFUNCTION("""COMPUTED_VALUE"""),"Pastelería")</f>
        <v>Pastelería</v>
      </c>
      <c r="G275" s="25">
        <f t="shared" ca="1" si="8"/>
        <v>0</v>
      </c>
      <c r="H275" s="25">
        <f t="shared" ca="1" si="6"/>
        <v>0</v>
      </c>
      <c r="I275" s="25">
        <f t="shared" ca="1" si="7"/>
        <v>0</v>
      </c>
      <c r="J275" s="156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8"/>
      <c r="Z275" s="28"/>
    </row>
    <row r="276" spans="1:26" ht="15.75">
      <c r="A276" s="7" t="str">
        <f ca="1">IFERROR(__xludf.DUMMYFUNCTION("""COMPUTED_VALUE"""),"ti-ing-49c179fb-ea02-49c2-a6a0-acc8e6349bbb")</f>
        <v>ti-ing-49c179fb-ea02-49c2-a6a0-acc8e6349bbb</v>
      </c>
      <c r="B276" s="7" t="str">
        <f ca="1">IFERROR(__xludf.DUMMYFUNCTION("""COMPUTED_VALUE"""),"Bolsa pan rallado x kilo")</f>
        <v>Bolsa pan rallado x kilo</v>
      </c>
      <c r="C276" s="8">
        <v>0</v>
      </c>
      <c r="D276" s="21">
        <f ca="1">IFERROR(__xludf.DUMMYFUNCTION("""COMPUTED_VALUE"""),700)</f>
        <v>700</v>
      </c>
      <c r="E276" s="6" t="str">
        <f ca="1">IFERROR(__xludf.DUMMYFUNCTION("""COMPUTED_VALUE"""),"KG")</f>
        <v>KG</v>
      </c>
      <c r="F276" s="6" t="str">
        <f ca="1">IFERROR(__xludf.DUMMYFUNCTION("""COMPUTED_VALUE"""),"Productos Elaborados")</f>
        <v>Productos Elaborados</v>
      </c>
      <c r="G276" s="25">
        <f t="shared" ca="1" si="8"/>
        <v>0</v>
      </c>
      <c r="H276" s="25">
        <f t="shared" ca="1" si="6"/>
        <v>0</v>
      </c>
      <c r="I276" s="25">
        <f t="shared" ca="1" si="7"/>
        <v>0</v>
      </c>
      <c r="J276" s="156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8"/>
      <c r="Z276" s="28"/>
    </row>
    <row r="277" spans="1:26" ht="15.75">
      <c r="A277" s="7"/>
      <c r="B277" s="7" t="str">
        <f ca="1">IFERROR(__xludf.DUMMYFUNCTION("""COMPUTED_VALUE"""),"flor jamaica")</f>
        <v>flor jamaica</v>
      </c>
      <c r="C277" s="8">
        <v>0</v>
      </c>
      <c r="D277" s="21">
        <f ca="1">IFERROR(__xludf.DUMMYFUNCTION("""COMPUTED_VALUE"""),6811)</f>
        <v>6811</v>
      </c>
      <c r="E277" s="6" t="str">
        <f ca="1">IFERROR(__xludf.DUMMYFUNCTION("""COMPUTED_VALUE"""),"KG")</f>
        <v>KG</v>
      </c>
      <c r="F277" s="6" t="str">
        <f ca="1">IFERROR(__xludf.DUMMYFUNCTION("""COMPUTED_VALUE"""),"Té")</f>
        <v>Té</v>
      </c>
      <c r="G277" s="25">
        <f t="shared" ca="1" si="8"/>
        <v>0</v>
      </c>
      <c r="H277" s="25">
        <f t="shared" ca="1" si="6"/>
        <v>0</v>
      </c>
      <c r="I277" s="25">
        <f t="shared" ca="1" si="7"/>
        <v>0</v>
      </c>
      <c r="J277" s="156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8"/>
      <c r="Z277" s="28"/>
    </row>
    <row r="278" spans="1:26" ht="15.75">
      <c r="A278" s="7" t="str">
        <f ca="1">IFERROR(__xludf.DUMMYFUNCTION("""COMPUTED_VALUE"""),"ti-ing-07a970c1-3c48-4a92-91e0-e444e28da6c3")</f>
        <v>ti-ing-07a970c1-3c48-4a92-91e0-e444e28da6c3</v>
      </c>
      <c r="B278" s="7" t="str">
        <f ca="1">IFERROR(__xludf.DUMMYFUNCTION("""COMPUTED_VALUE"""),"Te Dilmah Caja 100 Un")</f>
        <v>Te Dilmah Caja 100 Un</v>
      </c>
      <c r="C278" s="8">
        <v>0</v>
      </c>
      <c r="D278" s="21">
        <f ca="1">IFERROR(__xludf.DUMMYFUNCTION("""COMPUTED_VALUE"""),58.7392)</f>
        <v>58.739199999999997</v>
      </c>
      <c r="E278" s="6" t="str">
        <f ca="1">IFERROR(__xludf.DUMMYFUNCTION("""COMPUTED_VALUE"""),"UN")</f>
        <v>UN</v>
      </c>
      <c r="F278" s="6" t="str">
        <f ca="1">IFERROR(__xludf.DUMMYFUNCTION("""COMPUTED_VALUE"""),"Té")</f>
        <v>Té</v>
      </c>
      <c r="G278" s="25">
        <f t="shared" ca="1" si="8"/>
        <v>0</v>
      </c>
      <c r="H278" s="25">
        <f t="shared" ca="1" si="6"/>
        <v>0</v>
      </c>
      <c r="I278" s="25">
        <f t="shared" ca="1" si="7"/>
        <v>0</v>
      </c>
      <c r="J278" s="156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8"/>
      <c r="Z278" s="28"/>
    </row>
    <row r="279" spans="1:26" ht="15.75">
      <c r="A279" s="7"/>
      <c r="B279" s="7" t="str">
        <f ca="1">IFERROR(__xludf.DUMMYFUNCTION("""COMPUTED_VALUE"""),"te mariposa ")</f>
        <v xml:space="preserve">te mariposa </v>
      </c>
      <c r="C279" s="8">
        <v>2</v>
      </c>
      <c r="D279" s="21">
        <f ca="1">IFERROR(__xludf.DUMMYFUNCTION("""COMPUTED_VALUE"""),9908)</f>
        <v>9908</v>
      </c>
      <c r="E279" s="6" t="str">
        <f ca="1">IFERROR(__xludf.DUMMYFUNCTION("""COMPUTED_VALUE"""),"KG")</f>
        <v>KG</v>
      </c>
      <c r="F279" s="6" t="str">
        <f ca="1">IFERROR(__xludf.DUMMYFUNCTION("""COMPUTED_VALUE"""),"Té")</f>
        <v>Té</v>
      </c>
      <c r="G279" s="25">
        <f t="shared" ca="1" si="8"/>
        <v>19816</v>
      </c>
      <c r="H279" s="25">
        <f t="shared" ca="1" si="6"/>
        <v>3765.04</v>
      </c>
      <c r="I279" s="25">
        <f t="shared" ca="1" si="7"/>
        <v>23581.040000000001</v>
      </c>
      <c r="J279" s="156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8"/>
      <c r="Z279" s="28"/>
    </row>
    <row r="280" spans="1:26" ht="15.75">
      <c r="A280" s="7" t="str">
        <f ca="1">IFERROR(__xludf.DUMMYFUNCTION("""COMPUTED_VALUE"""),"ti-ing-57aab3f2-4e37-4536-85e1-0789aecdd627")</f>
        <v>ti-ing-57aab3f2-4e37-4536-85e1-0789aecdd627</v>
      </c>
      <c r="B280" s="7" t="str">
        <f ca="1">IFERROR(__xludf.DUMMYFUNCTION("""COMPUTED_VALUE"""),"Te Mix Armonía Herbal")</f>
        <v>Te Mix Armonía Herbal</v>
      </c>
      <c r="C280" s="8">
        <v>0</v>
      </c>
      <c r="D280" s="21">
        <f ca="1">IFERROR(__xludf.DUMMYFUNCTION("""COMPUTED_VALUE"""),161)</f>
        <v>161</v>
      </c>
      <c r="E280" s="6" t="str">
        <f ca="1">IFERROR(__xludf.DUMMYFUNCTION("""COMPUTED_VALUE"""),"UN")</f>
        <v>UN</v>
      </c>
      <c r="F280" s="6" t="str">
        <f ca="1">IFERROR(__xludf.DUMMYFUNCTION("""COMPUTED_VALUE"""),"Té")</f>
        <v>Té</v>
      </c>
      <c r="G280" s="25">
        <f t="shared" ca="1" si="8"/>
        <v>0</v>
      </c>
      <c r="H280" s="25">
        <f t="shared" ca="1" si="6"/>
        <v>0</v>
      </c>
      <c r="I280" s="25">
        <f t="shared" ca="1" si="7"/>
        <v>0</v>
      </c>
      <c r="J280" s="156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8"/>
      <c r="Z280" s="28"/>
    </row>
    <row r="281" spans="1:26" ht="15.75">
      <c r="A281" s="7" t="str">
        <f ca="1">IFERROR(__xludf.DUMMYFUNCTION("""COMPUTED_VALUE"""),"ti-ing-79626a92-beca-415f-a764-6eb8d6bffc09")</f>
        <v>ti-ing-79626a92-beca-415f-a764-6eb8d6bffc09</v>
      </c>
      <c r="B281" s="7" t="str">
        <f ca="1">IFERROR(__xludf.DUMMYFUNCTION("""COMPUTED_VALUE"""),"Te Mix Exhala Atardecer")</f>
        <v>Te Mix Exhala Atardecer</v>
      </c>
      <c r="C281" s="8">
        <v>0</v>
      </c>
      <c r="D281" s="21">
        <f ca="1">IFERROR(__xludf.DUMMYFUNCTION("""COMPUTED_VALUE"""),161)</f>
        <v>161</v>
      </c>
      <c r="E281" s="6" t="str">
        <f ca="1">IFERROR(__xludf.DUMMYFUNCTION("""COMPUTED_VALUE"""),"UN")</f>
        <v>UN</v>
      </c>
      <c r="F281" s="6" t="str">
        <f ca="1">IFERROR(__xludf.DUMMYFUNCTION("""COMPUTED_VALUE"""),"Té")</f>
        <v>Té</v>
      </c>
      <c r="G281" s="25">
        <f t="shared" ca="1" si="8"/>
        <v>0</v>
      </c>
      <c r="H281" s="25">
        <f t="shared" ca="1" si="6"/>
        <v>0</v>
      </c>
      <c r="I281" s="25">
        <f t="shared" ca="1" si="7"/>
        <v>0</v>
      </c>
      <c r="J281" s="156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8"/>
      <c r="Z281" s="28"/>
    </row>
    <row r="282" spans="1:26" ht="15.75">
      <c r="A282" s="7" t="str">
        <f ca="1">IFERROR(__xludf.DUMMYFUNCTION("""COMPUTED_VALUE"""),"ti-ing-69d16157-5bd9-4117-94dd-c38d989509c3")</f>
        <v>ti-ing-69d16157-5bd9-4117-94dd-c38d989509c3</v>
      </c>
      <c r="B282" s="7" t="str">
        <f ca="1">IFERROR(__xludf.DUMMYFUNCTION("""COMPUTED_VALUE"""),"Te Mix Inhala Amanecer")</f>
        <v>Te Mix Inhala Amanecer</v>
      </c>
      <c r="C282" s="8">
        <v>0</v>
      </c>
      <c r="D282" s="21">
        <f ca="1">IFERROR(__xludf.DUMMYFUNCTION("""COMPUTED_VALUE"""),161)</f>
        <v>161</v>
      </c>
      <c r="E282" s="6" t="str">
        <f ca="1">IFERROR(__xludf.DUMMYFUNCTION("""COMPUTED_VALUE"""),"UN")</f>
        <v>UN</v>
      </c>
      <c r="F282" s="6" t="str">
        <f ca="1">IFERROR(__xludf.DUMMYFUNCTION("""COMPUTED_VALUE"""),"Té")</f>
        <v>Té</v>
      </c>
      <c r="G282" s="25">
        <f t="shared" ca="1" si="8"/>
        <v>0</v>
      </c>
      <c r="H282" s="25">
        <f t="shared" ca="1" si="6"/>
        <v>0</v>
      </c>
      <c r="I282" s="25">
        <f t="shared" ca="1" si="7"/>
        <v>0</v>
      </c>
      <c r="J282" s="156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8"/>
      <c r="Z282" s="28"/>
    </row>
    <row r="283" spans="1:26" ht="15.75">
      <c r="A283" s="7" t="str">
        <f ca="1">IFERROR(__xludf.DUMMYFUNCTION("""COMPUTED_VALUE"""),"ti-ing-c74681ea-ed36-4576-85e2-524106006879")</f>
        <v>ti-ing-c74681ea-ed36-4576-85e2-524106006879</v>
      </c>
      <c r="B283" s="7" t="str">
        <f ca="1">IFERROR(__xludf.DUMMYFUNCTION("""COMPUTED_VALUE"""),"Te Mix Natural Peace")</f>
        <v>Te Mix Natural Peace</v>
      </c>
      <c r="C283" s="8">
        <v>0</v>
      </c>
      <c r="D283" s="21">
        <f ca="1">IFERROR(__xludf.DUMMYFUNCTION("""COMPUTED_VALUE"""),161)</f>
        <v>161</v>
      </c>
      <c r="E283" s="6" t="str">
        <f ca="1">IFERROR(__xludf.DUMMYFUNCTION("""COMPUTED_VALUE"""),"UN")</f>
        <v>UN</v>
      </c>
      <c r="F283" s="6" t="str">
        <f ca="1">IFERROR(__xludf.DUMMYFUNCTION("""COMPUTED_VALUE"""),"Té")</f>
        <v>Té</v>
      </c>
      <c r="G283" s="25">
        <f t="shared" ca="1" si="8"/>
        <v>0</v>
      </c>
      <c r="H283" s="25">
        <f t="shared" ca="1" si="6"/>
        <v>0</v>
      </c>
      <c r="I283" s="25">
        <f t="shared" ca="1" si="7"/>
        <v>0</v>
      </c>
      <c r="J283" s="156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8"/>
      <c r="Z283" s="28"/>
    </row>
    <row r="284" spans="1:26" ht="15.75">
      <c r="A284" s="7" t="str">
        <f ca="1">IFERROR(__xludf.DUMMYFUNCTION("""COMPUTED_VALUE"""),"ti-ing-2e454ff4-7f1f-4343-a28b-4a990d66c751")</f>
        <v>ti-ing-2e454ff4-7f1f-4343-a28b-4a990d66c751</v>
      </c>
      <c r="B284" s="7" t="str">
        <f ca="1">IFERROR(__xludf.DUMMYFUNCTION("""COMPUTED_VALUE"""),"Te Mix Pausa Consiente")</f>
        <v>Te Mix Pausa Consiente</v>
      </c>
      <c r="C284" s="8">
        <v>0</v>
      </c>
      <c r="D284" s="21">
        <f ca="1">IFERROR(__xludf.DUMMYFUNCTION("""COMPUTED_VALUE"""),161)</f>
        <v>161</v>
      </c>
      <c r="E284" s="6" t="str">
        <f ca="1">IFERROR(__xludf.DUMMYFUNCTION("""COMPUTED_VALUE"""),"UN")</f>
        <v>UN</v>
      </c>
      <c r="F284" s="6" t="str">
        <f ca="1">IFERROR(__xludf.DUMMYFUNCTION("""COMPUTED_VALUE"""),"Té")</f>
        <v>Té</v>
      </c>
      <c r="G284" s="25">
        <f t="shared" ca="1" si="8"/>
        <v>0</v>
      </c>
      <c r="H284" s="25">
        <f t="shared" ca="1" si="6"/>
        <v>0</v>
      </c>
      <c r="I284" s="25">
        <f t="shared" ca="1" si="7"/>
        <v>0</v>
      </c>
      <c r="J284" s="156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8"/>
      <c r="Z284" s="28"/>
    </row>
    <row r="285" spans="1:26" ht="15.75">
      <c r="A285" s="7" t="str">
        <f ca="1">IFERROR(__xludf.DUMMYFUNCTION("""COMPUTED_VALUE"""),"ti-ing-a22fc9c8-1c6b-46ec-9e05-b5ee88f46df5")</f>
        <v>ti-ing-a22fc9c8-1c6b-46ec-9e05-b5ee88f46df5</v>
      </c>
      <c r="B285" s="7" t="str">
        <f ca="1">IFERROR(__xludf.DUMMYFUNCTION("""COMPUTED_VALUE"""),"Te Mix Viaje Mágico")</f>
        <v>Te Mix Viaje Mágico</v>
      </c>
      <c r="C285" s="8">
        <v>0</v>
      </c>
      <c r="D285" s="21">
        <f ca="1">IFERROR(__xludf.DUMMYFUNCTION("""COMPUTED_VALUE"""),161)</f>
        <v>161</v>
      </c>
      <c r="E285" s="6" t="str">
        <f ca="1">IFERROR(__xludf.DUMMYFUNCTION("""COMPUTED_VALUE"""),"UN")</f>
        <v>UN</v>
      </c>
      <c r="F285" s="6" t="str">
        <f ca="1">IFERROR(__xludf.DUMMYFUNCTION("""COMPUTED_VALUE"""),"Té")</f>
        <v>Té</v>
      </c>
      <c r="G285" s="25">
        <f t="shared" ca="1" si="8"/>
        <v>0</v>
      </c>
      <c r="H285" s="25">
        <f t="shared" ca="1" si="6"/>
        <v>0</v>
      </c>
      <c r="I285" s="25">
        <f t="shared" ca="1" si="7"/>
        <v>0</v>
      </c>
      <c r="J285" s="156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8"/>
      <c r="Z285" s="28"/>
    </row>
    <row r="286" spans="1:26" ht="15.75">
      <c r="A286" s="7" t="str">
        <f ca="1">IFERROR(__xludf.DUMMYFUNCTION("""COMPUTED_VALUE"""),"ti-ing-2977c67d-e30a-4021-a7b1-837a7f29eaa0")</f>
        <v>ti-ing-2977c67d-e30a-4021-a7b1-837a7f29eaa0</v>
      </c>
      <c r="B286" s="7" t="str">
        <f ca="1">IFERROR(__xludf.DUMMYFUNCTION("""COMPUTED_VALUE"""),"Te Negro hoja (kg)")</f>
        <v>Te Negro hoja (kg)</v>
      </c>
      <c r="C286" s="8">
        <v>0</v>
      </c>
      <c r="D286" s="21">
        <f ca="1">IFERROR(__xludf.DUMMYFUNCTION("""COMPUTED_VALUE"""),8369)</f>
        <v>8369</v>
      </c>
      <c r="E286" s="6" t="str">
        <f ca="1">IFERROR(__xludf.DUMMYFUNCTION("""COMPUTED_VALUE"""),"UN")</f>
        <v>UN</v>
      </c>
      <c r="F286" s="6" t="str">
        <f ca="1">IFERROR(__xludf.DUMMYFUNCTION("""COMPUTED_VALUE"""),"Té")</f>
        <v>Té</v>
      </c>
      <c r="G286" s="25">
        <f t="shared" ca="1" si="8"/>
        <v>0</v>
      </c>
      <c r="H286" s="25">
        <f t="shared" ca="1" si="6"/>
        <v>0</v>
      </c>
      <c r="I286" s="25">
        <f t="shared" ca="1" si="7"/>
        <v>0</v>
      </c>
      <c r="J286" s="156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1:26" ht="15.75">
      <c r="A287" s="29" t="str">
        <f ca="1">IFERROR(__xludf.DUMMYFUNCTION("""COMPUTED_VALUE"""),"ti-ing-3cdcb0f1-80b5-404a-bd02-ab8158926f5b")</f>
        <v>ti-ing-3cdcb0f1-80b5-404a-bd02-ab8158926f5b</v>
      </c>
      <c r="B287" s="7" t="str">
        <f ca="1">IFERROR(__xludf.DUMMYFUNCTION("""COMPUTED_VALUE"""),"Te Verde hoja (kg)")</f>
        <v>Te Verde hoja (kg)</v>
      </c>
      <c r="C287" s="8">
        <v>0</v>
      </c>
      <c r="D287" s="21">
        <f ca="1">IFERROR(__xludf.DUMMYFUNCTION("""COMPUTED_VALUE"""),59.9)</f>
        <v>59.9</v>
      </c>
      <c r="E287" s="6" t="str">
        <f ca="1">IFERROR(__xludf.DUMMYFUNCTION("""COMPUTED_VALUE"""),"UN")</f>
        <v>UN</v>
      </c>
      <c r="F287" s="6" t="str">
        <f ca="1">IFERROR(__xludf.DUMMYFUNCTION("""COMPUTED_VALUE"""),"Té")</f>
        <v>Té</v>
      </c>
      <c r="G287" s="25">
        <f t="shared" ca="1" si="8"/>
        <v>0</v>
      </c>
      <c r="H287" s="25">
        <f t="shared" ca="1" si="6"/>
        <v>0</v>
      </c>
      <c r="I287" s="25">
        <f t="shared" ca="1" si="7"/>
        <v>0</v>
      </c>
      <c r="J287" s="156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spans="1:26" ht="18.75">
      <c r="A288" s="24" t="s">
        <v>398</v>
      </c>
      <c r="B288" s="24" t="s">
        <v>399</v>
      </c>
      <c r="C288" s="24">
        <v>11.105</v>
      </c>
      <c r="D288" s="43">
        <v>5034.1670000000004</v>
      </c>
      <c r="E288" s="24" t="s">
        <v>27</v>
      </c>
      <c r="F288" s="44" t="s">
        <v>130</v>
      </c>
      <c r="G288" s="25">
        <f t="shared" si="8"/>
        <v>55904.424535000006</v>
      </c>
      <c r="H288" s="25">
        <f t="shared" si="6"/>
        <v>10621.840661650001</v>
      </c>
      <c r="I288" s="25">
        <f t="shared" si="7"/>
        <v>66526.265196650013</v>
      </c>
      <c r="J288" s="156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4"/>
      <c r="Z288" s="4"/>
    </row>
    <row r="289" spans="1:26" ht="18.75">
      <c r="A289" s="24" t="s">
        <v>717</v>
      </c>
      <c r="B289" s="24" t="s">
        <v>718</v>
      </c>
      <c r="C289" s="24">
        <v>7.2</v>
      </c>
      <c r="D289" s="43">
        <v>7235.2780000000002</v>
      </c>
      <c r="E289" s="24" t="s">
        <v>32</v>
      </c>
      <c r="F289" s="44" t="s">
        <v>678</v>
      </c>
      <c r="G289" s="25">
        <f t="shared" si="8"/>
        <v>52094.001600000003</v>
      </c>
      <c r="H289" s="25">
        <f t="shared" si="6"/>
        <v>9897.8603040000016</v>
      </c>
      <c r="I289" s="25">
        <f t="shared" si="7"/>
        <v>61991.861904000005</v>
      </c>
      <c r="J289" s="156"/>
      <c r="K289" s="4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4"/>
      <c r="Z289" s="4"/>
    </row>
    <row r="290" spans="1:26" ht="18.75">
      <c r="A290" s="24" t="s">
        <v>721</v>
      </c>
      <c r="B290" s="24" t="s">
        <v>722</v>
      </c>
      <c r="C290" s="24">
        <v>19.824999999999999</v>
      </c>
      <c r="D290" s="43">
        <v>5212.6980000000003</v>
      </c>
      <c r="E290" s="24" t="s">
        <v>32</v>
      </c>
      <c r="F290" s="44" t="s">
        <v>678</v>
      </c>
      <c r="G290" s="25">
        <f t="shared" si="8"/>
        <v>103341.73785</v>
      </c>
      <c r="H290" s="25">
        <f t="shared" si="6"/>
        <v>19634.9301915</v>
      </c>
      <c r="I290" s="25">
        <f t="shared" si="7"/>
        <v>122976.6680415</v>
      </c>
      <c r="J290" s="156"/>
      <c r="K290" s="4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4"/>
      <c r="Z290" s="4"/>
    </row>
    <row r="291" spans="1:26" ht="15.75">
      <c r="A291" s="4"/>
      <c r="B291" s="7"/>
      <c r="C291" s="6"/>
      <c r="D291" s="21"/>
      <c r="E291" s="6"/>
      <c r="F291" s="6"/>
      <c r="G291" s="25">
        <f t="shared" si="8"/>
        <v>0</v>
      </c>
      <c r="H291" s="25">
        <f t="shared" si="6"/>
        <v>0</v>
      </c>
      <c r="I291" s="25">
        <f t="shared" si="7"/>
        <v>0</v>
      </c>
      <c r="J291" s="156"/>
      <c r="K291" s="4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4"/>
      <c r="Z291" s="4"/>
    </row>
    <row r="292" spans="1:26" ht="15.75">
      <c r="A292" s="4"/>
      <c r="B292" s="7"/>
      <c r="C292" s="6"/>
      <c r="D292" s="21"/>
      <c r="E292" s="6"/>
      <c r="F292" s="6"/>
      <c r="G292" s="25">
        <f t="shared" si="8"/>
        <v>0</v>
      </c>
      <c r="H292" s="25">
        <f t="shared" si="6"/>
        <v>0</v>
      </c>
      <c r="I292" s="25">
        <f t="shared" si="7"/>
        <v>0</v>
      </c>
      <c r="J292" s="156"/>
      <c r="K292" s="4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4"/>
      <c r="Z292" s="4"/>
    </row>
    <row r="293" spans="1:26" ht="15.75">
      <c r="A293" s="4"/>
      <c r="B293" s="7"/>
      <c r="C293" s="6"/>
      <c r="D293" s="21"/>
      <c r="E293" s="6"/>
      <c r="F293" s="6"/>
      <c r="G293" s="25">
        <f t="shared" si="8"/>
        <v>0</v>
      </c>
      <c r="H293" s="25">
        <f t="shared" si="6"/>
        <v>0</v>
      </c>
      <c r="I293" s="25">
        <f t="shared" si="7"/>
        <v>0</v>
      </c>
      <c r="J293" s="156"/>
      <c r="K293" s="4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4"/>
      <c r="Z293" s="4"/>
    </row>
    <row r="294" spans="1:26" ht="15.75">
      <c r="A294" s="7"/>
      <c r="B294" s="7"/>
      <c r="C294" s="6"/>
      <c r="D294" s="21"/>
      <c r="E294" s="6"/>
      <c r="F294" s="6"/>
      <c r="G294" s="25">
        <f t="shared" si="8"/>
        <v>0</v>
      </c>
      <c r="H294" s="25">
        <f t="shared" si="6"/>
        <v>0</v>
      </c>
      <c r="I294" s="25">
        <f t="shared" si="7"/>
        <v>0</v>
      </c>
      <c r="J294" s="156"/>
      <c r="K294" s="4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4"/>
      <c r="Z294" s="4"/>
    </row>
    <row r="295" spans="1:26" ht="15.75">
      <c r="A295" s="7"/>
      <c r="B295" s="7"/>
      <c r="C295" s="6"/>
      <c r="D295" s="21"/>
      <c r="E295" s="6"/>
      <c r="F295" s="6"/>
      <c r="G295" s="25">
        <f t="shared" si="8"/>
        <v>0</v>
      </c>
      <c r="H295" s="25">
        <f t="shared" si="6"/>
        <v>0</v>
      </c>
      <c r="I295" s="25">
        <f t="shared" si="7"/>
        <v>0</v>
      </c>
      <c r="J295" s="156"/>
      <c r="K295" s="4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4"/>
      <c r="Z295" s="4"/>
    </row>
    <row r="296" spans="1:26" ht="15.75">
      <c r="A296" s="7"/>
      <c r="B296" s="7"/>
      <c r="C296" s="6"/>
      <c r="D296" s="21"/>
      <c r="E296" s="6"/>
      <c r="F296" s="6"/>
      <c r="G296" s="25">
        <f t="shared" si="8"/>
        <v>0</v>
      </c>
      <c r="H296" s="25">
        <f t="shared" si="6"/>
        <v>0</v>
      </c>
      <c r="I296" s="25">
        <f t="shared" si="7"/>
        <v>0</v>
      </c>
      <c r="J296" s="156"/>
      <c r="K296" s="4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4"/>
      <c r="Z296" s="4"/>
    </row>
    <row r="297" spans="1:26" ht="15.75">
      <c r="A297" s="7"/>
      <c r="B297" s="7"/>
      <c r="C297" s="6"/>
      <c r="D297" s="21"/>
      <c r="E297" s="6"/>
      <c r="F297" s="6"/>
      <c r="G297" s="25">
        <f t="shared" si="8"/>
        <v>0</v>
      </c>
      <c r="H297" s="25">
        <f t="shared" si="6"/>
        <v>0</v>
      </c>
      <c r="I297" s="25">
        <f t="shared" si="7"/>
        <v>0</v>
      </c>
      <c r="J297" s="156"/>
      <c r="K297" s="4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4"/>
      <c r="Z297" s="4"/>
    </row>
    <row r="298" spans="1:26" ht="15.75">
      <c r="A298" s="7"/>
      <c r="B298" s="7"/>
      <c r="C298" s="6"/>
      <c r="D298" s="21"/>
      <c r="E298" s="6"/>
      <c r="F298" s="6"/>
      <c r="G298" s="25">
        <f t="shared" si="8"/>
        <v>0</v>
      </c>
      <c r="H298" s="25">
        <f t="shared" si="6"/>
        <v>0</v>
      </c>
      <c r="I298" s="25">
        <f t="shared" si="7"/>
        <v>0</v>
      </c>
      <c r="J298" s="156"/>
      <c r="K298" s="4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4"/>
      <c r="Z298" s="4"/>
    </row>
    <row r="299" spans="1:26" ht="15.75">
      <c r="A299" s="7"/>
      <c r="B299" s="7"/>
      <c r="C299" s="6"/>
      <c r="D299" s="6"/>
      <c r="E299" s="6"/>
      <c r="F299" s="6"/>
      <c r="G299" s="25">
        <f t="shared" si="8"/>
        <v>0</v>
      </c>
      <c r="H299" s="25">
        <f t="shared" si="6"/>
        <v>0</v>
      </c>
      <c r="I299" s="25">
        <f t="shared" si="7"/>
        <v>0</v>
      </c>
      <c r="J299" s="156"/>
      <c r="K299" s="4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4"/>
      <c r="Z299" s="4"/>
    </row>
    <row r="300" spans="1:26" ht="15.75">
      <c r="A300" s="7"/>
      <c r="B300" s="7"/>
      <c r="C300" s="6"/>
      <c r="D300" s="6"/>
      <c r="E300" s="6"/>
      <c r="F300" s="6"/>
      <c r="G300" s="25">
        <f t="shared" si="8"/>
        <v>0</v>
      </c>
      <c r="H300" s="25">
        <f t="shared" si="6"/>
        <v>0</v>
      </c>
      <c r="I300" s="25">
        <f t="shared" si="7"/>
        <v>0</v>
      </c>
      <c r="J300" s="156"/>
      <c r="K300" s="4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4"/>
      <c r="Z300" s="4"/>
    </row>
    <row r="301" spans="1:26" ht="15.75">
      <c r="A301" s="4"/>
      <c r="B301" s="4"/>
      <c r="C301" s="10"/>
      <c r="D301" s="10"/>
      <c r="E301" s="10"/>
      <c r="F301" s="10"/>
      <c r="K301" s="4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4"/>
      <c r="Z301" s="4"/>
    </row>
    <row r="302" spans="1:26" ht="15.75">
      <c r="A302" s="4"/>
      <c r="B302" s="4"/>
      <c r="C302" s="10"/>
      <c r="D302" s="10"/>
      <c r="E302" s="10"/>
      <c r="F302" s="10"/>
      <c r="G302" s="4"/>
      <c r="H302" s="4"/>
      <c r="I302" s="4"/>
      <c r="J302" s="4"/>
      <c r="K302" s="4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4"/>
      <c r="Z302" s="4"/>
    </row>
    <row r="303" spans="1:26" ht="15.75">
      <c r="A303" s="4"/>
      <c r="B303" s="4"/>
      <c r="C303" s="10"/>
      <c r="D303" s="10"/>
      <c r="E303" s="10"/>
      <c r="F303" s="10"/>
      <c r="G303" s="4"/>
      <c r="H303" s="4"/>
      <c r="I303" s="4"/>
      <c r="J303" s="4"/>
      <c r="K303" s="4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4"/>
      <c r="Z303" s="4"/>
    </row>
    <row r="304" spans="1:26" ht="15.75">
      <c r="A304" s="4"/>
      <c r="B304" s="4"/>
      <c r="C304" s="10"/>
      <c r="D304" s="10"/>
      <c r="E304" s="10"/>
      <c r="F304" s="10"/>
      <c r="G304" s="4"/>
      <c r="H304" s="4"/>
      <c r="I304" s="4"/>
      <c r="J304" s="4"/>
      <c r="K304" s="4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4"/>
      <c r="Z304" s="4"/>
    </row>
    <row r="305" spans="1:26" ht="15.75">
      <c r="A305" s="4"/>
      <c r="B305" s="4"/>
      <c r="C305" s="10"/>
      <c r="D305" s="10"/>
      <c r="E305" s="10"/>
      <c r="F305" s="10"/>
      <c r="G305" s="4"/>
      <c r="H305" s="4"/>
      <c r="I305" s="4"/>
      <c r="J305" s="4"/>
      <c r="K305" s="4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4"/>
      <c r="Z305" s="4"/>
    </row>
    <row r="306" spans="1:26" ht="15.75">
      <c r="A306" s="4"/>
      <c r="B306" s="4"/>
      <c r="C306" s="10"/>
      <c r="D306" s="10"/>
      <c r="E306" s="10"/>
      <c r="F306" s="10"/>
      <c r="G306" s="81">
        <f ca="1">SUM(G3:G295)</f>
        <v>10524160.234288501</v>
      </c>
      <c r="I306" s="81">
        <f ca="1">SUM(I3:I295)</f>
        <v>12506427.373755317</v>
      </c>
      <c r="J306" s="155"/>
      <c r="K306" s="4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4"/>
      <c r="Z306" s="4"/>
    </row>
    <row r="307" spans="1:26" ht="15.75">
      <c r="A307" s="4"/>
      <c r="B307" s="4"/>
      <c r="C307" s="10"/>
      <c r="D307" s="10"/>
      <c r="E307" s="10"/>
      <c r="F307" s="10"/>
      <c r="G307" s="4"/>
      <c r="H307" s="4"/>
      <c r="I307" s="4"/>
      <c r="J307" s="4"/>
      <c r="K307" s="4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4"/>
      <c r="Z307" s="4"/>
    </row>
    <row r="308" spans="1:26" ht="15.75">
      <c r="A308" s="4"/>
      <c r="B308" s="4"/>
      <c r="C308" s="10"/>
      <c r="D308" s="10"/>
      <c r="E308" s="10"/>
      <c r="F308" s="10"/>
      <c r="G308" s="4"/>
      <c r="H308" s="4"/>
      <c r="I308" s="4"/>
      <c r="J308" s="4"/>
      <c r="K308" s="4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4"/>
      <c r="Z308" s="4"/>
    </row>
    <row r="309" spans="1:26" ht="15.75">
      <c r="A309" s="4"/>
      <c r="B309" s="4"/>
      <c r="C309" s="10"/>
      <c r="D309" s="10"/>
      <c r="E309" s="10"/>
      <c r="F309" s="10"/>
      <c r="G309" s="4"/>
      <c r="H309" s="4"/>
      <c r="I309" s="4"/>
      <c r="J309" s="4"/>
      <c r="K309" s="4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4"/>
      <c r="Z309" s="4"/>
    </row>
    <row r="310" spans="1:26" ht="15.75">
      <c r="A310" s="4"/>
      <c r="B310" s="4"/>
      <c r="C310" s="10"/>
      <c r="D310" s="10"/>
      <c r="E310" s="10"/>
      <c r="F310" s="10"/>
      <c r="G310" s="4"/>
      <c r="H310" s="4"/>
      <c r="I310" s="4"/>
      <c r="J310" s="4"/>
      <c r="K310" s="4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4"/>
      <c r="Z310" s="4"/>
    </row>
    <row r="311" spans="1:26" ht="15.75">
      <c r="A311" s="4"/>
      <c r="B311" s="4"/>
      <c r="C311" s="10"/>
      <c r="D311" s="10"/>
      <c r="E311" s="10"/>
      <c r="F311" s="10"/>
      <c r="G311" s="4"/>
      <c r="H311" s="4"/>
      <c r="I311" s="4"/>
      <c r="J311" s="4"/>
      <c r="K311" s="4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4"/>
      <c r="Z311" s="4"/>
    </row>
    <row r="312" spans="1:26" ht="15.75">
      <c r="A312" s="4"/>
      <c r="B312" s="4"/>
      <c r="C312" s="10"/>
      <c r="D312" s="10"/>
      <c r="E312" s="10"/>
      <c r="F312" s="10"/>
      <c r="G312" s="4"/>
      <c r="H312" s="4"/>
      <c r="I312" s="4"/>
      <c r="J312" s="4"/>
      <c r="K312" s="4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4"/>
      <c r="Z312" s="4"/>
    </row>
    <row r="313" spans="1:26" ht="15.75">
      <c r="A313" s="4"/>
      <c r="B313" s="4"/>
      <c r="C313" s="10"/>
      <c r="D313" s="10"/>
      <c r="E313" s="10"/>
      <c r="F313" s="10"/>
      <c r="G313" s="4"/>
      <c r="H313" s="4"/>
      <c r="I313" s="4"/>
      <c r="J313" s="4"/>
      <c r="K313" s="4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4"/>
      <c r="Z313" s="4"/>
    </row>
    <row r="314" spans="1:26" ht="15.75">
      <c r="A314" s="4"/>
      <c r="B314" s="4"/>
      <c r="C314" s="10"/>
      <c r="D314" s="10"/>
      <c r="E314" s="10"/>
      <c r="F314" s="10"/>
      <c r="G314" s="4"/>
      <c r="H314" s="4"/>
      <c r="I314" s="4"/>
      <c r="J314" s="4"/>
      <c r="K314" s="4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4"/>
      <c r="Z314" s="4"/>
    </row>
    <row r="315" spans="1:26" ht="15.75">
      <c r="A315" s="4"/>
      <c r="B315" s="4"/>
      <c r="C315" s="10"/>
      <c r="D315" s="10"/>
      <c r="E315" s="10"/>
      <c r="F315" s="10"/>
      <c r="G315" s="4"/>
      <c r="H315" s="4"/>
      <c r="I315" s="4"/>
      <c r="J315" s="4"/>
      <c r="K315" s="4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4"/>
      <c r="Z315" s="4"/>
    </row>
    <row r="316" spans="1:26" ht="15.75">
      <c r="A316" s="4"/>
      <c r="B316" s="4"/>
      <c r="C316" s="10"/>
      <c r="D316" s="10"/>
      <c r="E316" s="10"/>
      <c r="F316" s="10"/>
      <c r="G316" s="4"/>
      <c r="H316" s="4"/>
      <c r="I316" s="4"/>
      <c r="J316" s="4"/>
      <c r="K316" s="4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4"/>
      <c r="Z316" s="4"/>
    </row>
    <row r="317" spans="1:26" ht="15.75">
      <c r="A317" s="4"/>
      <c r="B317" s="4"/>
      <c r="C317" s="10"/>
      <c r="D317" s="10"/>
      <c r="E317" s="10"/>
      <c r="F317" s="10"/>
      <c r="G317" s="4"/>
      <c r="H317" s="4"/>
      <c r="I317" s="4"/>
      <c r="J317" s="4"/>
      <c r="K317" s="4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4"/>
      <c r="Z317" s="4"/>
    </row>
    <row r="318" spans="1:26" ht="15.75">
      <c r="A318" s="4"/>
      <c r="B318" s="4"/>
      <c r="C318" s="10"/>
      <c r="D318" s="10"/>
      <c r="E318" s="10"/>
      <c r="F318" s="10"/>
      <c r="G318" s="4"/>
      <c r="H318" s="4"/>
      <c r="I318" s="4"/>
      <c r="J318" s="4"/>
      <c r="K318" s="4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4"/>
      <c r="Z318" s="4"/>
    </row>
    <row r="319" spans="1:26" ht="15.75">
      <c r="A319" s="4"/>
      <c r="B319" s="4"/>
      <c r="C319" s="10"/>
      <c r="D319" s="10"/>
      <c r="E319" s="10"/>
      <c r="F319" s="10"/>
      <c r="G319" s="4"/>
      <c r="H319" s="4"/>
      <c r="I319" s="4"/>
      <c r="J319" s="4"/>
      <c r="K319" s="4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4"/>
      <c r="Z319" s="4"/>
    </row>
    <row r="320" spans="1:26" ht="15.75">
      <c r="A320" s="4"/>
      <c r="B320" s="4"/>
      <c r="C320" s="10"/>
      <c r="D320" s="10"/>
      <c r="E320" s="10"/>
      <c r="F320" s="10"/>
      <c r="G320" s="4"/>
      <c r="H320" s="4"/>
      <c r="I320" s="4"/>
      <c r="J320" s="4"/>
      <c r="K320" s="4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4"/>
      <c r="Z320" s="4"/>
    </row>
    <row r="321" spans="1:26" ht="15.75">
      <c r="A321" s="4"/>
      <c r="B321" s="4"/>
      <c r="C321" s="10"/>
      <c r="D321" s="10"/>
      <c r="E321" s="10"/>
      <c r="F321" s="10"/>
      <c r="G321" s="4"/>
      <c r="H321" s="4"/>
      <c r="I321" s="4"/>
      <c r="J321" s="4"/>
      <c r="K321" s="4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4"/>
      <c r="Z321" s="4"/>
    </row>
    <row r="322" spans="1:26" ht="15.75">
      <c r="A322" s="4"/>
      <c r="B322" s="4"/>
      <c r="C322" s="10"/>
      <c r="D322" s="10"/>
      <c r="E322" s="10"/>
      <c r="F322" s="10"/>
      <c r="G322" s="4"/>
      <c r="H322" s="4"/>
      <c r="I322" s="4"/>
      <c r="J322" s="4"/>
      <c r="K322" s="4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4"/>
      <c r="Z322" s="4"/>
    </row>
    <row r="323" spans="1:26" ht="15.75">
      <c r="A323" s="4"/>
      <c r="B323" s="4"/>
      <c r="C323" s="10"/>
      <c r="D323" s="10"/>
      <c r="E323" s="10"/>
      <c r="F323" s="10"/>
      <c r="G323" s="4"/>
      <c r="H323" s="4"/>
      <c r="I323" s="4"/>
      <c r="J323" s="4"/>
      <c r="K323" s="4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4"/>
      <c r="Z323" s="4"/>
    </row>
    <row r="324" spans="1:26" ht="15.75">
      <c r="A324" s="4"/>
      <c r="B324" s="4"/>
      <c r="C324" s="10"/>
      <c r="D324" s="10"/>
      <c r="E324" s="10"/>
      <c r="F324" s="10"/>
      <c r="G324" s="4"/>
      <c r="H324" s="4"/>
      <c r="I324" s="4"/>
      <c r="J324" s="4"/>
      <c r="K324" s="4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4"/>
      <c r="Z324" s="4"/>
    </row>
    <row r="325" spans="1:26" ht="15.75">
      <c r="A325" s="4"/>
      <c r="B325" s="4"/>
      <c r="C325" s="10"/>
      <c r="D325" s="10"/>
      <c r="E325" s="10"/>
      <c r="F325" s="10"/>
      <c r="G325" s="4"/>
      <c r="H325" s="4"/>
      <c r="I325" s="4"/>
      <c r="J325" s="4"/>
      <c r="K325" s="4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4"/>
      <c r="Z325" s="4"/>
    </row>
    <row r="326" spans="1:26" ht="15.75">
      <c r="A326" s="4"/>
      <c r="B326" s="4"/>
      <c r="C326" s="10"/>
      <c r="D326" s="10"/>
      <c r="E326" s="10"/>
      <c r="F326" s="10"/>
      <c r="G326" s="4"/>
      <c r="H326" s="4"/>
      <c r="I326" s="4"/>
      <c r="J326" s="4"/>
      <c r="K326" s="4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4"/>
      <c r="Z326" s="4"/>
    </row>
    <row r="327" spans="1:26" ht="15.75">
      <c r="A327" s="4"/>
      <c r="B327" s="4"/>
      <c r="C327" s="10"/>
      <c r="D327" s="10"/>
      <c r="E327" s="10"/>
      <c r="F327" s="10"/>
      <c r="G327" s="4"/>
      <c r="H327" s="4"/>
      <c r="I327" s="4"/>
      <c r="J327" s="4"/>
      <c r="K327" s="4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4"/>
      <c r="Z327" s="4"/>
    </row>
    <row r="328" spans="1:26" ht="15.75">
      <c r="A328" s="4"/>
      <c r="B328" s="4"/>
      <c r="C328" s="10"/>
      <c r="D328" s="10"/>
      <c r="E328" s="10"/>
      <c r="F328" s="10"/>
      <c r="G328" s="4"/>
      <c r="H328" s="4"/>
      <c r="I328" s="4"/>
      <c r="J328" s="4"/>
      <c r="K328" s="4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4"/>
      <c r="Z328" s="4"/>
    </row>
    <row r="329" spans="1:26" ht="15.75">
      <c r="A329" s="4"/>
      <c r="B329" s="4"/>
      <c r="C329" s="10"/>
      <c r="D329" s="10"/>
      <c r="E329" s="10"/>
      <c r="F329" s="10"/>
      <c r="G329" s="4"/>
      <c r="H329" s="4"/>
      <c r="I329" s="4"/>
      <c r="J329" s="4"/>
      <c r="K329" s="4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4"/>
      <c r="Z329" s="4"/>
    </row>
    <row r="330" spans="1:26" ht="15.75">
      <c r="A330" s="4"/>
      <c r="B330" s="4"/>
      <c r="C330" s="10"/>
      <c r="D330" s="10"/>
      <c r="E330" s="10"/>
      <c r="F330" s="10"/>
      <c r="G330" s="4"/>
      <c r="H330" s="4"/>
      <c r="I330" s="4"/>
      <c r="J330" s="4"/>
      <c r="K330" s="4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4"/>
      <c r="Z330" s="4"/>
    </row>
    <row r="331" spans="1:26" ht="15.75">
      <c r="A331" s="4"/>
      <c r="B331" s="4"/>
      <c r="C331" s="10"/>
      <c r="D331" s="10"/>
      <c r="E331" s="10"/>
      <c r="F331" s="10"/>
      <c r="G331" s="4"/>
      <c r="H331" s="4"/>
      <c r="I331" s="4"/>
      <c r="J331" s="4"/>
      <c r="K331" s="4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4"/>
      <c r="Z331" s="4"/>
    </row>
    <row r="332" spans="1:26" ht="15.75">
      <c r="A332" s="4"/>
      <c r="B332" s="4"/>
      <c r="C332" s="10"/>
      <c r="D332" s="10"/>
      <c r="E332" s="10"/>
      <c r="F332" s="10"/>
      <c r="G332" s="4"/>
      <c r="H332" s="4"/>
      <c r="I332" s="4"/>
      <c r="J332" s="4"/>
      <c r="K332" s="4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4"/>
      <c r="Z332" s="4"/>
    </row>
    <row r="333" spans="1:26" ht="15.75">
      <c r="A333" s="4"/>
      <c r="B333" s="4"/>
      <c r="C333" s="10"/>
      <c r="D333" s="10"/>
      <c r="E333" s="10"/>
      <c r="F333" s="10"/>
      <c r="G333" s="4"/>
      <c r="H333" s="4"/>
      <c r="I333" s="4"/>
      <c r="J333" s="4"/>
      <c r="K333" s="4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4"/>
      <c r="Z333" s="4"/>
    </row>
    <row r="334" spans="1:26" ht="15.75">
      <c r="A334" s="4"/>
      <c r="B334" s="4"/>
      <c r="C334" s="10"/>
      <c r="D334" s="10"/>
      <c r="E334" s="10"/>
      <c r="F334" s="10"/>
      <c r="G334" s="4"/>
      <c r="H334" s="4"/>
      <c r="I334" s="4"/>
      <c r="J334" s="4"/>
      <c r="K334" s="4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4"/>
      <c r="Z334" s="4"/>
    </row>
    <row r="335" spans="1:26" ht="15.75">
      <c r="A335" s="4"/>
      <c r="B335" s="4"/>
      <c r="C335" s="10"/>
      <c r="D335" s="10"/>
      <c r="E335" s="10"/>
      <c r="F335" s="10"/>
      <c r="G335" s="4"/>
      <c r="H335" s="4"/>
      <c r="I335" s="4"/>
      <c r="J335" s="4"/>
      <c r="K335" s="4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4"/>
      <c r="Z335" s="4"/>
    </row>
    <row r="336" spans="1:26" ht="15.75">
      <c r="A336" s="4"/>
      <c r="B336" s="4"/>
      <c r="C336" s="10"/>
      <c r="D336" s="10"/>
      <c r="E336" s="10"/>
      <c r="F336" s="10"/>
      <c r="G336" s="4"/>
      <c r="H336" s="4"/>
      <c r="I336" s="4"/>
      <c r="J336" s="4"/>
      <c r="K336" s="4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4"/>
      <c r="Z336" s="4"/>
    </row>
    <row r="337" spans="1:26" ht="15.75">
      <c r="A337" s="4"/>
      <c r="B337" s="4"/>
      <c r="C337" s="10"/>
      <c r="D337" s="10"/>
      <c r="E337" s="10"/>
      <c r="F337" s="10"/>
      <c r="G337" s="4"/>
      <c r="H337" s="4"/>
      <c r="I337" s="4"/>
      <c r="J337" s="4"/>
      <c r="K337" s="4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4"/>
      <c r="Z337" s="4"/>
    </row>
    <row r="338" spans="1:26" ht="15.75">
      <c r="A338" s="4"/>
      <c r="B338" s="4"/>
      <c r="C338" s="10"/>
      <c r="D338" s="10"/>
      <c r="E338" s="10"/>
      <c r="F338" s="10"/>
      <c r="G338" s="4"/>
      <c r="H338" s="4"/>
      <c r="I338" s="4"/>
      <c r="J338" s="4"/>
      <c r="K338" s="4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4"/>
      <c r="Z338" s="4"/>
    </row>
    <row r="339" spans="1:26" ht="15.75">
      <c r="A339" s="4"/>
      <c r="B339" s="4"/>
      <c r="C339" s="10"/>
      <c r="D339" s="10"/>
      <c r="E339" s="10"/>
      <c r="F339" s="10"/>
      <c r="G339" s="4"/>
      <c r="H339" s="4"/>
      <c r="I339" s="4"/>
      <c r="J339" s="4"/>
      <c r="K339" s="4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4"/>
      <c r="Z339" s="4"/>
    </row>
    <row r="340" spans="1:26" ht="15.75">
      <c r="A340" s="4"/>
      <c r="B340" s="4"/>
      <c r="C340" s="10"/>
      <c r="D340" s="10"/>
      <c r="E340" s="10"/>
      <c r="F340" s="10"/>
      <c r="G340" s="4"/>
      <c r="H340" s="4"/>
      <c r="I340" s="4"/>
      <c r="J340" s="4"/>
      <c r="K340" s="4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4"/>
      <c r="Z340" s="4"/>
    </row>
    <row r="341" spans="1:26" ht="15.75">
      <c r="A341" s="4"/>
      <c r="B341" s="4"/>
      <c r="C341" s="10"/>
      <c r="D341" s="10"/>
      <c r="E341" s="10"/>
      <c r="F341" s="10"/>
      <c r="G341" s="4"/>
      <c r="H341" s="4"/>
      <c r="I341" s="4"/>
      <c r="J341" s="4"/>
      <c r="K341" s="4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4"/>
      <c r="Z341" s="4"/>
    </row>
    <row r="342" spans="1:26" ht="15.75">
      <c r="A342" s="4"/>
      <c r="B342" s="4"/>
      <c r="C342" s="10"/>
      <c r="D342" s="10"/>
      <c r="E342" s="10"/>
      <c r="F342" s="10"/>
      <c r="G342" s="4"/>
      <c r="H342" s="4"/>
      <c r="I342" s="4"/>
      <c r="J342" s="4"/>
      <c r="K342" s="4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4"/>
      <c r="Z342" s="4"/>
    </row>
    <row r="343" spans="1:26" ht="15.75">
      <c r="A343" s="4"/>
      <c r="B343" s="4"/>
      <c r="C343" s="10"/>
      <c r="D343" s="10"/>
      <c r="E343" s="10"/>
      <c r="F343" s="10"/>
      <c r="G343" s="4"/>
      <c r="H343" s="4"/>
      <c r="I343" s="4"/>
      <c r="J343" s="4"/>
      <c r="K343" s="4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4"/>
      <c r="Z343" s="4"/>
    </row>
    <row r="344" spans="1:26" ht="15.75">
      <c r="A344" s="4"/>
      <c r="B344" s="4"/>
      <c r="C344" s="10"/>
      <c r="D344" s="10"/>
      <c r="E344" s="10"/>
      <c r="F344" s="10"/>
      <c r="G344" s="4"/>
      <c r="H344" s="4"/>
      <c r="I344" s="4"/>
      <c r="J344" s="4"/>
      <c r="K344" s="4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4"/>
      <c r="Z344" s="4"/>
    </row>
    <row r="345" spans="1:26" ht="15.75">
      <c r="A345" s="4"/>
      <c r="B345" s="4"/>
      <c r="C345" s="10"/>
      <c r="D345" s="10"/>
      <c r="E345" s="10"/>
      <c r="F345" s="10"/>
      <c r="G345" s="4"/>
      <c r="H345" s="4"/>
      <c r="I345" s="4"/>
      <c r="J345" s="4"/>
      <c r="K345" s="4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4"/>
      <c r="Z345" s="4"/>
    </row>
    <row r="346" spans="1:26" ht="15.75">
      <c r="A346" s="4"/>
      <c r="B346" s="4"/>
      <c r="C346" s="10"/>
      <c r="D346" s="10"/>
      <c r="E346" s="10"/>
      <c r="F346" s="10"/>
      <c r="G346" s="4"/>
      <c r="H346" s="4"/>
      <c r="I346" s="4"/>
      <c r="J346" s="4"/>
      <c r="K346" s="4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4"/>
      <c r="Z346" s="4"/>
    </row>
    <row r="347" spans="1:26" ht="15.75">
      <c r="A347" s="4"/>
      <c r="B347" s="4"/>
      <c r="C347" s="10"/>
      <c r="D347" s="10"/>
      <c r="E347" s="10"/>
      <c r="F347" s="10"/>
      <c r="G347" s="4"/>
      <c r="H347" s="4"/>
      <c r="I347" s="4"/>
      <c r="J347" s="4"/>
      <c r="K347" s="4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4"/>
      <c r="Z347" s="4"/>
    </row>
    <row r="348" spans="1:26" ht="15.75">
      <c r="A348" s="4"/>
      <c r="B348" s="4"/>
      <c r="C348" s="10"/>
      <c r="D348" s="10"/>
      <c r="E348" s="10"/>
      <c r="F348" s="10"/>
      <c r="G348" s="4"/>
      <c r="H348" s="4"/>
      <c r="I348" s="4"/>
      <c r="J348" s="4"/>
      <c r="K348" s="4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4"/>
      <c r="Z348" s="4"/>
    </row>
    <row r="349" spans="1:26" ht="15.75">
      <c r="A349" s="4"/>
      <c r="B349" s="4"/>
      <c r="C349" s="10"/>
      <c r="D349" s="10"/>
      <c r="E349" s="10"/>
      <c r="F349" s="10"/>
      <c r="G349" s="4"/>
      <c r="H349" s="4"/>
      <c r="I349" s="4"/>
      <c r="J349" s="4"/>
      <c r="K349" s="4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4"/>
      <c r="Z349" s="4"/>
    </row>
    <row r="350" spans="1:26" ht="15.75">
      <c r="A350" s="4"/>
      <c r="B350" s="4"/>
      <c r="C350" s="10"/>
      <c r="D350" s="10"/>
      <c r="E350" s="10"/>
      <c r="F350" s="10"/>
      <c r="G350" s="4"/>
      <c r="H350" s="4"/>
      <c r="I350" s="4"/>
      <c r="J350" s="4"/>
      <c r="K350" s="4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4"/>
      <c r="Z350" s="4"/>
    </row>
    <row r="351" spans="1:26" ht="15.75">
      <c r="A351" s="4"/>
      <c r="B351" s="4"/>
      <c r="C351" s="10"/>
      <c r="D351" s="10"/>
      <c r="E351" s="10"/>
      <c r="F351" s="10"/>
      <c r="G351" s="4"/>
      <c r="H351" s="4"/>
      <c r="I351" s="4"/>
      <c r="J351" s="4"/>
      <c r="K351" s="4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4"/>
      <c r="Z351" s="4"/>
    </row>
    <row r="352" spans="1:26" ht="15.75">
      <c r="A352" s="4"/>
      <c r="B352" s="4"/>
      <c r="C352" s="10"/>
      <c r="D352" s="10"/>
      <c r="E352" s="10"/>
      <c r="F352" s="10"/>
      <c r="G352" s="4"/>
      <c r="H352" s="4"/>
      <c r="I352" s="4"/>
      <c r="J352" s="4"/>
      <c r="K352" s="4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4"/>
      <c r="Z352" s="4"/>
    </row>
    <row r="353" spans="1:26" ht="15.75">
      <c r="A353" s="4"/>
      <c r="B353" s="4"/>
      <c r="C353" s="10"/>
      <c r="D353" s="10"/>
      <c r="E353" s="10"/>
      <c r="F353" s="10"/>
      <c r="G353" s="4"/>
      <c r="H353" s="4"/>
      <c r="I353" s="4"/>
      <c r="J353" s="4"/>
      <c r="K353" s="4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4"/>
      <c r="Z353" s="4"/>
    </row>
    <row r="354" spans="1:26" ht="15.75">
      <c r="A354" s="4"/>
      <c r="B354" s="4"/>
      <c r="C354" s="10"/>
      <c r="D354" s="10"/>
      <c r="E354" s="10"/>
      <c r="F354" s="10"/>
      <c r="G354" s="4"/>
      <c r="H354" s="4"/>
      <c r="I354" s="4"/>
      <c r="J354" s="4"/>
      <c r="K354" s="4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4"/>
      <c r="Z354" s="4"/>
    </row>
    <row r="355" spans="1:26" ht="15.75">
      <c r="A355" s="4"/>
      <c r="B355" s="4"/>
      <c r="C355" s="10"/>
      <c r="D355" s="10"/>
      <c r="E355" s="10"/>
      <c r="F355" s="10"/>
      <c r="G355" s="4"/>
      <c r="H355" s="4"/>
      <c r="I355" s="4"/>
      <c r="J355" s="4"/>
      <c r="K355" s="4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4"/>
      <c r="Z355" s="4"/>
    </row>
    <row r="356" spans="1:26" ht="15.75">
      <c r="A356" s="4"/>
      <c r="B356" s="4"/>
      <c r="C356" s="10"/>
      <c r="D356" s="10"/>
      <c r="E356" s="10"/>
      <c r="F356" s="10"/>
      <c r="G356" s="4"/>
      <c r="H356" s="4"/>
      <c r="I356" s="4"/>
      <c r="J356" s="4"/>
      <c r="K356" s="4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4"/>
      <c r="Z356" s="4"/>
    </row>
    <row r="357" spans="1:26" ht="15.75">
      <c r="A357" s="4"/>
      <c r="B357" s="4"/>
      <c r="C357" s="10"/>
      <c r="D357" s="10"/>
      <c r="E357" s="10"/>
      <c r="F357" s="10"/>
      <c r="G357" s="4"/>
      <c r="H357" s="4"/>
      <c r="I357" s="4"/>
      <c r="J357" s="4"/>
      <c r="K357" s="4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4"/>
      <c r="Z357" s="4"/>
    </row>
    <row r="358" spans="1:26" ht="15.75">
      <c r="A358" s="4"/>
      <c r="B358" s="4"/>
      <c r="C358" s="10"/>
      <c r="D358" s="10"/>
      <c r="E358" s="10"/>
      <c r="F358" s="10"/>
      <c r="G358" s="4"/>
      <c r="H358" s="4"/>
      <c r="I358" s="4"/>
      <c r="J358" s="4"/>
      <c r="K358" s="4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4"/>
      <c r="Z358" s="4"/>
    </row>
    <row r="359" spans="1:26" ht="15.75">
      <c r="A359" s="4"/>
      <c r="B359" s="4"/>
      <c r="C359" s="10"/>
      <c r="D359" s="10"/>
      <c r="E359" s="10"/>
      <c r="F359" s="10"/>
      <c r="G359" s="4"/>
      <c r="H359" s="4"/>
      <c r="I359" s="4"/>
      <c r="J359" s="4"/>
      <c r="K359" s="4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4"/>
      <c r="Z359" s="4"/>
    </row>
    <row r="360" spans="1:26" ht="15.75">
      <c r="A360" s="4"/>
      <c r="B360" s="4"/>
      <c r="C360" s="10"/>
      <c r="D360" s="10"/>
      <c r="E360" s="10"/>
      <c r="F360" s="10"/>
      <c r="G360" s="4"/>
      <c r="H360" s="4"/>
      <c r="I360" s="4"/>
      <c r="J360" s="4"/>
      <c r="K360" s="4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4"/>
      <c r="Z360" s="4"/>
    </row>
    <row r="361" spans="1:26" ht="15.75">
      <c r="A361" s="4"/>
      <c r="B361" s="4"/>
      <c r="C361" s="10"/>
      <c r="D361" s="10"/>
      <c r="E361" s="10"/>
      <c r="F361" s="10"/>
      <c r="G361" s="4"/>
      <c r="H361" s="4"/>
      <c r="I361" s="4"/>
      <c r="J361" s="4"/>
      <c r="K361" s="4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4"/>
      <c r="Z361" s="4"/>
    </row>
    <row r="362" spans="1:26" ht="15.75">
      <c r="A362" s="83"/>
      <c r="B362" s="83"/>
      <c r="C362" s="10"/>
      <c r="D362" s="84"/>
      <c r="E362" s="84"/>
      <c r="F362" s="85"/>
      <c r="G362" s="4"/>
      <c r="H362" s="4"/>
      <c r="I362" s="4"/>
      <c r="J362" s="4"/>
      <c r="K362" s="4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4"/>
      <c r="Z362" s="4"/>
    </row>
    <row r="363" spans="1:26" ht="15.75">
      <c r="A363" s="7"/>
      <c r="B363" s="7"/>
      <c r="C363" s="10"/>
      <c r="D363" s="6"/>
      <c r="E363" s="6"/>
      <c r="F363" s="22"/>
      <c r="G363" s="4"/>
      <c r="H363" s="4"/>
      <c r="I363" s="4"/>
      <c r="J363" s="4"/>
      <c r="K363" s="4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4"/>
      <c r="Z363" s="4"/>
    </row>
    <row r="364" spans="1:26" ht="15.75">
      <c r="A364" s="7"/>
      <c r="B364" s="7"/>
      <c r="C364" s="84"/>
      <c r="D364" s="6"/>
      <c r="E364" s="6"/>
      <c r="F364" s="22"/>
      <c r="G364" s="4"/>
      <c r="H364" s="4"/>
      <c r="I364" s="4"/>
      <c r="J364" s="4"/>
      <c r="K364" s="4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4"/>
      <c r="Z364" s="4"/>
    </row>
    <row r="365" spans="1:26" ht="15.75">
      <c r="A365" s="7"/>
      <c r="B365" s="7"/>
      <c r="C365" s="6"/>
      <c r="D365" s="6"/>
      <c r="E365" s="6"/>
      <c r="F365" s="22"/>
      <c r="G365" s="4"/>
      <c r="H365" s="4"/>
      <c r="I365" s="4"/>
      <c r="J365" s="4"/>
      <c r="K365" s="4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4"/>
      <c r="Z365" s="4"/>
    </row>
    <row r="366" spans="1:26" ht="15.75">
      <c r="A366" s="7"/>
      <c r="B366" s="7"/>
      <c r="C366" s="6"/>
      <c r="D366" s="6"/>
      <c r="E366" s="6"/>
      <c r="F366" s="22"/>
      <c r="G366" s="4"/>
      <c r="H366" s="4"/>
      <c r="I366" s="4"/>
      <c r="J366" s="4"/>
      <c r="K366" s="4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4"/>
      <c r="Z366" s="4"/>
    </row>
    <row r="367" spans="1:26" ht="15.75">
      <c r="A367" s="7"/>
      <c r="B367" s="7"/>
      <c r="C367" s="6"/>
      <c r="D367" s="6"/>
      <c r="E367" s="6"/>
      <c r="F367" s="22"/>
      <c r="G367" s="4"/>
      <c r="H367" s="4"/>
      <c r="I367" s="4"/>
      <c r="J367" s="4"/>
      <c r="K367" s="4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4"/>
      <c r="Z367" s="4"/>
    </row>
    <row r="368" spans="1:26" ht="15.75">
      <c r="A368" s="7"/>
      <c r="B368" s="7"/>
      <c r="C368" s="6"/>
      <c r="D368" s="6"/>
      <c r="E368" s="6"/>
      <c r="F368" s="22"/>
      <c r="G368" s="4"/>
      <c r="H368" s="4"/>
      <c r="I368" s="4"/>
      <c r="J368" s="4"/>
      <c r="K368" s="4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4"/>
      <c r="Z368" s="4"/>
    </row>
    <row r="369" spans="1:26" ht="15.75">
      <c r="A369" s="7"/>
      <c r="B369" s="7"/>
      <c r="C369" s="6"/>
      <c r="D369" s="6"/>
      <c r="E369" s="6"/>
      <c r="F369" s="22"/>
      <c r="G369" s="4"/>
      <c r="H369" s="4"/>
      <c r="I369" s="4"/>
      <c r="J369" s="4"/>
      <c r="K369" s="4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4"/>
      <c r="Z369" s="4"/>
    </row>
    <row r="370" spans="1:26" ht="15.75">
      <c r="A370" s="7"/>
      <c r="B370" s="7"/>
      <c r="C370" s="6"/>
      <c r="D370" s="6"/>
      <c r="E370" s="6"/>
      <c r="F370" s="22"/>
      <c r="G370" s="4"/>
      <c r="H370" s="4"/>
      <c r="I370" s="4"/>
      <c r="J370" s="4"/>
      <c r="K370" s="4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4"/>
      <c r="Z370" s="4"/>
    </row>
    <row r="371" spans="1:26" ht="15.75">
      <c r="A371" s="7"/>
      <c r="B371" s="7"/>
      <c r="C371" s="6"/>
      <c r="D371" s="6"/>
      <c r="E371" s="6"/>
      <c r="F371" s="22"/>
      <c r="G371" s="4"/>
      <c r="H371" s="4"/>
      <c r="I371" s="4"/>
      <c r="J371" s="4"/>
      <c r="K371" s="4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4"/>
      <c r="Z371" s="4"/>
    </row>
    <row r="372" spans="1:26" ht="15.75">
      <c r="A372" s="7"/>
      <c r="B372" s="7"/>
      <c r="C372" s="6"/>
      <c r="D372" s="6"/>
      <c r="E372" s="6"/>
      <c r="F372" s="22"/>
      <c r="G372" s="4"/>
      <c r="H372" s="4"/>
      <c r="I372" s="4"/>
      <c r="J372" s="4"/>
      <c r="K372" s="4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4"/>
      <c r="Z372" s="4"/>
    </row>
    <row r="373" spans="1:26" ht="15.75">
      <c r="A373" s="7"/>
      <c r="B373" s="7"/>
      <c r="C373" s="6"/>
      <c r="D373" s="6"/>
      <c r="E373" s="6"/>
      <c r="F373" s="22"/>
      <c r="G373" s="4"/>
      <c r="H373" s="4"/>
      <c r="I373" s="4"/>
      <c r="J373" s="4"/>
      <c r="K373" s="4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4"/>
      <c r="Z373" s="4"/>
    </row>
    <row r="374" spans="1:26" ht="15.75">
      <c r="A374" s="7"/>
      <c r="B374" s="7"/>
      <c r="C374" s="6"/>
      <c r="D374" s="6"/>
      <c r="E374" s="6"/>
      <c r="F374" s="22"/>
      <c r="G374" s="4"/>
      <c r="H374" s="4"/>
      <c r="I374" s="4"/>
      <c r="J374" s="4"/>
      <c r="K374" s="4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4"/>
      <c r="Z374" s="4"/>
    </row>
    <row r="375" spans="1:26" ht="15.75">
      <c r="A375" s="7"/>
      <c r="B375" s="7"/>
      <c r="C375" s="6"/>
      <c r="D375" s="6"/>
      <c r="E375" s="6"/>
      <c r="F375" s="22"/>
      <c r="G375" s="4"/>
      <c r="H375" s="4"/>
      <c r="I375" s="4"/>
      <c r="J375" s="4"/>
      <c r="K375" s="4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4"/>
      <c r="Z375" s="4"/>
    </row>
    <row r="376" spans="1:26" ht="15.75">
      <c r="A376" s="7"/>
      <c r="B376" s="7"/>
      <c r="C376" s="6"/>
      <c r="D376" s="6"/>
      <c r="E376" s="6"/>
      <c r="F376" s="22"/>
      <c r="G376" s="4"/>
      <c r="H376" s="4"/>
      <c r="I376" s="4"/>
      <c r="J376" s="4"/>
      <c r="K376" s="4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4"/>
      <c r="Z376" s="4"/>
    </row>
    <row r="377" spans="1:26" ht="15.75">
      <c r="A377" s="7"/>
      <c r="B377" s="7"/>
      <c r="C377" s="6"/>
      <c r="D377" s="6"/>
      <c r="E377" s="6"/>
      <c r="F377" s="22"/>
      <c r="G377" s="4"/>
      <c r="H377" s="4"/>
      <c r="I377" s="4"/>
      <c r="J377" s="4"/>
      <c r="K377" s="4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4"/>
      <c r="Z377" s="4"/>
    </row>
    <row r="378" spans="1:26" ht="15.75">
      <c r="A378" s="7"/>
      <c r="B378" s="7"/>
      <c r="C378" s="6"/>
      <c r="D378" s="6"/>
      <c r="E378" s="6"/>
      <c r="F378" s="22"/>
      <c r="G378" s="4"/>
      <c r="H378" s="4"/>
      <c r="I378" s="4"/>
      <c r="J378" s="4"/>
      <c r="K378" s="4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4"/>
      <c r="Z378" s="4"/>
    </row>
    <row r="379" spans="1:26" ht="15.75">
      <c r="A379" s="7"/>
      <c r="B379" s="7"/>
      <c r="C379" s="6"/>
      <c r="D379" s="6"/>
      <c r="E379" s="6"/>
      <c r="F379" s="22"/>
      <c r="G379" s="4"/>
      <c r="H379" s="4"/>
      <c r="I379" s="4"/>
      <c r="J379" s="4"/>
      <c r="K379" s="4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4"/>
      <c r="Z379" s="4"/>
    </row>
    <row r="380" spans="1:26" ht="15.75">
      <c r="A380" s="7"/>
      <c r="B380" s="7"/>
      <c r="C380" s="6"/>
      <c r="D380" s="6"/>
      <c r="E380" s="6"/>
      <c r="F380" s="22"/>
      <c r="G380" s="4"/>
      <c r="H380" s="4"/>
      <c r="I380" s="4"/>
      <c r="J380" s="4"/>
      <c r="K380" s="4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4"/>
      <c r="Z380" s="4"/>
    </row>
    <row r="381" spans="1:26" ht="15.75">
      <c r="A381" s="7"/>
      <c r="B381" s="7"/>
      <c r="C381" s="6"/>
      <c r="D381" s="6"/>
      <c r="E381" s="6"/>
      <c r="F381" s="22"/>
      <c r="G381" s="4"/>
      <c r="H381" s="4"/>
      <c r="I381" s="4"/>
      <c r="J381" s="4"/>
      <c r="K381" s="4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4"/>
      <c r="Z381" s="4"/>
    </row>
    <row r="382" spans="1:26" ht="15.75">
      <c r="A382" s="7"/>
      <c r="B382" s="7"/>
      <c r="C382" s="6"/>
      <c r="D382" s="6"/>
      <c r="E382" s="6"/>
      <c r="F382" s="22"/>
      <c r="G382" s="4"/>
      <c r="H382" s="4"/>
      <c r="I382" s="4"/>
      <c r="J382" s="4"/>
      <c r="K382" s="4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4"/>
      <c r="Z382" s="4"/>
    </row>
    <row r="383" spans="1:26" ht="15.75">
      <c r="A383" s="7"/>
      <c r="B383" s="7"/>
      <c r="C383" s="6"/>
      <c r="D383" s="6"/>
      <c r="E383" s="6"/>
      <c r="F383" s="22"/>
      <c r="G383" s="4"/>
      <c r="H383" s="4"/>
      <c r="I383" s="4"/>
      <c r="J383" s="4"/>
      <c r="K383" s="4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4"/>
      <c r="Z383" s="4"/>
    </row>
    <row r="384" spans="1:26" ht="15.75">
      <c r="A384" s="7"/>
      <c r="B384" s="7"/>
      <c r="C384" s="6"/>
      <c r="D384" s="6"/>
      <c r="E384" s="6"/>
      <c r="F384" s="22"/>
      <c r="G384" s="4"/>
      <c r="H384" s="4"/>
      <c r="I384" s="4"/>
      <c r="J384" s="4"/>
      <c r="K384" s="4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4"/>
      <c r="Z384" s="4"/>
    </row>
    <row r="385" spans="1:26" ht="15.75">
      <c r="A385" s="7"/>
      <c r="B385" s="7"/>
      <c r="C385" s="6"/>
      <c r="D385" s="6"/>
      <c r="E385" s="6"/>
      <c r="F385" s="22"/>
      <c r="G385" s="4"/>
      <c r="H385" s="4"/>
      <c r="I385" s="4"/>
      <c r="J385" s="4"/>
      <c r="K385" s="4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4"/>
      <c r="Z385" s="4"/>
    </row>
    <row r="386" spans="1:26" ht="15.75">
      <c r="A386" s="7"/>
      <c r="B386" s="7"/>
      <c r="C386" s="6"/>
      <c r="D386" s="6"/>
      <c r="E386" s="6"/>
      <c r="F386" s="22"/>
      <c r="G386" s="4"/>
      <c r="H386" s="4"/>
      <c r="I386" s="4"/>
      <c r="J386" s="4"/>
      <c r="K386" s="4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4"/>
      <c r="Z386" s="4"/>
    </row>
    <row r="387" spans="1:26" ht="15.75">
      <c r="A387" s="7"/>
      <c r="B387" s="7"/>
      <c r="C387" s="6"/>
      <c r="D387" s="6"/>
      <c r="E387" s="6"/>
      <c r="F387" s="22"/>
      <c r="G387" s="4"/>
      <c r="H387" s="4"/>
      <c r="I387" s="4"/>
      <c r="J387" s="4"/>
      <c r="K387" s="4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4"/>
      <c r="Z387" s="4"/>
    </row>
    <row r="388" spans="1:26" ht="15.75">
      <c r="A388" s="7"/>
      <c r="B388" s="7"/>
      <c r="C388" s="6"/>
      <c r="D388" s="6"/>
      <c r="E388" s="6"/>
      <c r="F388" s="22"/>
      <c r="G388" s="4"/>
      <c r="H388" s="4"/>
      <c r="I388" s="4"/>
      <c r="J388" s="4"/>
      <c r="K388" s="4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4"/>
      <c r="Z388" s="4"/>
    </row>
    <row r="389" spans="1:26" ht="15.75">
      <c r="A389" s="7"/>
      <c r="B389" s="7"/>
      <c r="C389" s="6"/>
      <c r="D389" s="6"/>
      <c r="E389" s="6"/>
      <c r="F389" s="22"/>
      <c r="G389" s="4"/>
      <c r="H389" s="4"/>
      <c r="I389" s="4"/>
      <c r="J389" s="4"/>
      <c r="K389" s="4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4"/>
      <c r="Z389" s="4"/>
    </row>
    <row r="390" spans="1:26" ht="15.75">
      <c r="A390" s="7"/>
      <c r="B390" s="7"/>
      <c r="C390" s="6"/>
      <c r="D390" s="6"/>
      <c r="E390" s="6"/>
      <c r="F390" s="22"/>
      <c r="G390" s="4"/>
      <c r="H390" s="4"/>
      <c r="I390" s="4"/>
      <c r="J390" s="4"/>
      <c r="K390" s="4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4"/>
      <c r="Z390" s="4"/>
    </row>
    <row r="391" spans="1:26" ht="15.75">
      <c r="A391" s="7"/>
      <c r="B391" s="7"/>
      <c r="C391" s="6"/>
      <c r="D391" s="6"/>
      <c r="E391" s="6"/>
      <c r="F391" s="22"/>
      <c r="G391" s="4"/>
      <c r="H391" s="4"/>
      <c r="I391" s="4"/>
      <c r="J391" s="4"/>
      <c r="K391" s="4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4"/>
      <c r="Z391" s="4"/>
    </row>
    <row r="392" spans="1:26" ht="15.75">
      <c r="A392" s="7"/>
      <c r="B392" s="7"/>
      <c r="C392" s="6"/>
      <c r="D392" s="6"/>
      <c r="E392" s="6"/>
      <c r="F392" s="22"/>
      <c r="G392" s="4"/>
      <c r="H392" s="4"/>
      <c r="I392" s="4"/>
      <c r="J392" s="4"/>
      <c r="K392" s="4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4"/>
      <c r="Z392" s="4"/>
    </row>
    <row r="393" spans="1:26" ht="15.75">
      <c r="A393" s="7"/>
      <c r="B393" s="7"/>
      <c r="C393" s="6"/>
      <c r="D393" s="6"/>
      <c r="E393" s="6"/>
      <c r="F393" s="22"/>
      <c r="G393" s="4"/>
      <c r="H393" s="4"/>
      <c r="I393" s="4"/>
      <c r="J393" s="4"/>
      <c r="K393" s="4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4"/>
      <c r="Z393" s="4"/>
    </row>
    <row r="394" spans="1:26" ht="15.75">
      <c r="A394" s="7"/>
      <c r="B394" s="7"/>
      <c r="C394" s="6"/>
      <c r="D394" s="6"/>
      <c r="E394" s="6"/>
      <c r="F394" s="22"/>
      <c r="G394" s="4"/>
      <c r="H394" s="4"/>
      <c r="I394" s="4"/>
      <c r="J394" s="4"/>
      <c r="K394" s="4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4"/>
      <c r="Z394" s="4"/>
    </row>
    <row r="395" spans="1:26" ht="15.75">
      <c r="A395" s="7"/>
      <c r="B395" s="7"/>
      <c r="C395" s="6"/>
      <c r="D395" s="6"/>
      <c r="E395" s="6"/>
      <c r="F395" s="22"/>
      <c r="G395" s="4"/>
      <c r="H395" s="4"/>
      <c r="I395" s="4"/>
      <c r="J395" s="4"/>
      <c r="K395" s="4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4"/>
      <c r="Z395" s="4"/>
    </row>
    <row r="396" spans="1:26" ht="15.75">
      <c r="A396" s="7"/>
      <c r="B396" s="7"/>
      <c r="C396" s="6"/>
      <c r="D396" s="6"/>
      <c r="E396" s="6"/>
      <c r="F396" s="22"/>
      <c r="G396" s="4"/>
      <c r="H396" s="4"/>
      <c r="I396" s="4"/>
      <c r="J396" s="4"/>
      <c r="K396" s="4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4"/>
      <c r="Z396" s="4"/>
    </row>
    <row r="397" spans="1:26" ht="15.75">
      <c r="A397" s="7"/>
      <c r="B397" s="7"/>
      <c r="C397" s="6"/>
      <c r="D397" s="6"/>
      <c r="E397" s="6"/>
      <c r="F397" s="22"/>
      <c r="G397" s="4"/>
      <c r="H397" s="4"/>
      <c r="I397" s="4"/>
      <c r="J397" s="4"/>
      <c r="K397" s="4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4"/>
      <c r="Z397" s="4"/>
    </row>
    <row r="398" spans="1:26" ht="15.75">
      <c r="A398" s="7"/>
      <c r="B398" s="7"/>
      <c r="C398" s="6"/>
      <c r="D398" s="6"/>
      <c r="E398" s="6"/>
      <c r="F398" s="22"/>
      <c r="G398" s="4"/>
      <c r="H398" s="4"/>
      <c r="I398" s="4"/>
      <c r="J398" s="4"/>
      <c r="K398" s="4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4"/>
      <c r="Z398" s="4"/>
    </row>
    <row r="399" spans="1:26" ht="15.75">
      <c r="A399" s="7"/>
      <c r="B399" s="7"/>
      <c r="C399" s="6"/>
      <c r="D399" s="6"/>
      <c r="E399" s="6"/>
      <c r="F399" s="22"/>
      <c r="G399" s="4"/>
      <c r="H399" s="4"/>
      <c r="I399" s="4"/>
      <c r="J399" s="4"/>
      <c r="K399" s="4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4"/>
      <c r="Z399" s="4"/>
    </row>
    <row r="400" spans="1:26" ht="15.75">
      <c r="A400" s="7"/>
      <c r="B400" s="7"/>
      <c r="C400" s="6"/>
      <c r="D400" s="6"/>
      <c r="E400" s="6"/>
      <c r="F400" s="22"/>
      <c r="G400" s="4"/>
      <c r="H400" s="4"/>
      <c r="I400" s="4"/>
      <c r="J400" s="4"/>
      <c r="K400" s="4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4"/>
      <c r="Z400" s="4"/>
    </row>
    <row r="401" spans="1:26" ht="15.75">
      <c r="A401" s="7"/>
      <c r="B401" s="7"/>
      <c r="C401" s="6"/>
      <c r="D401" s="6"/>
      <c r="E401" s="6"/>
      <c r="F401" s="22"/>
      <c r="G401" s="4"/>
      <c r="H401" s="4"/>
      <c r="I401" s="4"/>
      <c r="J401" s="4"/>
      <c r="K401" s="4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4"/>
      <c r="Z401" s="4"/>
    </row>
    <row r="402" spans="1:26" ht="15.75">
      <c r="A402" s="7"/>
      <c r="B402" s="7"/>
      <c r="C402" s="6"/>
      <c r="D402" s="6"/>
      <c r="E402" s="6"/>
      <c r="F402" s="22"/>
      <c r="G402" s="4"/>
      <c r="H402" s="4"/>
      <c r="I402" s="4"/>
      <c r="J402" s="4"/>
      <c r="K402" s="4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4"/>
      <c r="Z402" s="4"/>
    </row>
    <row r="403" spans="1:26" ht="15.75">
      <c r="A403" s="7"/>
      <c r="B403" s="7"/>
      <c r="C403" s="6"/>
      <c r="D403" s="6"/>
      <c r="E403" s="6"/>
      <c r="F403" s="22"/>
      <c r="G403" s="4"/>
      <c r="H403" s="4"/>
      <c r="I403" s="4"/>
      <c r="J403" s="4"/>
      <c r="K403" s="4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4"/>
      <c r="Z403" s="4"/>
    </row>
    <row r="404" spans="1:26" ht="15.75">
      <c r="A404" s="7"/>
      <c r="B404" s="7"/>
      <c r="C404" s="6"/>
      <c r="D404" s="6"/>
      <c r="E404" s="6"/>
      <c r="F404" s="22"/>
      <c r="G404" s="4"/>
      <c r="H404" s="4"/>
      <c r="I404" s="4"/>
      <c r="J404" s="4"/>
      <c r="K404" s="4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4"/>
      <c r="Z404" s="4"/>
    </row>
    <row r="405" spans="1:26" ht="15.75">
      <c r="A405" s="7"/>
      <c r="B405" s="7"/>
      <c r="C405" s="6"/>
      <c r="D405" s="6"/>
      <c r="E405" s="6"/>
      <c r="F405" s="22"/>
      <c r="G405" s="4"/>
      <c r="H405" s="4"/>
      <c r="I405" s="4"/>
      <c r="J405" s="4"/>
      <c r="K405" s="4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4"/>
      <c r="Z405" s="4"/>
    </row>
    <row r="406" spans="1:26" ht="15.75">
      <c r="A406" s="7"/>
      <c r="B406" s="7"/>
      <c r="C406" s="6"/>
      <c r="D406" s="6"/>
      <c r="E406" s="6"/>
      <c r="F406" s="22"/>
      <c r="G406" s="4"/>
      <c r="H406" s="4"/>
      <c r="I406" s="4"/>
      <c r="J406" s="4"/>
      <c r="K406" s="4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4"/>
      <c r="Z406" s="4"/>
    </row>
    <row r="407" spans="1:26" ht="15.75">
      <c r="A407" s="7"/>
      <c r="B407" s="7"/>
      <c r="C407" s="6"/>
      <c r="D407" s="6"/>
      <c r="E407" s="6"/>
      <c r="F407" s="22"/>
      <c r="G407" s="4"/>
      <c r="H407" s="4"/>
      <c r="I407" s="4"/>
      <c r="J407" s="4"/>
      <c r="K407" s="4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4"/>
      <c r="Z407" s="4"/>
    </row>
    <row r="408" spans="1:26" ht="15.75">
      <c r="A408" s="7"/>
      <c r="B408" s="7"/>
      <c r="C408" s="6"/>
      <c r="D408" s="6"/>
      <c r="E408" s="6"/>
      <c r="F408" s="22"/>
      <c r="G408" s="4"/>
      <c r="H408" s="4"/>
      <c r="I408" s="4"/>
      <c r="J408" s="4"/>
      <c r="K408" s="4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4"/>
      <c r="Z408" s="4"/>
    </row>
    <row r="409" spans="1:26" ht="15.75">
      <c r="A409" s="7"/>
      <c r="B409" s="7"/>
      <c r="C409" s="6"/>
      <c r="D409" s="6"/>
      <c r="E409" s="6"/>
      <c r="F409" s="22"/>
      <c r="G409" s="4"/>
      <c r="H409" s="4"/>
      <c r="I409" s="4"/>
      <c r="J409" s="4"/>
      <c r="K409" s="4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4"/>
      <c r="Z409" s="4"/>
    </row>
    <row r="410" spans="1:26" ht="15.75">
      <c r="A410" s="7"/>
      <c r="B410" s="7"/>
      <c r="C410" s="6"/>
      <c r="D410" s="6"/>
      <c r="E410" s="6"/>
      <c r="F410" s="6"/>
      <c r="G410" s="83"/>
      <c r="H410" s="83"/>
      <c r="I410" s="83"/>
      <c r="J410" s="83"/>
      <c r="K410" s="83"/>
      <c r="L410" s="84"/>
      <c r="M410" s="10"/>
      <c r="N410" s="10"/>
      <c r="O410" s="10"/>
      <c r="P410" s="84"/>
      <c r="Q410" s="10"/>
      <c r="R410" s="84"/>
      <c r="S410" s="84"/>
      <c r="T410" s="84"/>
      <c r="U410" s="10"/>
      <c r="V410" s="84"/>
      <c r="W410" s="10"/>
      <c r="X410" s="10"/>
      <c r="Y410" s="4"/>
      <c r="Z410" s="4"/>
    </row>
    <row r="411" spans="1:26" ht="15.75">
      <c r="A411" s="7"/>
      <c r="B411" s="7"/>
      <c r="C411" s="6"/>
      <c r="D411" s="6"/>
      <c r="E411" s="6"/>
      <c r="F411" s="6"/>
      <c r="G411" s="7"/>
      <c r="H411" s="7"/>
      <c r="I411" s="7"/>
      <c r="J411" s="7"/>
      <c r="K411" s="7"/>
      <c r="L411" s="6"/>
      <c r="M411" s="10"/>
      <c r="N411" s="10"/>
      <c r="O411" s="10"/>
      <c r="P411" s="6"/>
      <c r="Q411" s="10"/>
      <c r="R411" s="6"/>
      <c r="S411" s="6"/>
      <c r="T411" s="6"/>
      <c r="U411" s="10"/>
      <c r="V411" s="6"/>
      <c r="W411" s="10"/>
      <c r="X411" s="10"/>
      <c r="Y411" s="4"/>
      <c r="Z411" s="4"/>
    </row>
    <row r="412" spans="1:26" ht="15.75">
      <c r="A412" s="7"/>
      <c r="B412" s="7"/>
      <c r="C412" s="6"/>
      <c r="D412" s="6"/>
      <c r="E412" s="6"/>
      <c r="F412" s="6"/>
      <c r="G412" s="7"/>
      <c r="H412" s="7"/>
      <c r="I412" s="7"/>
      <c r="J412" s="7"/>
      <c r="K412" s="7"/>
      <c r="L412" s="6"/>
      <c r="M412" s="10"/>
      <c r="N412" s="10"/>
      <c r="O412" s="10"/>
      <c r="P412" s="6"/>
      <c r="Q412" s="10"/>
      <c r="R412" s="6"/>
      <c r="S412" s="6"/>
      <c r="T412" s="6"/>
      <c r="U412" s="10"/>
      <c r="V412" s="6"/>
      <c r="W412" s="10"/>
      <c r="X412" s="10"/>
      <c r="Y412" s="4"/>
      <c r="Z412" s="4"/>
    </row>
    <row r="413" spans="1:26" ht="15.75">
      <c r="A413" s="7"/>
      <c r="B413" s="7"/>
      <c r="C413" s="6"/>
      <c r="D413" s="6"/>
      <c r="E413" s="6"/>
      <c r="F413" s="6"/>
      <c r="G413" s="7"/>
      <c r="H413" s="7"/>
      <c r="I413" s="7"/>
      <c r="J413" s="7"/>
      <c r="K413" s="7"/>
      <c r="L413" s="6"/>
      <c r="M413" s="10"/>
      <c r="N413" s="10"/>
      <c r="O413" s="10"/>
      <c r="P413" s="6"/>
      <c r="Q413" s="10"/>
      <c r="R413" s="6"/>
      <c r="S413" s="6"/>
      <c r="T413" s="6"/>
      <c r="U413" s="10"/>
      <c r="V413" s="6"/>
      <c r="W413" s="10"/>
      <c r="X413" s="10"/>
      <c r="Y413" s="4"/>
      <c r="Z413" s="4"/>
    </row>
    <row r="414" spans="1:26" ht="15.75">
      <c r="A414" s="7"/>
      <c r="B414" s="7"/>
      <c r="C414" s="6"/>
      <c r="D414" s="6"/>
      <c r="E414" s="6"/>
      <c r="F414" s="6"/>
      <c r="G414" s="7"/>
      <c r="H414" s="7"/>
      <c r="I414" s="7"/>
      <c r="J414" s="7"/>
      <c r="K414" s="7"/>
      <c r="L414" s="6"/>
      <c r="M414" s="10"/>
      <c r="N414" s="10"/>
      <c r="O414" s="10"/>
      <c r="P414" s="6"/>
      <c r="Q414" s="10"/>
      <c r="R414" s="6"/>
      <c r="S414" s="6"/>
      <c r="T414" s="6"/>
      <c r="U414" s="10"/>
      <c r="V414" s="6"/>
      <c r="W414" s="10"/>
      <c r="X414" s="10"/>
      <c r="Y414" s="4"/>
      <c r="Z414" s="4"/>
    </row>
    <row r="415" spans="1:26" ht="15.75">
      <c r="A415" s="7"/>
      <c r="B415" s="7"/>
      <c r="C415" s="6"/>
      <c r="D415" s="6"/>
      <c r="E415" s="6"/>
      <c r="F415" s="6"/>
      <c r="G415" s="7"/>
      <c r="H415" s="7"/>
      <c r="I415" s="7"/>
      <c r="J415" s="7"/>
      <c r="K415" s="7"/>
      <c r="L415" s="6"/>
      <c r="M415" s="10"/>
      <c r="N415" s="10"/>
      <c r="O415" s="10"/>
      <c r="P415" s="6"/>
      <c r="Q415" s="10"/>
      <c r="R415" s="6"/>
      <c r="S415" s="6"/>
      <c r="T415" s="6"/>
      <c r="U415" s="10"/>
      <c r="V415" s="6"/>
      <c r="W415" s="10"/>
      <c r="X415" s="10"/>
      <c r="Y415" s="4"/>
      <c r="Z415" s="4"/>
    </row>
    <row r="416" spans="1:26" ht="15.75">
      <c r="A416" s="7"/>
      <c r="B416" s="7"/>
      <c r="C416" s="6"/>
      <c r="D416" s="6"/>
      <c r="E416" s="6"/>
      <c r="F416" s="6"/>
      <c r="G416" s="7"/>
      <c r="H416" s="7"/>
      <c r="I416" s="7"/>
      <c r="J416" s="7"/>
      <c r="K416" s="7"/>
      <c r="L416" s="6"/>
      <c r="M416" s="10"/>
      <c r="N416" s="10"/>
      <c r="O416" s="10"/>
      <c r="P416" s="6"/>
      <c r="Q416" s="10"/>
      <c r="R416" s="6"/>
      <c r="S416" s="6"/>
      <c r="T416" s="6"/>
      <c r="U416" s="10"/>
      <c r="V416" s="6"/>
      <c r="W416" s="10"/>
      <c r="X416" s="10"/>
      <c r="Y416" s="4"/>
      <c r="Z416" s="4"/>
    </row>
    <row r="417" spans="1:26" ht="15.75">
      <c r="A417" s="7"/>
      <c r="B417" s="7"/>
      <c r="C417" s="6"/>
      <c r="D417" s="6"/>
      <c r="E417" s="6"/>
      <c r="F417" s="6"/>
      <c r="G417" s="7"/>
      <c r="H417" s="7"/>
      <c r="I417" s="7"/>
      <c r="J417" s="7"/>
      <c r="K417" s="7"/>
      <c r="L417" s="6"/>
      <c r="M417" s="10"/>
      <c r="N417" s="10"/>
      <c r="O417" s="10"/>
      <c r="P417" s="6"/>
      <c r="Q417" s="10"/>
      <c r="R417" s="6"/>
      <c r="S417" s="6"/>
      <c r="T417" s="6"/>
      <c r="U417" s="10"/>
      <c r="V417" s="6"/>
      <c r="W417" s="10"/>
      <c r="X417" s="10"/>
      <c r="Y417" s="4"/>
      <c r="Z417" s="4"/>
    </row>
    <row r="418" spans="1:26" ht="15.75">
      <c r="A418" s="7"/>
      <c r="B418" s="7"/>
      <c r="C418" s="6"/>
      <c r="D418" s="6"/>
      <c r="E418" s="6"/>
      <c r="F418" s="6"/>
      <c r="G418" s="7"/>
      <c r="H418" s="7"/>
      <c r="I418" s="7"/>
      <c r="J418" s="7"/>
      <c r="K418" s="7"/>
      <c r="L418" s="6"/>
      <c r="M418" s="10"/>
      <c r="N418" s="10"/>
      <c r="O418" s="10"/>
      <c r="P418" s="6"/>
      <c r="Q418" s="10"/>
      <c r="R418" s="6"/>
      <c r="S418" s="6"/>
      <c r="T418" s="6"/>
      <c r="U418" s="10"/>
      <c r="V418" s="6"/>
      <c r="W418" s="10"/>
      <c r="X418" s="10"/>
      <c r="Y418" s="4"/>
      <c r="Z418" s="4"/>
    </row>
    <row r="419" spans="1:26" ht="15.75">
      <c r="A419" s="7"/>
      <c r="B419" s="7"/>
      <c r="C419" s="6"/>
      <c r="D419" s="6"/>
      <c r="E419" s="6"/>
      <c r="F419" s="6"/>
      <c r="G419" s="7"/>
      <c r="H419" s="7"/>
      <c r="I419" s="7"/>
      <c r="J419" s="7"/>
      <c r="K419" s="7"/>
      <c r="L419" s="6"/>
      <c r="M419" s="10"/>
      <c r="N419" s="10"/>
      <c r="O419" s="10"/>
      <c r="P419" s="6"/>
      <c r="Q419" s="10"/>
      <c r="R419" s="6"/>
      <c r="S419" s="6"/>
      <c r="T419" s="6"/>
      <c r="U419" s="10"/>
      <c r="V419" s="6"/>
      <c r="W419" s="10"/>
      <c r="X419" s="10"/>
      <c r="Y419" s="4"/>
      <c r="Z419" s="4"/>
    </row>
    <row r="420" spans="1:26" ht="15.75">
      <c r="A420" s="7"/>
      <c r="B420" s="7"/>
      <c r="C420" s="6"/>
      <c r="D420" s="6"/>
      <c r="E420" s="6"/>
      <c r="F420" s="6"/>
      <c r="G420" s="7"/>
      <c r="H420" s="7"/>
      <c r="I420" s="7"/>
      <c r="J420" s="7"/>
      <c r="K420" s="7"/>
      <c r="L420" s="6"/>
      <c r="M420" s="10"/>
      <c r="N420" s="10"/>
      <c r="O420" s="10"/>
      <c r="P420" s="6"/>
      <c r="Q420" s="10"/>
      <c r="R420" s="6"/>
      <c r="S420" s="6"/>
      <c r="T420" s="6"/>
      <c r="U420" s="10"/>
      <c r="V420" s="6"/>
      <c r="W420" s="10"/>
      <c r="X420" s="10"/>
      <c r="Y420" s="4"/>
      <c r="Z420" s="4"/>
    </row>
    <row r="421" spans="1:26" ht="15.75">
      <c r="A421" s="7"/>
      <c r="B421" s="7"/>
      <c r="C421" s="6"/>
      <c r="D421" s="6"/>
      <c r="E421" s="6"/>
      <c r="F421" s="6"/>
      <c r="G421" s="7"/>
      <c r="H421" s="7"/>
      <c r="I421" s="7"/>
      <c r="J421" s="7"/>
      <c r="K421" s="7"/>
      <c r="L421" s="6"/>
      <c r="M421" s="10"/>
      <c r="N421" s="10"/>
      <c r="O421" s="10"/>
      <c r="P421" s="6"/>
      <c r="Q421" s="10"/>
      <c r="R421" s="6"/>
      <c r="S421" s="6"/>
      <c r="T421" s="6"/>
      <c r="U421" s="10"/>
      <c r="V421" s="6"/>
      <c r="W421" s="10"/>
      <c r="X421" s="10"/>
      <c r="Y421" s="4"/>
      <c r="Z421" s="4"/>
    </row>
    <row r="422" spans="1:26" ht="15.75">
      <c r="A422" s="7"/>
      <c r="B422" s="7"/>
      <c r="C422" s="6"/>
      <c r="D422" s="6"/>
      <c r="E422" s="6"/>
      <c r="F422" s="6"/>
      <c r="G422" s="7"/>
      <c r="H422" s="7"/>
      <c r="I422" s="7"/>
      <c r="J422" s="7"/>
      <c r="K422" s="7"/>
      <c r="L422" s="6"/>
      <c r="M422" s="10"/>
      <c r="N422" s="10"/>
      <c r="O422" s="10"/>
      <c r="P422" s="6"/>
      <c r="Q422" s="10"/>
      <c r="R422" s="6"/>
      <c r="S422" s="6"/>
      <c r="T422" s="6"/>
      <c r="U422" s="10"/>
      <c r="V422" s="6"/>
      <c r="W422" s="10"/>
      <c r="X422" s="10"/>
      <c r="Y422" s="4"/>
      <c r="Z422" s="4"/>
    </row>
    <row r="423" spans="1:26" ht="15.75">
      <c r="A423" s="7"/>
      <c r="B423" s="7"/>
      <c r="C423" s="6"/>
      <c r="D423" s="6"/>
      <c r="E423" s="6"/>
      <c r="F423" s="6"/>
      <c r="G423" s="7"/>
      <c r="H423" s="7"/>
      <c r="I423" s="7"/>
      <c r="J423" s="7"/>
      <c r="K423" s="7"/>
      <c r="L423" s="6"/>
      <c r="M423" s="10"/>
      <c r="N423" s="10"/>
      <c r="O423" s="10"/>
      <c r="P423" s="6"/>
      <c r="Q423" s="10"/>
      <c r="R423" s="6"/>
      <c r="S423" s="6"/>
      <c r="T423" s="6"/>
      <c r="U423" s="10"/>
      <c r="V423" s="6"/>
      <c r="W423" s="10"/>
      <c r="X423" s="10"/>
      <c r="Y423" s="4"/>
      <c r="Z423" s="4"/>
    </row>
    <row r="424" spans="1:26" ht="15.75">
      <c r="A424" s="7"/>
      <c r="B424" s="7"/>
      <c r="C424" s="6"/>
      <c r="D424" s="6"/>
      <c r="E424" s="6"/>
      <c r="F424" s="6"/>
      <c r="G424" s="7"/>
      <c r="H424" s="7"/>
      <c r="I424" s="7"/>
      <c r="J424" s="7"/>
      <c r="K424" s="7"/>
      <c r="L424" s="6"/>
      <c r="M424" s="10"/>
      <c r="N424" s="10"/>
      <c r="O424" s="10"/>
      <c r="P424" s="6"/>
      <c r="Q424" s="10"/>
      <c r="R424" s="6"/>
      <c r="S424" s="6"/>
      <c r="T424" s="6"/>
      <c r="U424" s="10"/>
      <c r="V424" s="6"/>
      <c r="W424" s="10"/>
      <c r="X424" s="10"/>
      <c r="Y424" s="4"/>
      <c r="Z424" s="4"/>
    </row>
    <row r="425" spans="1:26" ht="15.75">
      <c r="A425" s="7"/>
      <c r="B425" s="7"/>
      <c r="C425" s="6"/>
      <c r="D425" s="6"/>
      <c r="E425" s="6"/>
      <c r="F425" s="6"/>
      <c r="G425" s="7"/>
      <c r="H425" s="7"/>
      <c r="I425" s="7"/>
      <c r="J425" s="7"/>
      <c r="K425" s="7"/>
      <c r="L425" s="6"/>
      <c r="M425" s="10"/>
      <c r="N425" s="10"/>
      <c r="O425" s="10"/>
      <c r="P425" s="6"/>
      <c r="Q425" s="10"/>
      <c r="R425" s="6"/>
      <c r="S425" s="6"/>
      <c r="T425" s="6"/>
      <c r="U425" s="10"/>
      <c r="V425" s="6"/>
      <c r="W425" s="10"/>
      <c r="X425" s="10"/>
      <c r="Y425" s="4"/>
      <c r="Z425" s="4"/>
    </row>
    <row r="426" spans="1:26" ht="15.75">
      <c r="A426" s="7"/>
      <c r="B426" s="7"/>
      <c r="C426" s="6"/>
      <c r="D426" s="6"/>
      <c r="E426" s="6"/>
      <c r="F426" s="6"/>
      <c r="G426" s="7"/>
      <c r="H426" s="7"/>
      <c r="I426" s="7"/>
      <c r="J426" s="7"/>
      <c r="K426" s="7"/>
      <c r="L426" s="6"/>
      <c r="M426" s="10"/>
      <c r="N426" s="10"/>
      <c r="O426" s="10"/>
      <c r="P426" s="6"/>
      <c r="Q426" s="10"/>
      <c r="R426" s="6"/>
      <c r="S426" s="6"/>
      <c r="T426" s="6"/>
      <c r="U426" s="10"/>
      <c r="V426" s="6"/>
      <c r="W426" s="10"/>
      <c r="X426" s="10"/>
      <c r="Y426" s="4"/>
      <c r="Z426" s="4"/>
    </row>
    <row r="427" spans="1:26" ht="15.75">
      <c r="A427" s="7"/>
      <c r="B427" s="7"/>
      <c r="C427" s="6"/>
      <c r="D427" s="6"/>
      <c r="E427" s="6"/>
      <c r="F427" s="6"/>
      <c r="G427" s="7"/>
      <c r="H427" s="7"/>
      <c r="I427" s="7"/>
      <c r="J427" s="7"/>
      <c r="K427" s="7"/>
      <c r="L427" s="6"/>
      <c r="M427" s="10"/>
      <c r="N427" s="10"/>
      <c r="O427" s="10"/>
      <c r="P427" s="6"/>
      <c r="Q427" s="10"/>
      <c r="R427" s="6"/>
      <c r="S427" s="6"/>
      <c r="T427" s="6"/>
      <c r="U427" s="10"/>
      <c r="V427" s="6"/>
      <c r="W427" s="10"/>
      <c r="X427" s="10"/>
      <c r="Y427" s="4"/>
      <c r="Z427" s="4"/>
    </row>
    <row r="428" spans="1:26" ht="15.75">
      <c r="A428" s="7"/>
      <c r="B428" s="7"/>
      <c r="C428" s="6"/>
      <c r="D428" s="6"/>
      <c r="E428" s="6"/>
      <c r="F428" s="6"/>
      <c r="G428" s="7"/>
      <c r="H428" s="7"/>
      <c r="I428" s="7"/>
      <c r="J428" s="7"/>
      <c r="K428" s="7"/>
      <c r="L428" s="6"/>
      <c r="M428" s="10"/>
      <c r="N428" s="10"/>
      <c r="O428" s="10"/>
      <c r="P428" s="6"/>
      <c r="Q428" s="10"/>
      <c r="R428" s="6"/>
      <c r="S428" s="6"/>
      <c r="T428" s="6"/>
      <c r="U428" s="10"/>
      <c r="V428" s="6"/>
      <c r="W428" s="10"/>
      <c r="X428" s="10"/>
      <c r="Y428" s="4"/>
      <c r="Z428" s="4"/>
    </row>
    <row r="429" spans="1:26" ht="15.75">
      <c r="A429" s="7"/>
      <c r="B429" s="7"/>
      <c r="C429" s="6"/>
      <c r="D429" s="6"/>
      <c r="E429" s="6"/>
      <c r="F429" s="6"/>
      <c r="G429" s="7"/>
      <c r="H429" s="7"/>
      <c r="I429" s="7"/>
      <c r="J429" s="7"/>
      <c r="K429" s="7"/>
      <c r="L429" s="6"/>
      <c r="M429" s="10"/>
      <c r="N429" s="10"/>
      <c r="O429" s="10"/>
      <c r="P429" s="6"/>
      <c r="Q429" s="10"/>
      <c r="R429" s="6"/>
      <c r="S429" s="6"/>
      <c r="T429" s="6"/>
      <c r="U429" s="10"/>
      <c r="V429" s="6"/>
      <c r="W429" s="10"/>
      <c r="X429" s="10"/>
      <c r="Y429" s="4"/>
      <c r="Z429" s="4"/>
    </row>
    <row r="430" spans="1:26" ht="15.75">
      <c r="A430" s="7"/>
      <c r="B430" s="7"/>
      <c r="C430" s="6"/>
      <c r="D430" s="6"/>
      <c r="E430" s="6"/>
      <c r="F430" s="6"/>
      <c r="G430" s="7"/>
      <c r="H430" s="7"/>
      <c r="I430" s="7"/>
      <c r="J430" s="7"/>
      <c r="K430" s="7"/>
      <c r="L430" s="6"/>
      <c r="M430" s="10"/>
      <c r="N430" s="10"/>
      <c r="O430" s="10"/>
      <c r="P430" s="6"/>
      <c r="Q430" s="10"/>
      <c r="R430" s="6"/>
      <c r="S430" s="6"/>
      <c r="T430" s="6"/>
      <c r="U430" s="10"/>
      <c r="V430" s="6"/>
      <c r="W430" s="10"/>
      <c r="X430" s="10"/>
      <c r="Y430" s="4"/>
      <c r="Z430" s="4"/>
    </row>
    <row r="431" spans="1:26" ht="15.75">
      <c r="A431" s="7"/>
      <c r="B431" s="7"/>
      <c r="C431" s="6"/>
      <c r="D431" s="6"/>
      <c r="E431" s="6"/>
      <c r="F431" s="6"/>
      <c r="G431" s="7"/>
      <c r="H431" s="7"/>
      <c r="I431" s="7"/>
      <c r="J431" s="7"/>
      <c r="K431" s="7"/>
      <c r="L431" s="6"/>
      <c r="M431" s="10"/>
      <c r="N431" s="10"/>
      <c r="O431" s="10"/>
      <c r="P431" s="6"/>
      <c r="Q431" s="10"/>
      <c r="R431" s="6"/>
      <c r="S431" s="6"/>
      <c r="T431" s="6"/>
      <c r="U431" s="10"/>
      <c r="V431" s="6"/>
      <c r="W431" s="10"/>
      <c r="X431" s="10"/>
      <c r="Y431" s="4"/>
      <c r="Z431" s="4"/>
    </row>
    <row r="432" spans="1:26" ht="15.75">
      <c r="A432" s="7"/>
      <c r="B432" s="7"/>
      <c r="C432" s="6"/>
      <c r="D432" s="6"/>
      <c r="E432" s="6"/>
      <c r="F432" s="6"/>
      <c r="G432" s="7"/>
      <c r="H432" s="7"/>
      <c r="I432" s="7"/>
      <c r="J432" s="7"/>
      <c r="K432" s="7"/>
      <c r="L432" s="6"/>
      <c r="M432" s="10"/>
      <c r="N432" s="10"/>
      <c r="O432" s="10"/>
      <c r="P432" s="6"/>
      <c r="Q432" s="10"/>
      <c r="R432" s="6"/>
      <c r="S432" s="6"/>
      <c r="T432" s="6"/>
      <c r="U432" s="10"/>
      <c r="V432" s="6"/>
      <c r="W432" s="10"/>
      <c r="X432" s="10"/>
      <c r="Y432" s="4"/>
      <c r="Z432" s="4"/>
    </row>
    <row r="433" spans="1:26" ht="15.75">
      <c r="A433" s="7"/>
      <c r="B433" s="7"/>
      <c r="C433" s="6"/>
      <c r="D433" s="6"/>
      <c r="E433" s="6"/>
      <c r="F433" s="6"/>
      <c r="G433" s="7"/>
      <c r="H433" s="7"/>
      <c r="I433" s="7"/>
      <c r="J433" s="7"/>
      <c r="K433" s="7"/>
      <c r="L433" s="6"/>
      <c r="M433" s="10"/>
      <c r="N433" s="10"/>
      <c r="O433" s="10"/>
      <c r="P433" s="6"/>
      <c r="Q433" s="10"/>
      <c r="R433" s="6"/>
      <c r="S433" s="6"/>
      <c r="T433" s="6"/>
      <c r="U433" s="10"/>
      <c r="V433" s="6"/>
      <c r="W433" s="10"/>
      <c r="X433" s="10"/>
      <c r="Y433" s="4"/>
      <c r="Z433" s="4"/>
    </row>
    <row r="434" spans="1:26" ht="15.75">
      <c r="A434" s="7"/>
      <c r="B434" s="7"/>
      <c r="C434" s="6"/>
      <c r="D434" s="6"/>
      <c r="E434" s="6"/>
      <c r="F434" s="6"/>
      <c r="G434" s="7"/>
      <c r="H434" s="7"/>
      <c r="I434" s="7"/>
      <c r="J434" s="7"/>
      <c r="K434" s="7"/>
      <c r="L434" s="6"/>
      <c r="M434" s="10"/>
      <c r="N434" s="10"/>
      <c r="O434" s="10"/>
      <c r="P434" s="6"/>
      <c r="Q434" s="10"/>
      <c r="R434" s="6"/>
      <c r="S434" s="6"/>
      <c r="T434" s="6"/>
      <c r="U434" s="10"/>
      <c r="V434" s="6"/>
      <c r="W434" s="10"/>
      <c r="X434" s="10"/>
      <c r="Y434" s="4"/>
      <c r="Z434" s="4"/>
    </row>
    <row r="435" spans="1:26" ht="15.75">
      <c r="A435" s="7"/>
      <c r="B435" s="7"/>
      <c r="C435" s="6"/>
      <c r="D435" s="6"/>
      <c r="E435" s="6"/>
      <c r="F435" s="6"/>
      <c r="G435" s="7"/>
      <c r="H435" s="7"/>
      <c r="I435" s="7"/>
      <c r="J435" s="7"/>
      <c r="K435" s="7"/>
      <c r="L435" s="6"/>
      <c r="M435" s="10"/>
      <c r="N435" s="10"/>
      <c r="O435" s="10"/>
      <c r="P435" s="6"/>
      <c r="Q435" s="10"/>
      <c r="R435" s="6"/>
      <c r="S435" s="6"/>
      <c r="T435" s="6"/>
      <c r="U435" s="10"/>
      <c r="V435" s="6"/>
      <c r="W435" s="10"/>
      <c r="X435" s="10"/>
      <c r="Y435" s="4"/>
      <c r="Z435" s="4"/>
    </row>
    <row r="436" spans="1:26" ht="15.75">
      <c r="A436" s="7"/>
      <c r="B436" s="7"/>
      <c r="C436" s="6"/>
      <c r="D436" s="6"/>
      <c r="E436" s="6"/>
      <c r="F436" s="6"/>
      <c r="G436" s="7"/>
      <c r="H436" s="7"/>
      <c r="I436" s="7"/>
      <c r="J436" s="7"/>
      <c r="K436" s="7"/>
      <c r="L436" s="6"/>
      <c r="M436" s="10"/>
      <c r="N436" s="10"/>
      <c r="O436" s="10"/>
      <c r="P436" s="6"/>
      <c r="Q436" s="10"/>
      <c r="R436" s="6"/>
      <c r="S436" s="6"/>
      <c r="T436" s="6"/>
      <c r="U436" s="10"/>
      <c r="V436" s="6"/>
      <c r="W436" s="10"/>
      <c r="X436" s="10"/>
      <c r="Y436" s="4"/>
      <c r="Z436" s="4"/>
    </row>
    <row r="437" spans="1:26" ht="15.75">
      <c r="A437" s="7"/>
      <c r="B437" s="7"/>
      <c r="C437" s="6"/>
      <c r="D437" s="6"/>
      <c r="E437" s="6"/>
      <c r="F437" s="6"/>
      <c r="G437" s="7"/>
      <c r="H437" s="7"/>
      <c r="I437" s="7"/>
      <c r="J437" s="7"/>
      <c r="K437" s="7"/>
      <c r="L437" s="6"/>
      <c r="M437" s="10"/>
      <c r="N437" s="10"/>
      <c r="O437" s="10"/>
      <c r="P437" s="6"/>
      <c r="Q437" s="10"/>
      <c r="R437" s="6"/>
      <c r="S437" s="6"/>
      <c r="T437" s="6"/>
      <c r="U437" s="10"/>
      <c r="V437" s="6"/>
      <c r="W437" s="10"/>
      <c r="X437" s="10"/>
      <c r="Y437" s="4"/>
      <c r="Z437" s="4"/>
    </row>
    <row r="438" spans="1:26" ht="15.75">
      <c r="A438" s="7"/>
      <c r="B438" s="7"/>
      <c r="C438" s="6"/>
      <c r="D438" s="6"/>
      <c r="E438" s="6"/>
      <c r="F438" s="6"/>
      <c r="G438" s="7"/>
      <c r="H438" s="7"/>
      <c r="I438" s="7"/>
      <c r="J438" s="7"/>
      <c r="K438" s="7"/>
      <c r="L438" s="6"/>
      <c r="M438" s="10"/>
      <c r="N438" s="10"/>
      <c r="O438" s="10"/>
      <c r="P438" s="6"/>
      <c r="Q438" s="10"/>
      <c r="R438" s="6"/>
      <c r="S438" s="6"/>
      <c r="T438" s="6"/>
      <c r="U438" s="10"/>
      <c r="V438" s="6"/>
      <c r="W438" s="10"/>
      <c r="X438" s="10"/>
      <c r="Y438" s="4"/>
      <c r="Z438" s="4"/>
    </row>
    <row r="439" spans="1:26" ht="15.75">
      <c r="A439" s="7"/>
      <c r="B439" s="7"/>
      <c r="C439" s="6"/>
      <c r="D439" s="6"/>
      <c r="E439" s="6"/>
      <c r="F439" s="6"/>
      <c r="G439" s="7"/>
      <c r="H439" s="7"/>
      <c r="I439" s="7"/>
      <c r="J439" s="7"/>
      <c r="K439" s="7"/>
      <c r="L439" s="6"/>
      <c r="M439" s="10"/>
      <c r="N439" s="10"/>
      <c r="O439" s="10"/>
      <c r="P439" s="6"/>
      <c r="Q439" s="10"/>
      <c r="R439" s="6"/>
      <c r="S439" s="6"/>
      <c r="T439" s="6"/>
      <c r="U439" s="10"/>
      <c r="V439" s="6"/>
      <c r="W439" s="10"/>
      <c r="X439" s="10"/>
      <c r="Y439" s="4"/>
      <c r="Z439" s="4"/>
    </row>
    <row r="440" spans="1:26" ht="15.75">
      <c r="A440" s="7"/>
      <c r="B440" s="7"/>
      <c r="C440" s="6"/>
      <c r="D440" s="6"/>
      <c r="E440" s="6"/>
      <c r="F440" s="6"/>
      <c r="G440" s="7"/>
      <c r="H440" s="7"/>
      <c r="I440" s="7"/>
      <c r="J440" s="7"/>
      <c r="K440" s="7"/>
      <c r="L440" s="6"/>
      <c r="M440" s="10"/>
      <c r="N440" s="10"/>
      <c r="O440" s="10"/>
      <c r="P440" s="6"/>
      <c r="Q440" s="10"/>
      <c r="R440" s="6"/>
      <c r="S440" s="6"/>
      <c r="T440" s="6"/>
      <c r="U440" s="10"/>
      <c r="V440" s="6"/>
      <c r="W440" s="10"/>
      <c r="X440" s="10"/>
      <c r="Y440" s="4"/>
      <c r="Z440" s="4"/>
    </row>
    <row r="441" spans="1:26" ht="15.75">
      <c r="A441" s="7"/>
      <c r="B441" s="7"/>
      <c r="C441" s="6"/>
      <c r="D441" s="6"/>
      <c r="E441" s="6"/>
      <c r="F441" s="6"/>
      <c r="G441" s="7"/>
      <c r="H441" s="7"/>
      <c r="I441" s="7"/>
      <c r="J441" s="7"/>
      <c r="K441" s="7"/>
      <c r="L441" s="6"/>
      <c r="M441" s="10"/>
      <c r="N441" s="10"/>
      <c r="O441" s="10"/>
      <c r="P441" s="6"/>
      <c r="Q441" s="10"/>
      <c r="R441" s="6"/>
      <c r="S441" s="6"/>
      <c r="T441" s="6"/>
      <c r="U441" s="10"/>
      <c r="V441" s="6"/>
      <c r="W441" s="10"/>
      <c r="X441" s="10"/>
      <c r="Y441" s="4"/>
      <c r="Z441" s="4"/>
    </row>
    <row r="442" spans="1:26" ht="15.75">
      <c r="A442" s="7"/>
      <c r="B442" s="7"/>
      <c r="C442" s="6"/>
      <c r="D442" s="6"/>
      <c r="E442" s="6"/>
      <c r="F442" s="6"/>
      <c r="G442" s="7"/>
      <c r="H442" s="7"/>
      <c r="I442" s="7"/>
      <c r="J442" s="7"/>
      <c r="K442" s="7"/>
      <c r="L442" s="6"/>
      <c r="M442" s="10"/>
      <c r="N442" s="10"/>
      <c r="O442" s="10"/>
      <c r="P442" s="6"/>
      <c r="Q442" s="10"/>
      <c r="R442" s="6"/>
      <c r="S442" s="6"/>
      <c r="T442" s="6"/>
      <c r="U442" s="10"/>
      <c r="V442" s="6"/>
      <c r="W442" s="10"/>
      <c r="X442" s="10"/>
      <c r="Y442" s="4"/>
      <c r="Z442" s="4"/>
    </row>
    <row r="443" spans="1:26" ht="15.75">
      <c r="A443" s="7"/>
      <c r="B443" s="7"/>
      <c r="C443" s="6"/>
      <c r="D443" s="6"/>
      <c r="E443" s="6"/>
      <c r="F443" s="6"/>
      <c r="G443" s="7"/>
      <c r="H443" s="7"/>
      <c r="I443" s="7"/>
      <c r="J443" s="7"/>
      <c r="K443" s="7"/>
      <c r="L443" s="6"/>
      <c r="M443" s="10"/>
      <c r="N443" s="10"/>
      <c r="O443" s="10"/>
      <c r="P443" s="6"/>
      <c r="Q443" s="10"/>
      <c r="R443" s="6"/>
      <c r="S443" s="6"/>
      <c r="T443" s="6"/>
      <c r="U443" s="10"/>
      <c r="V443" s="6"/>
      <c r="W443" s="10"/>
      <c r="X443" s="10"/>
      <c r="Y443" s="4"/>
      <c r="Z443" s="4"/>
    </row>
    <row r="444" spans="1:26" ht="15.75">
      <c r="A444" s="7"/>
      <c r="B444" s="7"/>
      <c r="C444" s="6"/>
      <c r="D444" s="6"/>
      <c r="E444" s="6"/>
      <c r="F444" s="6"/>
      <c r="G444" s="7"/>
      <c r="H444" s="7"/>
      <c r="I444" s="7"/>
      <c r="J444" s="7"/>
      <c r="K444" s="7"/>
      <c r="L444" s="6"/>
      <c r="M444" s="10"/>
      <c r="N444" s="10"/>
      <c r="O444" s="10"/>
      <c r="P444" s="6"/>
      <c r="Q444" s="10"/>
      <c r="R444" s="6"/>
      <c r="S444" s="6"/>
      <c r="T444" s="6"/>
      <c r="U444" s="10"/>
      <c r="V444" s="6"/>
      <c r="W444" s="10"/>
      <c r="X444" s="10"/>
      <c r="Y444" s="4"/>
      <c r="Z444" s="4"/>
    </row>
    <row r="445" spans="1:26" ht="15.75">
      <c r="A445" s="7"/>
      <c r="B445" s="7"/>
      <c r="C445" s="6"/>
      <c r="D445" s="6"/>
      <c r="E445" s="6"/>
      <c r="F445" s="6"/>
      <c r="G445" s="7"/>
      <c r="H445" s="7"/>
      <c r="I445" s="7"/>
      <c r="J445" s="7"/>
      <c r="K445" s="7"/>
      <c r="L445" s="6"/>
      <c r="M445" s="10"/>
      <c r="N445" s="10"/>
      <c r="O445" s="10"/>
      <c r="P445" s="6"/>
      <c r="Q445" s="10"/>
      <c r="R445" s="6"/>
      <c r="S445" s="6"/>
      <c r="T445" s="6"/>
      <c r="U445" s="10"/>
      <c r="V445" s="6"/>
      <c r="W445" s="10"/>
      <c r="X445" s="10"/>
      <c r="Y445" s="4"/>
      <c r="Z445" s="4"/>
    </row>
    <row r="446" spans="1:26" ht="15.75">
      <c r="A446" s="7"/>
      <c r="B446" s="7"/>
      <c r="C446" s="6"/>
      <c r="D446" s="6"/>
      <c r="E446" s="6"/>
      <c r="F446" s="6"/>
      <c r="G446" s="7"/>
      <c r="H446" s="7"/>
      <c r="I446" s="7"/>
      <c r="J446" s="7"/>
      <c r="K446" s="7"/>
      <c r="L446" s="6"/>
      <c r="M446" s="10"/>
      <c r="N446" s="10"/>
      <c r="O446" s="10"/>
      <c r="P446" s="6"/>
      <c r="Q446" s="10"/>
      <c r="R446" s="6"/>
      <c r="S446" s="6"/>
      <c r="T446" s="6"/>
      <c r="U446" s="10"/>
      <c r="V446" s="6"/>
      <c r="W446" s="10"/>
      <c r="X446" s="10"/>
      <c r="Y446" s="4"/>
      <c r="Z446" s="4"/>
    </row>
    <row r="447" spans="1:26" ht="15.75">
      <c r="A447" s="7"/>
      <c r="B447" s="7"/>
      <c r="C447" s="6"/>
      <c r="D447" s="6"/>
      <c r="E447" s="6"/>
      <c r="F447" s="6"/>
      <c r="G447" s="7"/>
      <c r="H447" s="7"/>
      <c r="I447" s="7"/>
      <c r="J447" s="7"/>
      <c r="K447" s="7"/>
      <c r="L447" s="6"/>
      <c r="M447" s="10"/>
      <c r="N447" s="10"/>
      <c r="O447" s="10"/>
      <c r="P447" s="6"/>
      <c r="Q447" s="10"/>
      <c r="R447" s="6"/>
      <c r="S447" s="6"/>
      <c r="T447" s="6"/>
      <c r="U447" s="10"/>
      <c r="V447" s="6"/>
      <c r="W447" s="10"/>
      <c r="X447" s="10"/>
      <c r="Y447" s="4"/>
      <c r="Z447" s="4"/>
    </row>
    <row r="448" spans="1:26" ht="15.75">
      <c r="A448" s="7"/>
      <c r="B448" s="7"/>
      <c r="C448" s="6"/>
      <c r="D448" s="6"/>
      <c r="E448" s="6"/>
      <c r="F448" s="6"/>
      <c r="G448" s="7"/>
      <c r="H448" s="7"/>
      <c r="I448" s="7"/>
      <c r="J448" s="7"/>
      <c r="K448" s="7"/>
      <c r="L448" s="6"/>
      <c r="M448" s="10"/>
      <c r="N448" s="10"/>
      <c r="O448" s="10"/>
      <c r="P448" s="6"/>
      <c r="Q448" s="10"/>
      <c r="R448" s="6"/>
      <c r="S448" s="6"/>
      <c r="T448" s="6"/>
      <c r="U448" s="10"/>
      <c r="V448" s="6"/>
      <c r="W448" s="10"/>
      <c r="X448" s="10"/>
      <c r="Y448" s="4"/>
      <c r="Z448" s="4"/>
    </row>
    <row r="449" spans="1:26" ht="15.75">
      <c r="A449" s="7"/>
      <c r="B449" s="7"/>
      <c r="C449" s="6"/>
      <c r="D449" s="6"/>
      <c r="E449" s="6"/>
      <c r="F449" s="6"/>
      <c r="G449" s="7"/>
      <c r="H449" s="7"/>
      <c r="I449" s="7"/>
      <c r="J449" s="7"/>
      <c r="K449" s="7"/>
      <c r="L449" s="6"/>
      <c r="M449" s="10"/>
      <c r="N449" s="10"/>
      <c r="O449" s="10"/>
      <c r="P449" s="6"/>
      <c r="Q449" s="10"/>
      <c r="R449" s="6"/>
      <c r="S449" s="6"/>
      <c r="T449" s="6"/>
      <c r="U449" s="10"/>
      <c r="V449" s="6"/>
      <c r="W449" s="10"/>
      <c r="X449" s="10"/>
      <c r="Y449" s="4"/>
      <c r="Z449" s="4"/>
    </row>
    <row r="450" spans="1:26" ht="15.75">
      <c r="A450" s="7"/>
      <c r="B450" s="7"/>
      <c r="C450" s="6"/>
      <c r="D450" s="6"/>
      <c r="E450" s="6"/>
      <c r="F450" s="6"/>
      <c r="G450" s="7"/>
      <c r="H450" s="7"/>
      <c r="I450" s="7"/>
      <c r="J450" s="7"/>
      <c r="K450" s="7"/>
      <c r="L450" s="6"/>
      <c r="M450" s="10"/>
      <c r="N450" s="10"/>
      <c r="O450" s="10"/>
      <c r="P450" s="6"/>
      <c r="Q450" s="10"/>
      <c r="R450" s="6"/>
      <c r="S450" s="6"/>
      <c r="T450" s="6"/>
      <c r="U450" s="10"/>
      <c r="V450" s="6"/>
      <c r="W450" s="10"/>
      <c r="X450" s="10"/>
      <c r="Y450" s="4"/>
      <c r="Z450" s="4"/>
    </row>
    <row r="451" spans="1:26" ht="15.75">
      <c r="A451" s="7"/>
      <c r="B451" s="7"/>
      <c r="C451" s="6"/>
      <c r="D451" s="6"/>
      <c r="E451" s="6"/>
      <c r="F451" s="6"/>
      <c r="G451" s="7"/>
      <c r="H451" s="7"/>
      <c r="I451" s="7"/>
      <c r="J451" s="7"/>
      <c r="K451" s="7"/>
      <c r="L451" s="6"/>
      <c r="M451" s="10"/>
      <c r="N451" s="10"/>
      <c r="O451" s="10"/>
      <c r="P451" s="6"/>
      <c r="Q451" s="10"/>
      <c r="R451" s="6"/>
      <c r="S451" s="6"/>
      <c r="T451" s="6"/>
      <c r="U451" s="10"/>
      <c r="V451" s="6"/>
      <c r="W451" s="10"/>
      <c r="X451" s="10"/>
      <c r="Y451" s="4"/>
      <c r="Z451" s="4"/>
    </row>
    <row r="452" spans="1:26" ht="15.75">
      <c r="A452" s="7"/>
      <c r="B452" s="7"/>
      <c r="C452" s="6"/>
      <c r="D452" s="6"/>
      <c r="E452" s="6"/>
      <c r="F452" s="6"/>
      <c r="G452" s="7"/>
      <c r="H452" s="7"/>
      <c r="I452" s="7"/>
      <c r="J452" s="7"/>
      <c r="K452" s="7"/>
      <c r="L452" s="6"/>
      <c r="M452" s="10"/>
      <c r="N452" s="10"/>
      <c r="O452" s="10"/>
      <c r="P452" s="6"/>
      <c r="Q452" s="10"/>
      <c r="R452" s="6"/>
      <c r="S452" s="6"/>
      <c r="T452" s="6"/>
      <c r="U452" s="10"/>
      <c r="V452" s="6"/>
      <c r="W452" s="10"/>
      <c r="X452" s="10"/>
      <c r="Y452" s="4"/>
      <c r="Z452" s="4"/>
    </row>
    <row r="453" spans="1:26" ht="15.75">
      <c r="A453" s="7"/>
      <c r="B453" s="7"/>
      <c r="C453" s="6"/>
      <c r="D453" s="6"/>
      <c r="E453" s="6"/>
      <c r="F453" s="6"/>
      <c r="G453" s="7"/>
      <c r="H453" s="7"/>
      <c r="I453" s="7"/>
      <c r="J453" s="7"/>
      <c r="K453" s="7"/>
      <c r="L453" s="6"/>
      <c r="M453" s="10"/>
      <c r="N453" s="10"/>
      <c r="O453" s="10"/>
      <c r="P453" s="6"/>
      <c r="Q453" s="10"/>
      <c r="R453" s="6"/>
      <c r="S453" s="6"/>
      <c r="T453" s="6"/>
      <c r="U453" s="10"/>
      <c r="V453" s="6"/>
      <c r="W453" s="10"/>
      <c r="X453" s="10"/>
      <c r="Y453" s="4"/>
      <c r="Z453" s="4"/>
    </row>
    <row r="454" spans="1:26" ht="15.75">
      <c r="A454" s="7"/>
      <c r="B454" s="7"/>
      <c r="C454" s="6"/>
      <c r="D454" s="6"/>
      <c r="E454" s="6"/>
      <c r="F454" s="6"/>
      <c r="G454" s="7"/>
      <c r="H454" s="7"/>
      <c r="I454" s="7"/>
      <c r="J454" s="7"/>
      <c r="K454" s="7"/>
      <c r="L454" s="6"/>
      <c r="M454" s="10"/>
      <c r="N454" s="10"/>
      <c r="O454" s="10"/>
      <c r="P454" s="6"/>
      <c r="Q454" s="10"/>
      <c r="R454" s="6"/>
      <c r="S454" s="6"/>
      <c r="T454" s="6"/>
      <c r="U454" s="10"/>
      <c r="V454" s="6"/>
      <c r="W454" s="10"/>
      <c r="X454" s="10"/>
      <c r="Y454" s="4"/>
      <c r="Z454" s="4"/>
    </row>
    <row r="455" spans="1:26" ht="15.75">
      <c r="A455" s="7"/>
      <c r="B455" s="7"/>
      <c r="C455" s="6"/>
      <c r="D455" s="6"/>
      <c r="E455" s="6"/>
      <c r="F455" s="6"/>
      <c r="G455" s="7"/>
      <c r="H455" s="7"/>
      <c r="I455" s="7"/>
      <c r="J455" s="7"/>
      <c r="K455" s="7"/>
      <c r="L455" s="6"/>
      <c r="M455" s="10"/>
      <c r="N455" s="10"/>
      <c r="O455" s="10"/>
      <c r="P455" s="6"/>
      <c r="Q455" s="10"/>
      <c r="R455" s="6"/>
      <c r="S455" s="6"/>
      <c r="T455" s="6"/>
      <c r="U455" s="10"/>
      <c r="V455" s="6"/>
      <c r="W455" s="10"/>
      <c r="X455" s="10"/>
      <c r="Y455" s="4"/>
      <c r="Z455" s="4"/>
    </row>
    <row r="456" spans="1:26" ht="15.75">
      <c r="A456" s="7"/>
      <c r="B456" s="7"/>
      <c r="C456" s="6"/>
      <c r="D456" s="6"/>
      <c r="E456" s="6"/>
      <c r="F456" s="6"/>
      <c r="G456" s="7"/>
      <c r="H456" s="7"/>
      <c r="I456" s="7"/>
      <c r="J456" s="7"/>
      <c r="K456" s="7"/>
      <c r="L456" s="6"/>
      <c r="M456" s="10"/>
      <c r="N456" s="10"/>
      <c r="O456" s="10"/>
      <c r="P456" s="6"/>
      <c r="Q456" s="10"/>
      <c r="R456" s="6"/>
      <c r="S456" s="6"/>
      <c r="T456" s="6"/>
      <c r="U456" s="10"/>
      <c r="V456" s="6"/>
      <c r="W456" s="10"/>
      <c r="X456" s="10"/>
      <c r="Y456" s="4"/>
      <c r="Z456" s="4"/>
    </row>
    <row r="457" spans="1:26" ht="15.75">
      <c r="A457" s="7"/>
      <c r="B457" s="7"/>
      <c r="C457" s="6"/>
      <c r="D457" s="6"/>
      <c r="E457" s="6"/>
      <c r="F457" s="6"/>
      <c r="G457" s="7"/>
      <c r="H457" s="7"/>
      <c r="I457" s="7"/>
      <c r="J457" s="7"/>
      <c r="K457" s="7"/>
      <c r="L457" s="6"/>
      <c r="M457" s="10"/>
      <c r="N457" s="10"/>
      <c r="O457" s="10"/>
      <c r="P457" s="6"/>
      <c r="Q457" s="10"/>
      <c r="R457" s="6"/>
      <c r="S457" s="6"/>
      <c r="T457" s="6"/>
      <c r="U457" s="10"/>
      <c r="V457" s="6"/>
      <c r="W457" s="10"/>
      <c r="X457" s="10"/>
      <c r="Y457" s="4"/>
      <c r="Z457" s="4"/>
    </row>
    <row r="458" spans="1:26" ht="15.75">
      <c r="A458" s="7"/>
      <c r="B458" s="7"/>
      <c r="C458" s="6"/>
      <c r="D458" s="6"/>
      <c r="E458" s="6"/>
      <c r="F458" s="6"/>
      <c r="G458" s="7"/>
      <c r="H458" s="7"/>
      <c r="I458" s="7"/>
      <c r="J458" s="7"/>
      <c r="K458" s="7"/>
      <c r="L458" s="6"/>
      <c r="M458" s="10"/>
      <c r="N458" s="10"/>
      <c r="O458" s="10"/>
      <c r="P458" s="6"/>
      <c r="Q458" s="10"/>
      <c r="R458" s="6"/>
      <c r="S458" s="6"/>
      <c r="T458" s="6"/>
      <c r="U458" s="10"/>
      <c r="V458" s="6"/>
      <c r="W458" s="10"/>
      <c r="X458" s="10"/>
      <c r="Y458" s="4"/>
      <c r="Z458" s="4"/>
    </row>
    <row r="459" spans="1:26" ht="15.75">
      <c r="A459" s="7"/>
      <c r="B459" s="7"/>
      <c r="C459" s="6"/>
      <c r="D459" s="6"/>
      <c r="E459" s="6"/>
      <c r="F459" s="6"/>
      <c r="G459" s="7"/>
      <c r="H459" s="7"/>
      <c r="I459" s="7"/>
      <c r="J459" s="7"/>
      <c r="K459" s="7"/>
      <c r="L459" s="6"/>
      <c r="M459" s="10"/>
      <c r="N459" s="10"/>
      <c r="O459" s="10"/>
      <c r="P459" s="6"/>
      <c r="Q459" s="10"/>
      <c r="R459" s="6"/>
      <c r="S459" s="6"/>
      <c r="T459" s="6"/>
      <c r="U459" s="10"/>
      <c r="V459" s="6"/>
      <c r="W459" s="10"/>
      <c r="X459" s="10"/>
      <c r="Y459" s="4"/>
      <c r="Z459" s="4"/>
    </row>
    <row r="460" spans="1:26" ht="15.75">
      <c r="A460" s="7"/>
      <c r="B460" s="7"/>
      <c r="C460" s="6"/>
      <c r="D460" s="6"/>
      <c r="E460" s="6"/>
      <c r="F460" s="6"/>
      <c r="G460" s="7"/>
      <c r="H460" s="7"/>
      <c r="I460" s="7"/>
      <c r="J460" s="7"/>
      <c r="K460" s="7"/>
      <c r="L460" s="6"/>
      <c r="M460" s="10"/>
      <c r="N460" s="10"/>
      <c r="O460" s="10"/>
      <c r="P460" s="6"/>
      <c r="Q460" s="10"/>
      <c r="R460" s="6"/>
      <c r="S460" s="6"/>
      <c r="T460" s="6"/>
      <c r="U460" s="10"/>
      <c r="V460" s="6"/>
      <c r="W460" s="10"/>
      <c r="X460" s="10"/>
      <c r="Y460" s="4"/>
      <c r="Z460" s="4"/>
    </row>
    <row r="461" spans="1:26" ht="15.75">
      <c r="A461" s="7"/>
      <c r="B461" s="7"/>
      <c r="C461" s="6"/>
      <c r="D461" s="6"/>
      <c r="E461" s="6"/>
      <c r="F461" s="6"/>
      <c r="G461" s="7"/>
      <c r="H461" s="7"/>
      <c r="I461" s="7"/>
      <c r="J461" s="7"/>
      <c r="K461" s="7"/>
      <c r="L461" s="6"/>
      <c r="M461" s="10"/>
      <c r="N461" s="10"/>
      <c r="O461" s="10"/>
      <c r="P461" s="6"/>
      <c r="Q461" s="10"/>
      <c r="R461" s="6"/>
      <c r="S461" s="6"/>
      <c r="T461" s="6"/>
      <c r="U461" s="10"/>
      <c r="V461" s="6"/>
      <c r="W461" s="10"/>
      <c r="X461" s="10"/>
      <c r="Y461" s="4"/>
      <c r="Z461" s="4"/>
    </row>
    <row r="462" spans="1:26" ht="15.75">
      <c r="A462" s="7"/>
      <c r="B462" s="7"/>
      <c r="C462" s="6"/>
      <c r="D462" s="6"/>
      <c r="E462" s="6"/>
      <c r="F462" s="6"/>
      <c r="G462" s="7"/>
      <c r="H462" s="7"/>
      <c r="I462" s="7"/>
      <c r="J462" s="7"/>
      <c r="K462" s="7"/>
      <c r="L462" s="6"/>
      <c r="M462" s="10"/>
      <c r="N462" s="10"/>
      <c r="O462" s="10"/>
      <c r="P462" s="6"/>
      <c r="Q462" s="10"/>
      <c r="R462" s="6"/>
      <c r="S462" s="6"/>
      <c r="T462" s="6"/>
      <c r="U462" s="10"/>
      <c r="V462" s="6"/>
      <c r="W462" s="10"/>
      <c r="X462" s="10"/>
      <c r="Y462" s="4"/>
      <c r="Z462" s="4"/>
    </row>
    <row r="463" spans="1:26" ht="15.75">
      <c r="A463" s="7"/>
      <c r="B463" s="7"/>
      <c r="C463" s="6"/>
      <c r="D463" s="6"/>
      <c r="E463" s="6"/>
      <c r="F463" s="6"/>
      <c r="G463" s="7"/>
      <c r="H463" s="7"/>
      <c r="I463" s="7"/>
      <c r="J463" s="7"/>
      <c r="K463" s="7"/>
      <c r="L463" s="6"/>
      <c r="M463" s="10"/>
      <c r="N463" s="10"/>
      <c r="O463" s="10"/>
      <c r="P463" s="6"/>
      <c r="Q463" s="10"/>
      <c r="R463" s="6"/>
      <c r="S463" s="6"/>
      <c r="T463" s="6"/>
      <c r="U463" s="10"/>
      <c r="V463" s="6"/>
      <c r="W463" s="10"/>
      <c r="X463" s="10"/>
      <c r="Y463" s="4"/>
      <c r="Z463" s="4"/>
    </row>
    <row r="464" spans="1:26" ht="15.75">
      <c r="A464" s="7"/>
      <c r="B464" s="7"/>
      <c r="C464" s="6"/>
      <c r="D464" s="6"/>
      <c r="E464" s="6"/>
      <c r="F464" s="6"/>
      <c r="G464" s="7"/>
      <c r="H464" s="7"/>
      <c r="I464" s="7"/>
      <c r="J464" s="7"/>
      <c r="K464" s="7"/>
      <c r="L464" s="6"/>
      <c r="M464" s="10"/>
      <c r="N464" s="10"/>
      <c r="O464" s="10"/>
      <c r="P464" s="6"/>
      <c r="Q464" s="10"/>
      <c r="R464" s="6"/>
      <c r="S464" s="6"/>
      <c r="T464" s="6"/>
      <c r="U464" s="10"/>
      <c r="V464" s="6"/>
      <c r="W464" s="10"/>
      <c r="X464" s="10"/>
      <c r="Y464" s="4"/>
      <c r="Z464" s="4"/>
    </row>
    <row r="465" spans="1:26" ht="15.75">
      <c r="A465" s="7"/>
      <c r="B465" s="7"/>
      <c r="C465" s="6"/>
      <c r="D465" s="6"/>
      <c r="E465" s="6"/>
      <c r="F465" s="6"/>
      <c r="G465" s="7"/>
      <c r="H465" s="7"/>
      <c r="I465" s="7"/>
      <c r="J465" s="7"/>
      <c r="K465" s="7"/>
      <c r="L465" s="6"/>
      <c r="M465" s="10"/>
      <c r="N465" s="10"/>
      <c r="O465" s="10"/>
      <c r="P465" s="6"/>
      <c r="Q465" s="10"/>
      <c r="R465" s="6"/>
      <c r="S465" s="6"/>
      <c r="T465" s="6"/>
      <c r="U465" s="10"/>
      <c r="V465" s="6"/>
      <c r="W465" s="10"/>
      <c r="X465" s="10"/>
      <c r="Y465" s="4"/>
      <c r="Z465" s="4"/>
    </row>
    <row r="466" spans="1:26" ht="15.75">
      <c r="A466" s="7"/>
      <c r="B466" s="7"/>
      <c r="C466" s="6"/>
      <c r="D466" s="6"/>
      <c r="E466" s="6"/>
      <c r="F466" s="6"/>
      <c r="G466" s="7"/>
      <c r="H466" s="7"/>
      <c r="I466" s="7"/>
      <c r="J466" s="7"/>
      <c r="K466" s="7"/>
      <c r="L466" s="6"/>
      <c r="M466" s="10"/>
      <c r="N466" s="10"/>
      <c r="O466" s="10"/>
      <c r="P466" s="6"/>
      <c r="Q466" s="10"/>
      <c r="R466" s="6"/>
      <c r="S466" s="6"/>
      <c r="T466" s="6"/>
      <c r="U466" s="10"/>
      <c r="V466" s="6"/>
      <c r="W466" s="10"/>
      <c r="X466" s="10"/>
      <c r="Y466" s="4"/>
      <c r="Z466" s="4"/>
    </row>
    <row r="467" spans="1:26" ht="15.75">
      <c r="A467" s="7"/>
      <c r="B467" s="7"/>
      <c r="C467" s="6"/>
      <c r="D467" s="6"/>
      <c r="E467" s="6"/>
      <c r="F467" s="6"/>
      <c r="G467" s="7"/>
      <c r="H467" s="7"/>
      <c r="I467" s="7"/>
      <c r="J467" s="7"/>
      <c r="K467" s="7"/>
      <c r="L467" s="6"/>
      <c r="M467" s="10"/>
      <c r="N467" s="10"/>
      <c r="O467" s="10"/>
      <c r="P467" s="6"/>
      <c r="Q467" s="10"/>
      <c r="R467" s="6"/>
      <c r="S467" s="6"/>
      <c r="T467" s="6"/>
      <c r="U467" s="10"/>
      <c r="V467" s="6"/>
      <c r="W467" s="10"/>
      <c r="X467" s="10"/>
      <c r="Y467" s="4"/>
      <c r="Z467" s="4"/>
    </row>
    <row r="468" spans="1:26" ht="15.75">
      <c r="A468" s="7"/>
      <c r="B468" s="7"/>
      <c r="C468" s="6"/>
      <c r="D468" s="6"/>
      <c r="E468" s="6"/>
      <c r="F468" s="6"/>
      <c r="G468" s="7"/>
      <c r="H468" s="7"/>
      <c r="I468" s="7"/>
      <c r="J468" s="7"/>
      <c r="K468" s="7"/>
      <c r="L468" s="6"/>
      <c r="M468" s="10"/>
      <c r="N468" s="10"/>
      <c r="O468" s="10"/>
      <c r="P468" s="6"/>
      <c r="Q468" s="10"/>
      <c r="R468" s="6"/>
      <c r="S468" s="6"/>
      <c r="T468" s="6"/>
      <c r="U468" s="10"/>
      <c r="V468" s="6"/>
      <c r="W468" s="10"/>
      <c r="X468" s="10"/>
      <c r="Y468" s="4"/>
      <c r="Z468" s="4"/>
    </row>
    <row r="469" spans="1:26" ht="15.75">
      <c r="A469" s="7"/>
      <c r="B469" s="7"/>
      <c r="C469" s="6"/>
      <c r="D469" s="6"/>
      <c r="E469" s="6"/>
      <c r="F469" s="6"/>
      <c r="G469" s="7"/>
      <c r="H469" s="7"/>
      <c r="I469" s="7"/>
      <c r="J469" s="7"/>
      <c r="K469" s="7"/>
      <c r="L469" s="6"/>
      <c r="M469" s="10"/>
      <c r="N469" s="10"/>
      <c r="O469" s="10"/>
      <c r="P469" s="6"/>
      <c r="Q469" s="10"/>
      <c r="R469" s="6"/>
      <c r="S469" s="6"/>
      <c r="T469" s="6"/>
      <c r="U469" s="10"/>
      <c r="V469" s="6"/>
      <c r="W469" s="10"/>
      <c r="X469" s="10"/>
      <c r="Y469" s="4"/>
      <c r="Z469" s="4"/>
    </row>
    <row r="470" spans="1:26" ht="15.75">
      <c r="A470" s="7"/>
      <c r="B470" s="7"/>
      <c r="C470" s="6"/>
      <c r="D470" s="6"/>
      <c r="E470" s="6"/>
      <c r="F470" s="6"/>
      <c r="G470" s="7"/>
      <c r="H470" s="7"/>
      <c r="I470" s="7"/>
      <c r="J470" s="7"/>
      <c r="K470" s="7"/>
      <c r="L470" s="6"/>
      <c r="M470" s="10"/>
      <c r="N470" s="10"/>
      <c r="O470" s="10"/>
      <c r="P470" s="6"/>
      <c r="Q470" s="10"/>
      <c r="R470" s="6"/>
      <c r="S470" s="6"/>
      <c r="T470" s="6"/>
      <c r="U470" s="10"/>
      <c r="V470" s="6"/>
      <c r="W470" s="10"/>
      <c r="X470" s="10"/>
      <c r="Y470" s="4"/>
      <c r="Z470" s="4"/>
    </row>
    <row r="471" spans="1:26" ht="15.75">
      <c r="A471" s="7"/>
      <c r="B471" s="7"/>
      <c r="C471" s="6"/>
      <c r="D471" s="6"/>
      <c r="E471" s="6"/>
      <c r="F471" s="6"/>
      <c r="G471" s="7"/>
      <c r="H471" s="7"/>
      <c r="I471" s="7"/>
      <c r="J471" s="7"/>
      <c r="K471" s="7"/>
      <c r="L471" s="6"/>
      <c r="M471" s="10"/>
      <c r="N471" s="10"/>
      <c r="O471" s="10"/>
      <c r="P471" s="6"/>
      <c r="Q471" s="10"/>
      <c r="R471" s="6"/>
      <c r="S471" s="6"/>
      <c r="T471" s="6"/>
      <c r="U471" s="10"/>
      <c r="V471" s="6"/>
      <c r="W471" s="10"/>
      <c r="X471" s="10"/>
      <c r="Y471" s="4"/>
      <c r="Z471" s="4"/>
    </row>
    <row r="472" spans="1:26" ht="15.75">
      <c r="A472" s="7"/>
      <c r="B472" s="7"/>
      <c r="C472" s="6"/>
      <c r="D472" s="6"/>
      <c r="E472" s="6"/>
      <c r="F472" s="6"/>
      <c r="G472" s="7"/>
      <c r="H472" s="7"/>
      <c r="I472" s="7"/>
      <c r="J472" s="7"/>
      <c r="K472" s="7"/>
      <c r="L472" s="6"/>
      <c r="M472" s="10"/>
      <c r="N472" s="10"/>
      <c r="O472" s="10"/>
      <c r="P472" s="6"/>
      <c r="Q472" s="10"/>
      <c r="R472" s="6"/>
      <c r="S472" s="6"/>
      <c r="T472" s="6"/>
      <c r="U472" s="10"/>
      <c r="V472" s="6"/>
      <c r="W472" s="10"/>
      <c r="X472" s="10"/>
      <c r="Y472" s="4"/>
      <c r="Z472" s="4"/>
    </row>
    <row r="473" spans="1:26" ht="15.75">
      <c r="A473" s="7"/>
      <c r="B473" s="7"/>
      <c r="C473" s="6"/>
      <c r="D473" s="6"/>
      <c r="E473" s="6"/>
      <c r="F473" s="6"/>
      <c r="G473" s="7"/>
      <c r="H473" s="7"/>
      <c r="I473" s="7"/>
      <c r="J473" s="7"/>
      <c r="K473" s="7"/>
      <c r="L473" s="6"/>
      <c r="M473" s="10"/>
      <c r="N473" s="10"/>
      <c r="O473" s="10"/>
      <c r="P473" s="6"/>
      <c r="Q473" s="10"/>
      <c r="R473" s="6"/>
      <c r="S473" s="6"/>
      <c r="T473" s="6"/>
      <c r="U473" s="10"/>
      <c r="V473" s="6"/>
      <c r="W473" s="10"/>
      <c r="X473" s="10"/>
      <c r="Y473" s="4"/>
      <c r="Z473" s="4"/>
    </row>
    <row r="474" spans="1:26" ht="15.75">
      <c r="A474" s="7"/>
      <c r="B474" s="7"/>
      <c r="C474" s="6"/>
      <c r="D474" s="6"/>
      <c r="E474" s="6"/>
      <c r="F474" s="6"/>
      <c r="G474" s="7"/>
      <c r="H474" s="7"/>
      <c r="I474" s="7"/>
      <c r="J474" s="7"/>
      <c r="K474" s="7"/>
      <c r="L474" s="6"/>
      <c r="M474" s="10"/>
      <c r="N474" s="10"/>
      <c r="O474" s="10"/>
      <c r="P474" s="6"/>
      <c r="Q474" s="10"/>
      <c r="R474" s="6"/>
      <c r="S474" s="6"/>
      <c r="T474" s="6"/>
      <c r="U474" s="10"/>
      <c r="V474" s="6"/>
      <c r="W474" s="10"/>
      <c r="X474" s="10"/>
      <c r="Y474" s="4"/>
      <c r="Z474" s="4"/>
    </row>
    <row r="475" spans="1:26" ht="15.75">
      <c r="A475" s="7"/>
      <c r="B475" s="7"/>
      <c r="C475" s="6"/>
      <c r="D475" s="6"/>
      <c r="E475" s="6"/>
      <c r="F475" s="6"/>
      <c r="G475" s="7"/>
      <c r="H475" s="7"/>
      <c r="I475" s="7"/>
      <c r="J475" s="7"/>
      <c r="K475" s="7"/>
      <c r="L475" s="6"/>
      <c r="M475" s="10"/>
      <c r="N475" s="10"/>
      <c r="O475" s="10"/>
      <c r="P475" s="6"/>
      <c r="Q475" s="10"/>
      <c r="R475" s="6"/>
      <c r="S475" s="6"/>
      <c r="T475" s="6"/>
      <c r="U475" s="10"/>
      <c r="V475" s="6"/>
      <c r="W475" s="10"/>
      <c r="X475" s="10"/>
      <c r="Y475" s="4"/>
      <c r="Z475" s="4"/>
    </row>
    <row r="476" spans="1:26" ht="15.75">
      <c r="A476" s="7"/>
      <c r="B476" s="7"/>
      <c r="C476" s="6"/>
      <c r="D476" s="6"/>
      <c r="E476" s="6"/>
      <c r="F476" s="6"/>
      <c r="G476" s="7"/>
      <c r="H476" s="7"/>
      <c r="I476" s="7"/>
      <c r="J476" s="7"/>
      <c r="K476" s="7"/>
      <c r="L476" s="6"/>
      <c r="M476" s="10"/>
      <c r="N476" s="10"/>
      <c r="O476" s="10"/>
      <c r="P476" s="6"/>
      <c r="Q476" s="10"/>
      <c r="R476" s="6"/>
      <c r="S476" s="6"/>
      <c r="T476" s="6"/>
      <c r="U476" s="10"/>
      <c r="V476" s="6"/>
      <c r="W476" s="10"/>
      <c r="X476" s="10"/>
      <c r="Y476" s="4"/>
      <c r="Z476" s="4"/>
    </row>
    <row r="477" spans="1:26" ht="15.75">
      <c r="A477" s="7"/>
      <c r="B477" s="7"/>
      <c r="C477" s="6"/>
      <c r="D477" s="6"/>
      <c r="E477" s="6"/>
      <c r="F477" s="6"/>
      <c r="G477" s="7"/>
      <c r="H477" s="7"/>
      <c r="I477" s="7"/>
      <c r="J477" s="7"/>
      <c r="K477" s="7"/>
      <c r="L477" s="6"/>
      <c r="M477" s="10"/>
      <c r="N477" s="10"/>
      <c r="O477" s="10"/>
      <c r="P477" s="6"/>
      <c r="Q477" s="10"/>
      <c r="R477" s="6"/>
      <c r="S477" s="6"/>
      <c r="T477" s="6"/>
      <c r="U477" s="10"/>
      <c r="V477" s="6"/>
      <c r="W477" s="10"/>
      <c r="X477" s="10"/>
      <c r="Y477" s="4"/>
      <c r="Z477" s="4"/>
    </row>
    <row r="478" spans="1:26" ht="15.75">
      <c r="A478" s="7"/>
      <c r="B478" s="7"/>
      <c r="C478" s="6"/>
      <c r="D478" s="6"/>
      <c r="E478" s="6"/>
      <c r="F478" s="6"/>
      <c r="G478" s="7"/>
      <c r="H478" s="7"/>
      <c r="I478" s="7"/>
      <c r="J478" s="7"/>
      <c r="K478" s="7"/>
      <c r="L478" s="6"/>
      <c r="M478" s="10"/>
      <c r="N478" s="10"/>
      <c r="O478" s="10"/>
      <c r="P478" s="6"/>
      <c r="Q478" s="10"/>
      <c r="R478" s="6"/>
      <c r="S478" s="6"/>
      <c r="T478" s="6"/>
      <c r="U478" s="10"/>
      <c r="V478" s="6"/>
      <c r="W478" s="10"/>
      <c r="X478" s="10"/>
      <c r="Y478" s="4"/>
      <c r="Z478" s="4"/>
    </row>
    <row r="479" spans="1:26" ht="15.75">
      <c r="A479" s="7"/>
      <c r="B479" s="7"/>
      <c r="C479" s="6"/>
      <c r="D479" s="6"/>
      <c r="E479" s="6"/>
      <c r="F479" s="6"/>
      <c r="G479" s="7"/>
      <c r="H479" s="7"/>
      <c r="I479" s="7"/>
      <c r="J479" s="7"/>
      <c r="K479" s="7"/>
      <c r="L479" s="6"/>
      <c r="M479" s="10"/>
      <c r="N479" s="10"/>
      <c r="O479" s="10"/>
      <c r="P479" s="6"/>
      <c r="Q479" s="10"/>
      <c r="R479" s="6"/>
      <c r="S479" s="6"/>
      <c r="T479" s="6"/>
      <c r="U479" s="10"/>
      <c r="V479" s="6"/>
      <c r="W479" s="10"/>
      <c r="X479" s="10"/>
      <c r="Y479" s="4"/>
      <c r="Z479" s="4"/>
    </row>
    <row r="480" spans="1:26" ht="15.75">
      <c r="A480" s="7"/>
      <c r="B480" s="7"/>
      <c r="C480" s="6"/>
      <c r="D480" s="6"/>
      <c r="E480" s="6"/>
      <c r="F480" s="6"/>
      <c r="G480" s="7"/>
      <c r="H480" s="7"/>
      <c r="I480" s="7"/>
      <c r="J480" s="7"/>
      <c r="K480" s="7"/>
      <c r="L480" s="6"/>
      <c r="M480" s="10"/>
      <c r="N480" s="10"/>
      <c r="O480" s="10"/>
      <c r="P480" s="6"/>
      <c r="Q480" s="10"/>
      <c r="R480" s="6"/>
      <c r="S480" s="6"/>
      <c r="T480" s="6"/>
      <c r="U480" s="10"/>
      <c r="V480" s="6"/>
      <c r="W480" s="10"/>
      <c r="X480" s="10"/>
      <c r="Y480" s="4"/>
      <c r="Z480" s="4"/>
    </row>
    <row r="481" spans="1:26" ht="15.75">
      <c r="A481" s="7"/>
      <c r="B481" s="7"/>
      <c r="C481" s="6"/>
      <c r="D481" s="6"/>
      <c r="E481" s="6"/>
      <c r="F481" s="6"/>
      <c r="G481" s="7"/>
      <c r="H481" s="7"/>
      <c r="I481" s="7"/>
      <c r="J481" s="7"/>
      <c r="K481" s="7"/>
      <c r="L481" s="6"/>
      <c r="M481" s="10"/>
      <c r="N481" s="10"/>
      <c r="O481" s="10"/>
      <c r="P481" s="6"/>
      <c r="Q481" s="10"/>
      <c r="R481" s="6"/>
      <c r="S481" s="6"/>
      <c r="T481" s="6"/>
      <c r="U481" s="10"/>
      <c r="V481" s="6"/>
      <c r="W481" s="10"/>
      <c r="X481" s="10"/>
      <c r="Y481" s="4"/>
      <c r="Z481" s="4"/>
    </row>
    <row r="482" spans="1:26" ht="15.75">
      <c r="A482" s="7"/>
      <c r="B482" s="7"/>
      <c r="C482" s="6"/>
      <c r="D482" s="6"/>
      <c r="E482" s="6"/>
      <c r="F482" s="6"/>
      <c r="G482" s="7"/>
      <c r="H482" s="7"/>
      <c r="I482" s="7"/>
      <c r="J482" s="7"/>
      <c r="K482" s="7"/>
      <c r="L482" s="6"/>
      <c r="M482" s="10"/>
      <c r="N482" s="10"/>
      <c r="O482" s="10"/>
      <c r="P482" s="6"/>
      <c r="Q482" s="10"/>
      <c r="R482" s="6"/>
      <c r="S482" s="6"/>
      <c r="T482" s="6"/>
      <c r="U482" s="10"/>
      <c r="V482" s="6"/>
      <c r="W482" s="10"/>
      <c r="X482" s="10"/>
      <c r="Y482" s="4"/>
      <c r="Z482" s="4"/>
    </row>
    <row r="483" spans="1:26" ht="15.75">
      <c r="A483" s="7"/>
      <c r="B483" s="7"/>
      <c r="C483" s="6"/>
      <c r="D483" s="6"/>
      <c r="E483" s="6"/>
      <c r="F483" s="6"/>
      <c r="G483" s="7"/>
      <c r="H483" s="7"/>
      <c r="I483" s="7"/>
      <c r="J483" s="7"/>
      <c r="K483" s="7"/>
      <c r="L483" s="6"/>
      <c r="M483" s="10"/>
      <c r="N483" s="10"/>
      <c r="O483" s="10"/>
      <c r="P483" s="6"/>
      <c r="Q483" s="10"/>
      <c r="R483" s="6"/>
      <c r="S483" s="6"/>
      <c r="T483" s="6"/>
      <c r="U483" s="10"/>
      <c r="V483" s="6"/>
      <c r="W483" s="10"/>
      <c r="X483" s="10"/>
      <c r="Y483" s="4"/>
      <c r="Z483" s="4"/>
    </row>
    <row r="484" spans="1:26" ht="15.75">
      <c r="A484" s="7"/>
      <c r="B484" s="7"/>
      <c r="C484" s="6"/>
      <c r="D484" s="6"/>
      <c r="E484" s="6"/>
      <c r="F484" s="6"/>
      <c r="G484" s="7"/>
      <c r="H484" s="7"/>
      <c r="I484" s="7"/>
      <c r="J484" s="7"/>
      <c r="K484" s="7"/>
      <c r="L484" s="6"/>
      <c r="M484" s="10"/>
      <c r="N484" s="10"/>
      <c r="O484" s="10"/>
      <c r="P484" s="6"/>
      <c r="Q484" s="10"/>
      <c r="R484" s="6"/>
      <c r="S484" s="6"/>
      <c r="T484" s="6"/>
      <c r="U484" s="10"/>
      <c r="V484" s="6"/>
      <c r="W484" s="10"/>
      <c r="X484" s="10"/>
      <c r="Y484" s="4"/>
      <c r="Z484" s="4"/>
    </row>
    <row r="485" spans="1:26" ht="15.75">
      <c r="A485" s="7"/>
      <c r="B485" s="7"/>
      <c r="C485" s="6"/>
      <c r="D485" s="6"/>
      <c r="E485" s="6"/>
      <c r="F485" s="6"/>
      <c r="G485" s="7"/>
      <c r="H485" s="7"/>
      <c r="I485" s="7"/>
      <c r="J485" s="7"/>
      <c r="K485" s="7"/>
      <c r="L485" s="6"/>
      <c r="M485" s="10"/>
      <c r="N485" s="10"/>
      <c r="O485" s="10"/>
      <c r="P485" s="6"/>
      <c r="Q485" s="10"/>
      <c r="R485" s="6"/>
      <c r="S485" s="6"/>
      <c r="T485" s="6"/>
      <c r="U485" s="10"/>
      <c r="V485" s="6"/>
      <c r="W485" s="10"/>
      <c r="X485" s="10"/>
      <c r="Y485" s="4"/>
      <c r="Z485" s="4"/>
    </row>
    <row r="486" spans="1:26" ht="15.75">
      <c r="A486" s="7"/>
      <c r="B486" s="7"/>
      <c r="C486" s="6"/>
      <c r="D486" s="6"/>
      <c r="E486" s="6"/>
      <c r="F486" s="6"/>
      <c r="G486" s="7"/>
      <c r="H486" s="7"/>
      <c r="I486" s="7"/>
      <c r="J486" s="7"/>
      <c r="K486" s="7"/>
      <c r="L486" s="6"/>
      <c r="M486" s="10"/>
      <c r="N486" s="10"/>
      <c r="O486" s="10"/>
      <c r="P486" s="6"/>
      <c r="Q486" s="10"/>
      <c r="R486" s="6"/>
      <c r="S486" s="6"/>
      <c r="T486" s="6"/>
      <c r="U486" s="10"/>
      <c r="V486" s="6"/>
      <c r="W486" s="10"/>
      <c r="X486" s="10"/>
      <c r="Y486" s="4"/>
      <c r="Z486" s="4"/>
    </row>
    <row r="487" spans="1:26" ht="15.75">
      <c r="A487" s="7"/>
      <c r="B487" s="7"/>
      <c r="C487" s="6"/>
      <c r="D487" s="6"/>
      <c r="E487" s="6"/>
      <c r="F487" s="6"/>
      <c r="G487" s="7"/>
      <c r="H487" s="7"/>
      <c r="I487" s="7"/>
      <c r="J487" s="7"/>
      <c r="K487" s="7"/>
      <c r="L487" s="6"/>
      <c r="M487" s="10"/>
      <c r="N487" s="10"/>
      <c r="O487" s="10"/>
      <c r="P487" s="6"/>
      <c r="Q487" s="10"/>
      <c r="R487" s="6"/>
      <c r="S487" s="6"/>
      <c r="T487" s="6"/>
      <c r="U487" s="10"/>
      <c r="V487" s="6"/>
      <c r="W487" s="10"/>
      <c r="X487" s="10"/>
      <c r="Y487" s="4"/>
      <c r="Z487" s="4"/>
    </row>
    <row r="488" spans="1:26" ht="15.75">
      <c r="A488" s="7"/>
      <c r="B488" s="7"/>
      <c r="C488" s="6"/>
      <c r="D488" s="6"/>
      <c r="E488" s="6"/>
      <c r="F488" s="6"/>
      <c r="G488" s="7"/>
      <c r="H488" s="7"/>
      <c r="I488" s="7"/>
      <c r="J488" s="7"/>
      <c r="K488" s="7"/>
      <c r="L488" s="6"/>
      <c r="M488" s="10"/>
      <c r="N488" s="10"/>
      <c r="O488" s="10"/>
      <c r="P488" s="6"/>
      <c r="Q488" s="10"/>
      <c r="R488" s="6"/>
      <c r="S488" s="6"/>
      <c r="T488" s="6"/>
      <c r="U488" s="10"/>
      <c r="V488" s="6"/>
      <c r="W488" s="10"/>
      <c r="X488" s="10"/>
      <c r="Y488" s="4"/>
      <c r="Z488" s="4"/>
    </row>
    <row r="489" spans="1:26" ht="15.75">
      <c r="A489" s="7"/>
      <c r="B489" s="7"/>
      <c r="C489" s="6"/>
      <c r="D489" s="6"/>
      <c r="E489" s="6"/>
      <c r="F489" s="6"/>
      <c r="G489" s="7"/>
      <c r="H489" s="7"/>
      <c r="I489" s="7"/>
      <c r="J489" s="7"/>
      <c r="K489" s="7"/>
      <c r="L489" s="6"/>
      <c r="M489" s="10"/>
      <c r="N489" s="10"/>
      <c r="O489" s="10"/>
      <c r="P489" s="6"/>
      <c r="Q489" s="10"/>
      <c r="R489" s="6"/>
      <c r="S489" s="6"/>
      <c r="T489" s="6"/>
      <c r="U489" s="10"/>
      <c r="V489" s="6"/>
      <c r="W489" s="10"/>
      <c r="X489" s="10"/>
      <c r="Y489" s="4"/>
      <c r="Z489" s="4"/>
    </row>
    <row r="490" spans="1:26" ht="15.75">
      <c r="A490" s="7"/>
      <c r="B490" s="7"/>
      <c r="C490" s="6"/>
      <c r="D490" s="6"/>
      <c r="E490" s="6"/>
      <c r="F490" s="6"/>
      <c r="G490" s="7"/>
      <c r="H490" s="7"/>
      <c r="I490" s="7"/>
      <c r="J490" s="7"/>
      <c r="K490" s="7"/>
      <c r="L490" s="6"/>
      <c r="M490" s="10"/>
      <c r="N490" s="10"/>
      <c r="O490" s="10"/>
      <c r="P490" s="6"/>
      <c r="Q490" s="10"/>
      <c r="R490" s="6"/>
      <c r="S490" s="6"/>
      <c r="T490" s="6"/>
      <c r="U490" s="10"/>
      <c r="V490" s="6"/>
      <c r="W490" s="10"/>
      <c r="X490" s="10"/>
      <c r="Y490" s="4"/>
      <c r="Z490" s="4"/>
    </row>
    <row r="491" spans="1:26" ht="15.75">
      <c r="A491" s="7"/>
      <c r="B491" s="7"/>
      <c r="C491" s="6"/>
      <c r="D491" s="6"/>
      <c r="E491" s="6"/>
      <c r="F491" s="6"/>
      <c r="G491" s="7"/>
      <c r="H491" s="7"/>
      <c r="I491" s="7"/>
      <c r="J491" s="7"/>
      <c r="K491" s="7"/>
      <c r="L491" s="6"/>
      <c r="M491" s="10"/>
      <c r="N491" s="10"/>
      <c r="O491" s="10"/>
      <c r="P491" s="6"/>
      <c r="Q491" s="10"/>
      <c r="R491" s="6"/>
      <c r="S491" s="6"/>
      <c r="T491" s="6"/>
      <c r="U491" s="10"/>
      <c r="V491" s="6"/>
      <c r="W491" s="10"/>
      <c r="X491" s="10"/>
      <c r="Y491" s="4"/>
      <c r="Z491" s="4"/>
    </row>
    <row r="492" spans="1:26" ht="15.75">
      <c r="A492" s="7"/>
      <c r="B492" s="7"/>
      <c r="C492" s="6"/>
      <c r="D492" s="6"/>
      <c r="E492" s="6"/>
      <c r="F492" s="6"/>
      <c r="G492" s="7"/>
      <c r="H492" s="7"/>
      <c r="I492" s="7"/>
      <c r="J492" s="7"/>
      <c r="K492" s="7"/>
      <c r="L492" s="6"/>
      <c r="M492" s="10"/>
      <c r="N492" s="10"/>
      <c r="O492" s="10"/>
      <c r="P492" s="6"/>
      <c r="Q492" s="10"/>
      <c r="R492" s="6"/>
      <c r="S492" s="6"/>
      <c r="T492" s="6"/>
      <c r="U492" s="10"/>
      <c r="V492" s="6"/>
      <c r="W492" s="10"/>
      <c r="X492" s="10"/>
      <c r="Y492" s="4"/>
      <c r="Z492" s="4"/>
    </row>
    <row r="493" spans="1:26" ht="15.75">
      <c r="A493" s="7"/>
      <c r="B493" s="7"/>
      <c r="C493" s="6"/>
      <c r="D493" s="6"/>
      <c r="E493" s="6"/>
      <c r="F493" s="6"/>
      <c r="G493" s="7"/>
      <c r="H493" s="7"/>
      <c r="I493" s="7"/>
      <c r="J493" s="7"/>
      <c r="K493" s="7"/>
      <c r="L493" s="6"/>
      <c r="M493" s="10"/>
      <c r="N493" s="10"/>
      <c r="O493" s="10"/>
      <c r="P493" s="6"/>
      <c r="Q493" s="10"/>
      <c r="R493" s="6"/>
      <c r="S493" s="6"/>
      <c r="T493" s="6"/>
      <c r="U493" s="10"/>
      <c r="V493" s="6"/>
      <c r="W493" s="10"/>
      <c r="X493" s="10"/>
      <c r="Y493" s="4"/>
      <c r="Z493" s="4"/>
    </row>
    <row r="494" spans="1:26" ht="15.75">
      <c r="A494" s="7"/>
      <c r="B494" s="7"/>
      <c r="C494" s="6"/>
      <c r="D494" s="6"/>
      <c r="E494" s="6"/>
      <c r="F494" s="6"/>
      <c r="G494" s="7"/>
      <c r="H494" s="7"/>
      <c r="I494" s="7"/>
      <c r="J494" s="7"/>
      <c r="K494" s="7"/>
      <c r="L494" s="6"/>
      <c r="M494" s="10"/>
      <c r="N494" s="10"/>
      <c r="O494" s="10"/>
      <c r="P494" s="6"/>
      <c r="Q494" s="10"/>
      <c r="R494" s="6"/>
      <c r="S494" s="6"/>
      <c r="T494" s="6"/>
      <c r="U494" s="10"/>
      <c r="V494" s="6"/>
      <c r="W494" s="10"/>
      <c r="X494" s="10"/>
      <c r="Y494" s="4"/>
      <c r="Z494" s="4"/>
    </row>
    <row r="495" spans="1:26" ht="15.75">
      <c r="A495" s="7"/>
      <c r="B495" s="7"/>
      <c r="C495" s="6"/>
      <c r="D495" s="6"/>
      <c r="E495" s="6"/>
      <c r="F495" s="6"/>
      <c r="G495" s="7"/>
      <c r="H495" s="7"/>
      <c r="I495" s="7"/>
      <c r="J495" s="7"/>
      <c r="K495" s="7"/>
      <c r="L495" s="6"/>
      <c r="M495" s="10"/>
      <c r="N495" s="10"/>
      <c r="O495" s="10"/>
      <c r="P495" s="6"/>
      <c r="Q495" s="10"/>
      <c r="R495" s="6"/>
      <c r="S495" s="6"/>
      <c r="T495" s="6"/>
      <c r="U495" s="10"/>
      <c r="V495" s="6"/>
      <c r="W495" s="10"/>
      <c r="X495" s="10"/>
      <c r="Y495" s="4"/>
      <c r="Z495" s="4"/>
    </row>
    <row r="496" spans="1:26" ht="15.75">
      <c r="A496" s="7"/>
      <c r="B496" s="7"/>
      <c r="C496" s="6"/>
      <c r="D496" s="6"/>
      <c r="E496" s="6"/>
      <c r="F496" s="6"/>
      <c r="G496" s="7"/>
      <c r="H496" s="7"/>
      <c r="I496" s="7"/>
      <c r="J496" s="7"/>
      <c r="K496" s="7"/>
      <c r="L496" s="6"/>
      <c r="M496" s="10"/>
      <c r="N496" s="10"/>
      <c r="O496" s="10"/>
      <c r="P496" s="6"/>
      <c r="Q496" s="10"/>
      <c r="R496" s="6"/>
      <c r="S496" s="6"/>
      <c r="T496" s="6"/>
      <c r="U496" s="10"/>
      <c r="V496" s="6"/>
      <c r="W496" s="10"/>
      <c r="X496" s="10"/>
      <c r="Y496" s="4"/>
      <c r="Z496" s="4"/>
    </row>
    <row r="497" spans="1:26" ht="15.75">
      <c r="A497" s="7"/>
      <c r="B497" s="7"/>
      <c r="C497" s="6"/>
      <c r="D497" s="6"/>
      <c r="E497" s="6"/>
      <c r="F497" s="6"/>
      <c r="G497" s="7"/>
      <c r="H497" s="7"/>
      <c r="I497" s="7"/>
      <c r="J497" s="7"/>
      <c r="K497" s="7"/>
      <c r="L497" s="6"/>
      <c r="M497" s="10"/>
      <c r="N497" s="10"/>
      <c r="O497" s="10"/>
      <c r="P497" s="6"/>
      <c r="Q497" s="10"/>
      <c r="R497" s="6"/>
      <c r="S497" s="6"/>
      <c r="T497" s="6"/>
      <c r="U497" s="10"/>
      <c r="V497" s="6"/>
      <c r="W497" s="10"/>
      <c r="X497" s="10"/>
      <c r="Y497" s="4"/>
      <c r="Z497" s="4"/>
    </row>
    <row r="498" spans="1:26" ht="15.75">
      <c r="A498" s="7"/>
      <c r="B498" s="7"/>
      <c r="C498" s="6"/>
      <c r="D498" s="6"/>
      <c r="E498" s="6"/>
      <c r="F498" s="6"/>
      <c r="G498" s="7"/>
      <c r="H498" s="7"/>
      <c r="I498" s="7"/>
      <c r="J498" s="7"/>
      <c r="K498" s="7"/>
      <c r="L498" s="6"/>
      <c r="M498" s="10"/>
      <c r="N498" s="10"/>
      <c r="O498" s="10"/>
      <c r="P498" s="6"/>
      <c r="Q498" s="10"/>
      <c r="R498" s="6"/>
      <c r="S498" s="6"/>
      <c r="T498" s="6"/>
      <c r="U498" s="10"/>
      <c r="V498" s="6"/>
      <c r="W498" s="10"/>
      <c r="X498" s="10"/>
      <c r="Y498" s="4"/>
      <c r="Z498" s="4"/>
    </row>
    <row r="499" spans="1:26" ht="15.75">
      <c r="A499" s="7"/>
      <c r="B499" s="7"/>
      <c r="C499" s="6"/>
      <c r="D499" s="6"/>
      <c r="E499" s="6"/>
      <c r="F499" s="6"/>
      <c r="G499" s="7"/>
      <c r="H499" s="7"/>
      <c r="I499" s="7"/>
      <c r="J499" s="7"/>
      <c r="K499" s="7"/>
      <c r="L499" s="6"/>
      <c r="M499" s="10"/>
      <c r="N499" s="10"/>
      <c r="O499" s="10"/>
      <c r="P499" s="6"/>
      <c r="Q499" s="10"/>
      <c r="R499" s="6"/>
      <c r="S499" s="6"/>
      <c r="T499" s="6"/>
      <c r="U499" s="10"/>
      <c r="V499" s="6"/>
      <c r="W499" s="10"/>
      <c r="X499" s="10"/>
      <c r="Y499" s="4"/>
      <c r="Z499" s="4"/>
    </row>
    <row r="500" spans="1:26" ht="15.75">
      <c r="A500" s="7"/>
      <c r="B500" s="7"/>
      <c r="C500" s="6"/>
      <c r="D500" s="6"/>
      <c r="E500" s="6"/>
      <c r="F500" s="6"/>
      <c r="G500" s="7"/>
      <c r="H500" s="7"/>
      <c r="I500" s="7"/>
      <c r="J500" s="7"/>
      <c r="K500" s="7"/>
      <c r="L500" s="6"/>
      <c r="M500" s="10"/>
      <c r="N500" s="10"/>
      <c r="O500" s="10"/>
      <c r="P500" s="6"/>
      <c r="Q500" s="10"/>
      <c r="R500" s="6"/>
      <c r="S500" s="6"/>
      <c r="T500" s="6"/>
      <c r="U500" s="10"/>
      <c r="V500" s="6"/>
      <c r="W500" s="10"/>
      <c r="X500" s="10"/>
      <c r="Y500" s="4"/>
      <c r="Z500" s="4"/>
    </row>
    <row r="501" spans="1:26" ht="15.75">
      <c r="A501" s="7"/>
      <c r="B501" s="7"/>
      <c r="C501" s="6"/>
      <c r="D501" s="6"/>
      <c r="E501" s="6"/>
      <c r="F501" s="6"/>
      <c r="G501" s="7"/>
      <c r="H501" s="7"/>
      <c r="I501" s="7"/>
      <c r="J501" s="7"/>
      <c r="K501" s="7"/>
      <c r="L501" s="6"/>
      <c r="M501" s="10"/>
      <c r="N501" s="10"/>
      <c r="O501" s="10"/>
      <c r="P501" s="6"/>
      <c r="Q501" s="10"/>
      <c r="R501" s="6"/>
      <c r="S501" s="6"/>
      <c r="T501" s="6"/>
      <c r="U501" s="10"/>
      <c r="V501" s="6"/>
      <c r="W501" s="10"/>
      <c r="X501" s="10"/>
      <c r="Y501" s="4"/>
      <c r="Z501" s="4"/>
    </row>
    <row r="502" spans="1:26" ht="15.75">
      <c r="A502" s="7"/>
      <c r="B502" s="7"/>
      <c r="C502" s="6"/>
      <c r="D502" s="6"/>
      <c r="E502" s="6"/>
      <c r="F502" s="6"/>
      <c r="G502" s="7"/>
      <c r="H502" s="7"/>
      <c r="I502" s="7"/>
      <c r="J502" s="7"/>
      <c r="K502" s="7"/>
      <c r="L502" s="6"/>
      <c r="M502" s="10"/>
      <c r="N502" s="10"/>
      <c r="O502" s="10"/>
      <c r="P502" s="6"/>
      <c r="Q502" s="10"/>
      <c r="R502" s="6"/>
      <c r="S502" s="6"/>
      <c r="T502" s="6"/>
      <c r="U502" s="10"/>
      <c r="V502" s="6"/>
      <c r="W502" s="10"/>
      <c r="X502" s="10"/>
      <c r="Y502" s="4"/>
      <c r="Z502" s="4"/>
    </row>
    <row r="503" spans="1:26" ht="15.75">
      <c r="A503" s="7"/>
      <c r="B503" s="7"/>
      <c r="C503" s="6"/>
      <c r="D503" s="6"/>
      <c r="E503" s="6"/>
      <c r="F503" s="6"/>
      <c r="G503" s="7"/>
      <c r="H503" s="7"/>
      <c r="I503" s="7"/>
      <c r="J503" s="7"/>
      <c r="K503" s="7"/>
      <c r="L503" s="6"/>
      <c r="M503" s="10"/>
      <c r="N503" s="10"/>
      <c r="O503" s="10"/>
      <c r="P503" s="6"/>
      <c r="Q503" s="10"/>
      <c r="R503" s="6"/>
      <c r="S503" s="6"/>
      <c r="T503" s="6"/>
      <c r="U503" s="10"/>
      <c r="V503" s="6"/>
      <c r="W503" s="10"/>
      <c r="X503" s="10"/>
      <c r="Y503" s="4"/>
      <c r="Z503" s="4"/>
    </row>
    <row r="504" spans="1:26" ht="15.75">
      <c r="A504" s="7"/>
      <c r="B504" s="7"/>
      <c r="C504" s="6"/>
      <c r="D504" s="6"/>
      <c r="E504" s="6"/>
      <c r="F504" s="6"/>
      <c r="G504" s="7"/>
      <c r="H504" s="7"/>
      <c r="I504" s="7"/>
      <c r="J504" s="7"/>
      <c r="K504" s="7"/>
      <c r="L504" s="6"/>
      <c r="M504" s="10"/>
      <c r="N504" s="10"/>
      <c r="O504" s="10"/>
      <c r="P504" s="6"/>
      <c r="Q504" s="10"/>
      <c r="R504" s="6"/>
      <c r="S504" s="6"/>
      <c r="T504" s="6"/>
      <c r="U504" s="10"/>
      <c r="V504" s="6"/>
      <c r="W504" s="10"/>
      <c r="X504" s="10"/>
      <c r="Y504" s="4"/>
      <c r="Z504" s="4"/>
    </row>
    <row r="505" spans="1:26" ht="15.75">
      <c r="A505" s="7"/>
      <c r="B505" s="7"/>
      <c r="C505" s="6"/>
      <c r="D505" s="6"/>
      <c r="E505" s="6"/>
      <c r="F505" s="6"/>
      <c r="G505" s="7"/>
      <c r="H505" s="7"/>
      <c r="I505" s="7"/>
      <c r="J505" s="7"/>
      <c r="K505" s="7"/>
      <c r="L505" s="6"/>
      <c r="M505" s="10"/>
      <c r="N505" s="10"/>
      <c r="O505" s="10"/>
      <c r="P505" s="6"/>
      <c r="Q505" s="10"/>
      <c r="R505" s="6"/>
      <c r="S505" s="6"/>
      <c r="T505" s="6"/>
      <c r="U505" s="10"/>
      <c r="V505" s="6"/>
      <c r="W505" s="10"/>
      <c r="X505" s="10"/>
      <c r="Y505" s="4"/>
      <c r="Z505" s="4"/>
    </row>
    <row r="506" spans="1:26" ht="15.75">
      <c r="A506" s="7"/>
      <c r="B506" s="7"/>
      <c r="C506" s="6"/>
      <c r="D506" s="6"/>
      <c r="E506" s="6"/>
      <c r="F506" s="6"/>
      <c r="G506" s="7"/>
      <c r="H506" s="7"/>
      <c r="I506" s="7"/>
      <c r="J506" s="7"/>
      <c r="K506" s="7"/>
      <c r="L506" s="6"/>
      <c r="M506" s="10"/>
      <c r="N506" s="10"/>
      <c r="O506" s="10"/>
      <c r="P506" s="6"/>
      <c r="Q506" s="10"/>
      <c r="R506" s="6"/>
      <c r="S506" s="6"/>
      <c r="T506" s="6"/>
      <c r="U506" s="10"/>
      <c r="V506" s="6"/>
      <c r="W506" s="10"/>
      <c r="X506" s="10"/>
      <c r="Y506" s="4"/>
      <c r="Z506" s="4"/>
    </row>
    <row r="507" spans="1:26" ht="15.75">
      <c r="A507" s="7"/>
      <c r="B507" s="7"/>
      <c r="C507" s="6"/>
      <c r="D507" s="6"/>
      <c r="E507" s="6"/>
      <c r="F507" s="6"/>
      <c r="G507" s="7"/>
      <c r="H507" s="7"/>
      <c r="I507" s="7"/>
      <c r="J507" s="7"/>
      <c r="K507" s="7"/>
      <c r="L507" s="6"/>
      <c r="M507" s="10"/>
      <c r="N507" s="10"/>
      <c r="O507" s="10"/>
      <c r="P507" s="6"/>
      <c r="Q507" s="10"/>
      <c r="R507" s="6"/>
      <c r="S507" s="6"/>
      <c r="T507" s="6"/>
      <c r="U507" s="10"/>
      <c r="V507" s="6"/>
      <c r="W507" s="10"/>
      <c r="X507" s="10"/>
      <c r="Y507" s="4"/>
      <c r="Z507" s="4"/>
    </row>
    <row r="508" spans="1:26" ht="15.75">
      <c r="A508" s="7"/>
      <c r="B508" s="7"/>
      <c r="C508" s="6"/>
      <c r="D508" s="6"/>
      <c r="E508" s="6"/>
      <c r="F508" s="6"/>
      <c r="G508" s="7"/>
      <c r="H508" s="7"/>
      <c r="I508" s="7"/>
      <c r="J508" s="7"/>
      <c r="K508" s="7"/>
      <c r="L508" s="6"/>
      <c r="M508" s="10"/>
      <c r="N508" s="10"/>
      <c r="O508" s="10"/>
      <c r="P508" s="6"/>
      <c r="Q508" s="10"/>
      <c r="R508" s="6"/>
      <c r="S508" s="6"/>
      <c r="T508" s="6"/>
      <c r="U508" s="10"/>
      <c r="V508" s="6"/>
      <c r="W508" s="10"/>
      <c r="X508" s="10"/>
      <c r="Y508" s="4"/>
      <c r="Z508" s="4"/>
    </row>
    <row r="509" spans="1:26" ht="15.75">
      <c r="A509" s="7"/>
      <c r="B509" s="7"/>
      <c r="C509" s="6"/>
      <c r="D509" s="6"/>
      <c r="E509" s="6"/>
      <c r="F509" s="6"/>
      <c r="G509" s="7"/>
      <c r="H509" s="7"/>
      <c r="I509" s="7"/>
      <c r="J509" s="7"/>
      <c r="K509" s="7"/>
      <c r="L509" s="6"/>
      <c r="M509" s="10"/>
      <c r="N509" s="10"/>
      <c r="O509" s="10"/>
      <c r="P509" s="6"/>
      <c r="Q509" s="10"/>
      <c r="R509" s="6"/>
      <c r="S509" s="6"/>
      <c r="T509" s="6"/>
      <c r="U509" s="10"/>
      <c r="V509" s="6"/>
      <c r="W509" s="10"/>
      <c r="X509" s="10"/>
      <c r="Y509" s="4"/>
      <c r="Z509" s="4"/>
    </row>
    <row r="510" spans="1:26" ht="15.75">
      <c r="A510" s="7"/>
      <c r="B510" s="7"/>
      <c r="C510" s="6"/>
      <c r="D510" s="6"/>
      <c r="E510" s="6"/>
      <c r="F510" s="6"/>
      <c r="G510" s="7"/>
      <c r="H510" s="7"/>
      <c r="I510" s="7"/>
      <c r="J510" s="7"/>
      <c r="K510" s="7"/>
      <c r="L510" s="6"/>
      <c r="M510" s="10"/>
      <c r="N510" s="10"/>
      <c r="O510" s="10"/>
      <c r="P510" s="6"/>
      <c r="Q510" s="10"/>
      <c r="R510" s="6"/>
      <c r="S510" s="6"/>
      <c r="T510" s="6"/>
      <c r="U510" s="10"/>
      <c r="V510" s="6"/>
      <c r="W510" s="10"/>
      <c r="X510" s="10"/>
      <c r="Y510" s="4"/>
      <c r="Z510" s="4"/>
    </row>
    <row r="511" spans="1:26" ht="15.75">
      <c r="A511" s="7"/>
      <c r="B511" s="7"/>
      <c r="C511" s="6"/>
      <c r="D511" s="6"/>
      <c r="E511" s="6"/>
      <c r="F511" s="6"/>
      <c r="G511" s="7"/>
      <c r="H511" s="7"/>
      <c r="I511" s="7"/>
      <c r="J511" s="7"/>
      <c r="K511" s="7"/>
      <c r="L511" s="6"/>
      <c r="M511" s="10"/>
      <c r="N511" s="10"/>
      <c r="O511" s="10"/>
      <c r="P511" s="6"/>
      <c r="Q511" s="10"/>
      <c r="R511" s="6"/>
      <c r="S511" s="6"/>
      <c r="T511" s="6"/>
      <c r="U511" s="10"/>
      <c r="V511" s="6"/>
      <c r="W511" s="10"/>
      <c r="X511" s="10"/>
      <c r="Y511" s="4"/>
      <c r="Z511" s="4"/>
    </row>
    <row r="512" spans="1:26" ht="15.75">
      <c r="A512" s="7"/>
      <c r="B512" s="7"/>
      <c r="C512" s="6"/>
      <c r="D512" s="6"/>
      <c r="E512" s="6"/>
      <c r="F512" s="6"/>
      <c r="G512" s="7"/>
      <c r="H512" s="7"/>
      <c r="I512" s="7"/>
      <c r="J512" s="7"/>
      <c r="K512" s="7"/>
      <c r="L512" s="6"/>
      <c r="M512" s="10"/>
      <c r="N512" s="10"/>
      <c r="O512" s="10"/>
      <c r="P512" s="6"/>
      <c r="Q512" s="10"/>
      <c r="R512" s="6"/>
      <c r="S512" s="6"/>
      <c r="T512" s="6"/>
      <c r="U512" s="10"/>
      <c r="V512" s="6"/>
      <c r="W512" s="10"/>
      <c r="X512" s="10"/>
      <c r="Y512" s="4"/>
      <c r="Z512" s="4"/>
    </row>
    <row r="513" spans="1:26" ht="15.75">
      <c r="A513" s="7"/>
      <c r="B513" s="7"/>
      <c r="C513" s="6"/>
      <c r="D513" s="6"/>
      <c r="E513" s="6"/>
      <c r="F513" s="6"/>
      <c r="G513" s="7"/>
      <c r="H513" s="7"/>
      <c r="I513" s="7"/>
      <c r="J513" s="7"/>
      <c r="K513" s="7"/>
      <c r="L513" s="6"/>
      <c r="M513" s="10"/>
      <c r="N513" s="10"/>
      <c r="O513" s="10"/>
      <c r="P513" s="6"/>
      <c r="Q513" s="10"/>
      <c r="R513" s="6"/>
      <c r="S513" s="6"/>
      <c r="T513" s="6"/>
      <c r="U513" s="10"/>
      <c r="V513" s="6"/>
      <c r="W513" s="10"/>
      <c r="X513" s="10"/>
      <c r="Y513" s="4"/>
      <c r="Z513" s="4"/>
    </row>
    <row r="514" spans="1:26" ht="15.75">
      <c r="A514" s="7"/>
      <c r="B514" s="7"/>
      <c r="C514" s="6"/>
      <c r="D514" s="6"/>
      <c r="E514" s="6"/>
      <c r="F514" s="6"/>
      <c r="G514" s="7"/>
      <c r="H514" s="7"/>
      <c r="I514" s="7"/>
      <c r="J514" s="7"/>
      <c r="K514" s="7"/>
      <c r="L514" s="6"/>
      <c r="M514" s="10"/>
      <c r="N514" s="10"/>
      <c r="O514" s="10"/>
      <c r="P514" s="6"/>
      <c r="Q514" s="10"/>
      <c r="R514" s="6"/>
      <c r="S514" s="6"/>
      <c r="T514" s="6"/>
      <c r="U514" s="10"/>
      <c r="V514" s="6"/>
      <c r="W514" s="10"/>
      <c r="X514" s="10"/>
      <c r="Y514" s="4"/>
      <c r="Z514" s="4"/>
    </row>
    <row r="515" spans="1:26" ht="15.75">
      <c r="A515" s="7"/>
      <c r="B515" s="7"/>
      <c r="C515" s="6"/>
      <c r="D515" s="6"/>
      <c r="E515" s="6"/>
      <c r="F515" s="6"/>
      <c r="G515" s="7"/>
      <c r="H515" s="7"/>
      <c r="I515" s="7"/>
      <c r="J515" s="7"/>
      <c r="K515" s="7"/>
      <c r="L515" s="6"/>
      <c r="M515" s="10"/>
      <c r="N515" s="10"/>
      <c r="O515" s="10"/>
      <c r="P515" s="6"/>
      <c r="Q515" s="10"/>
      <c r="R515" s="6"/>
      <c r="S515" s="6"/>
      <c r="T515" s="6"/>
      <c r="U515" s="10"/>
      <c r="V515" s="6"/>
      <c r="W515" s="10"/>
      <c r="X515" s="10"/>
      <c r="Y515" s="4"/>
      <c r="Z515" s="4"/>
    </row>
    <row r="516" spans="1:26" ht="15.75">
      <c r="A516" s="7"/>
      <c r="B516" s="7"/>
      <c r="C516" s="6"/>
      <c r="D516" s="6"/>
      <c r="E516" s="6"/>
      <c r="F516" s="6"/>
      <c r="G516" s="7"/>
      <c r="H516" s="7"/>
      <c r="I516" s="7"/>
      <c r="J516" s="7"/>
      <c r="K516" s="7"/>
      <c r="L516" s="6"/>
      <c r="M516" s="10"/>
      <c r="N516" s="10"/>
      <c r="O516" s="10"/>
      <c r="P516" s="6"/>
      <c r="Q516" s="10"/>
      <c r="R516" s="6"/>
      <c r="S516" s="6"/>
      <c r="T516" s="6"/>
      <c r="U516" s="10"/>
      <c r="V516" s="6"/>
      <c r="W516" s="10"/>
      <c r="X516" s="10"/>
      <c r="Y516" s="4"/>
      <c r="Z516" s="4"/>
    </row>
    <row r="517" spans="1:26" ht="15.75">
      <c r="A517" s="7"/>
      <c r="B517" s="7"/>
      <c r="C517" s="6"/>
      <c r="D517" s="6"/>
      <c r="E517" s="6"/>
      <c r="F517" s="6"/>
      <c r="G517" s="7"/>
      <c r="H517" s="7"/>
      <c r="I517" s="7"/>
      <c r="J517" s="7"/>
      <c r="K517" s="7"/>
      <c r="L517" s="6"/>
      <c r="M517" s="10"/>
      <c r="N517" s="10"/>
      <c r="O517" s="10"/>
      <c r="P517" s="6"/>
      <c r="Q517" s="10"/>
      <c r="R517" s="6"/>
      <c r="S517" s="6"/>
      <c r="T517" s="6"/>
      <c r="U517" s="10"/>
      <c r="V517" s="6"/>
      <c r="W517" s="10"/>
      <c r="X517" s="10"/>
      <c r="Y517" s="4"/>
      <c r="Z517" s="4"/>
    </row>
    <row r="518" spans="1:26" ht="15.75">
      <c r="A518" s="7"/>
      <c r="B518" s="7"/>
      <c r="C518" s="6"/>
      <c r="D518" s="6"/>
      <c r="E518" s="6"/>
      <c r="F518" s="6"/>
      <c r="G518" s="7"/>
      <c r="H518" s="7"/>
      <c r="I518" s="7"/>
      <c r="J518" s="7"/>
      <c r="K518" s="7"/>
      <c r="L518" s="6"/>
      <c r="M518" s="10"/>
      <c r="N518" s="10"/>
      <c r="O518" s="10"/>
      <c r="P518" s="6"/>
      <c r="Q518" s="10"/>
      <c r="R518" s="6"/>
      <c r="S518" s="6"/>
      <c r="T518" s="6"/>
      <c r="U518" s="10"/>
      <c r="V518" s="6"/>
      <c r="W518" s="10"/>
      <c r="X518" s="10"/>
      <c r="Y518" s="4"/>
      <c r="Z518" s="4"/>
    </row>
    <row r="519" spans="1:26" ht="15.75">
      <c r="A519" s="7"/>
      <c r="B519" s="7"/>
      <c r="C519" s="6"/>
      <c r="D519" s="6"/>
      <c r="E519" s="6"/>
      <c r="F519" s="6"/>
      <c r="G519" s="7"/>
      <c r="H519" s="7"/>
      <c r="I519" s="7"/>
      <c r="J519" s="7"/>
      <c r="K519" s="7"/>
      <c r="L519" s="6"/>
      <c r="M519" s="10"/>
      <c r="N519" s="10"/>
      <c r="O519" s="10"/>
      <c r="P519" s="6"/>
      <c r="Q519" s="10"/>
      <c r="R519" s="6"/>
      <c r="S519" s="6"/>
      <c r="T519" s="6"/>
      <c r="U519" s="10"/>
      <c r="V519" s="6"/>
      <c r="W519" s="10"/>
      <c r="X519" s="10"/>
      <c r="Y519" s="4"/>
      <c r="Z519" s="4"/>
    </row>
    <row r="520" spans="1:26" ht="15.75">
      <c r="A520" s="7"/>
      <c r="B520" s="7"/>
      <c r="C520" s="6"/>
      <c r="D520" s="6"/>
      <c r="E520" s="6"/>
      <c r="F520" s="6"/>
      <c r="G520" s="7"/>
      <c r="H520" s="7"/>
      <c r="I520" s="7"/>
      <c r="J520" s="7"/>
      <c r="K520" s="7"/>
      <c r="L520" s="6"/>
      <c r="M520" s="10"/>
      <c r="N520" s="10"/>
      <c r="O520" s="10"/>
      <c r="P520" s="6"/>
      <c r="Q520" s="10"/>
      <c r="R520" s="6"/>
      <c r="S520" s="6"/>
      <c r="T520" s="6"/>
      <c r="U520" s="10"/>
      <c r="V520" s="6"/>
      <c r="W520" s="10"/>
      <c r="X520" s="10"/>
      <c r="Y520" s="4"/>
      <c r="Z520" s="4"/>
    </row>
    <row r="521" spans="1:26" ht="15.75">
      <c r="A521" s="7"/>
      <c r="B521" s="7"/>
      <c r="C521" s="6"/>
      <c r="D521" s="6"/>
      <c r="E521" s="6"/>
      <c r="F521" s="6"/>
      <c r="G521" s="7"/>
      <c r="H521" s="7"/>
      <c r="I521" s="7"/>
      <c r="J521" s="7"/>
      <c r="K521" s="7"/>
      <c r="L521" s="6"/>
      <c r="M521" s="10"/>
      <c r="N521" s="10"/>
      <c r="O521" s="10"/>
      <c r="P521" s="6"/>
      <c r="Q521" s="10"/>
      <c r="R521" s="6"/>
      <c r="S521" s="6"/>
      <c r="T521" s="6"/>
      <c r="U521" s="10"/>
      <c r="V521" s="6"/>
      <c r="W521" s="10"/>
      <c r="X521" s="10"/>
      <c r="Y521" s="4"/>
      <c r="Z521" s="4"/>
    </row>
    <row r="522" spans="1:26" ht="15.75">
      <c r="A522" s="7"/>
      <c r="B522" s="7"/>
      <c r="C522" s="6"/>
      <c r="D522" s="6"/>
      <c r="E522" s="6"/>
      <c r="F522" s="6"/>
      <c r="G522" s="7"/>
      <c r="H522" s="7"/>
      <c r="I522" s="7"/>
      <c r="J522" s="7"/>
      <c r="K522" s="7"/>
      <c r="L522" s="6"/>
      <c r="M522" s="10"/>
      <c r="N522" s="10"/>
      <c r="O522" s="10"/>
      <c r="P522" s="6"/>
      <c r="Q522" s="10"/>
      <c r="R522" s="6"/>
      <c r="S522" s="6"/>
      <c r="T522" s="6"/>
      <c r="U522" s="10"/>
      <c r="V522" s="6"/>
      <c r="W522" s="10"/>
      <c r="X522" s="10"/>
      <c r="Y522" s="4"/>
      <c r="Z522" s="4"/>
    </row>
    <row r="523" spans="1:26" ht="15.75">
      <c r="A523" s="7"/>
      <c r="B523" s="7"/>
      <c r="C523" s="6"/>
      <c r="D523" s="6"/>
      <c r="E523" s="6"/>
      <c r="F523" s="6"/>
      <c r="G523" s="7"/>
      <c r="H523" s="7"/>
      <c r="I523" s="7"/>
      <c r="J523" s="7"/>
      <c r="K523" s="7"/>
      <c r="L523" s="6"/>
      <c r="M523" s="10"/>
      <c r="N523" s="10"/>
      <c r="O523" s="10"/>
      <c r="P523" s="6"/>
      <c r="Q523" s="10"/>
      <c r="R523" s="6"/>
      <c r="S523" s="6"/>
      <c r="T523" s="6"/>
      <c r="U523" s="10"/>
      <c r="V523" s="6"/>
      <c r="W523" s="10"/>
      <c r="X523" s="10"/>
      <c r="Y523" s="4"/>
      <c r="Z523" s="4"/>
    </row>
    <row r="524" spans="1:26" ht="15.75">
      <c r="A524" s="7"/>
      <c r="B524" s="7"/>
      <c r="C524" s="6"/>
      <c r="D524" s="6"/>
      <c r="E524" s="6"/>
      <c r="F524" s="6"/>
      <c r="G524" s="7"/>
      <c r="H524" s="7"/>
      <c r="I524" s="7"/>
      <c r="J524" s="7"/>
      <c r="K524" s="7"/>
      <c r="L524" s="6"/>
      <c r="M524" s="10"/>
      <c r="N524" s="10"/>
      <c r="O524" s="10"/>
      <c r="P524" s="6"/>
      <c r="Q524" s="10"/>
      <c r="R524" s="6"/>
      <c r="S524" s="6"/>
      <c r="T524" s="6"/>
      <c r="U524" s="10"/>
      <c r="V524" s="6"/>
      <c r="W524" s="10"/>
      <c r="X524" s="10"/>
      <c r="Y524" s="4"/>
      <c r="Z524" s="4"/>
    </row>
    <row r="525" spans="1:26" ht="15.75">
      <c r="A525" s="7"/>
      <c r="B525" s="7"/>
      <c r="C525" s="6"/>
      <c r="D525" s="6"/>
      <c r="E525" s="6"/>
      <c r="F525" s="6"/>
      <c r="G525" s="7"/>
      <c r="H525" s="7"/>
      <c r="I525" s="7"/>
      <c r="J525" s="7"/>
      <c r="K525" s="7"/>
      <c r="L525" s="6"/>
      <c r="M525" s="10"/>
      <c r="N525" s="10"/>
      <c r="O525" s="10"/>
      <c r="P525" s="6"/>
      <c r="Q525" s="10"/>
      <c r="R525" s="6"/>
      <c r="S525" s="6"/>
      <c r="T525" s="6"/>
      <c r="U525" s="10"/>
      <c r="V525" s="6"/>
      <c r="W525" s="10"/>
      <c r="X525" s="10"/>
      <c r="Y525" s="4"/>
      <c r="Z525" s="4"/>
    </row>
    <row r="526" spans="1:26" ht="15.75">
      <c r="A526" s="7"/>
      <c r="B526" s="7"/>
      <c r="C526" s="6"/>
      <c r="D526" s="6"/>
      <c r="E526" s="6"/>
      <c r="F526" s="6"/>
      <c r="G526" s="7"/>
      <c r="H526" s="7"/>
      <c r="I526" s="7"/>
      <c r="J526" s="7"/>
      <c r="K526" s="7"/>
      <c r="L526" s="6"/>
      <c r="M526" s="10"/>
      <c r="N526" s="10"/>
      <c r="O526" s="10"/>
      <c r="P526" s="6"/>
      <c r="Q526" s="10"/>
      <c r="R526" s="6"/>
      <c r="S526" s="6"/>
      <c r="T526" s="6"/>
      <c r="U526" s="10"/>
      <c r="V526" s="6"/>
      <c r="W526" s="10"/>
      <c r="X526" s="10"/>
      <c r="Y526" s="4"/>
      <c r="Z526" s="4"/>
    </row>
    <row r="527" spans="1:26" ht="15.75">
      <c r="A527" s="7"/>
      <c r="B527" s="7"/>
      <c r="C527" s="6"/>
      <c r="D527" s="6"/>
      <c r="E527" s="6"/>
      <c r="F527" s="6"/>
      <c r="G527" s="7"/>
      <c r="H527" s="7"/>
      <c r="I527" s="7"/>
      <c r="J527" s="7"/>
      <c r="K527" s="7"/>
      <c r="L527" s="6"/>
      <c r="M527" s="10"/>
      <c r="N527" s="10"/>
      <c r="O527" s="10"/>
      <c r="P527" s="6"/>
      <c r="Q527" s="10"/>
      <c r="R527" s="6"/>
      <c r="S527" s="6"/>
      <c r="T527" s="6"/>
      <c r="U527" s="10"/>
      <c r="V527" s="6"/>
      <c r="W527" s="10"/>
      <c r="X527" s="10"/>
      <c r="Y527" s="4"/>
      <c r="Z527" s="4"/>
    </row>
    <row r="528" spans="1:26" ht="15.75">
      <c r="A528" s="7"/>
      <c r="B528" s="7"/>
      <c r="C528" s="6"/>
      <c r="D528" s="6"/>
      <c r="E528" s="6"/>
      <c r="F528" s="6"/>
      <c r="G528" s="7"/>
      <c r="H528" s="7"/>
      <c r="I528" s="7"/>
      <c r="J528" s="7"/>
      <c r="K528" s="7"/>
      <c r="L528" s="6"/>
      <c r="M528" s="10"/>
      <c r="N528" s="10"/>
      <c r="O528" s="10"/>
      <c r="P528" s="6"/>
      <c r="Q528" s="10"/>
      <c r="R528" s="6"/>
      <c r="S528" s="6"/>
      <c r="T528" s="6"/>
      <c r="U528" s="10"/>
      <c r="V528" s="6"/>
      <c r="W528" s="10"/>
      <c r="X528" s="10"/>
      <c r="Y528" s="4"/>
      <c r="Z528" s="4"/>
    </row>
    <row r="529" spans="1:26" ht="15.75">
      <c r="A529" s="7"/>
      <c r="B529" s="7"/>
      <c r="C529" s="6"/>
      <c r="D529" s="6"/>
      <c r="E529" s="6"/>
      <c r="F529" s="6"/>
      <c r="G529" s="7"/>
      <c r="H529" s="7"/>
      <c r="I529" s="7"/>
      <c r="J529" s="7"/>
      <c r="K529" s="7"/>
      <c r="L529" s="6"/>
      <c r="M529" s="10"/>
      <c r="N529" s="10"/>
      <c r="O529" s="10"/>
      <c r="P529" s="6"/>
      <c r="Q529" s="10"/>
      <c r="R529" s="6"/>
      <c r="S529" s="6"/>
      <c r="T529" s="6"/>
      <c r="U529" s="10"/>
      <c r="V529" s="6"/>
      <c r="W529" s="10"/>
      <c r="X529" s="10"/>
      <c r="Y529" s="4"/>
      <c r="Z529" s="4"/>
    </row>
    <row r="530" spans="1:26" ht="15.75">
      <c r="A530" s="7"/>
      <c r="B530" s="7"/>
      <c r="C530" s="6"/>
      <c r="D530" s="6"/>
      <c r="E530" s="6"/>
      <c r="F530" s="6"/>
      <c r="G530" s="7"/>
      <c r="H530" s="7"/>
      <c r="I530" s="7"/>
      <c r="J530" s="7"/>
      <c r="K530" s="7"/>
      <c r="L530" s="6"/>
      <c r="M530" s="10"/>
      <c r="N530" s="10"/>
      <c r="O530" s="10"/>
      <c r="P530" s="6"/>
      <c r="Q530" s="10"/>
      <c r="R530" s="6"/>
      <c r="S530" s="6"/>
      <c r="T530" s="6"/>
      <c r="U530" s="10"/>
      <c r="V530" s="6"/>
      <c r="W530" s="10"/>
      <c r="X530" s="10"/>
      <c r="Y530" s="4"/>
      <c r="Z530" s="4"/>
    </row>
    <row r="531" spans="1:26" ht="15.75">
      <c r="A531" s="7"/>
      <c r="B531" s="7"/>
      <c r="C531" s="6"/>
      <c r="D531" s="6"/>
      <c r="E531" s="6"/>
      <c r="F531" s="6"/>
      <c r="G531" s="7"/>
      <c r="H531" s="7"/>
      <c r="I531" s="7"/>
      <c r="J531" s="7"/>
      <c r="K531" s="7"/>
      <c r="L531" s="6"/>
      <c r="M531" s="10"/>
      <c r="N531" s="10"/>
      <c r="O531" s="10"/>
      <c r="P531" s="6"/>
      <c r="Q531" s="10"/>
      <c r="R531" s="6"/>
      <c r="S531" s="6"/>
      <c r="T531" s="6"/>
      <c r="U531" s="10"/>
      <c r="V531" s="6"/>
      <c r="W531" s="10"/>
      <c r="X531" s="10"/>
      <c r="Y531" s="4"/>
      <c r="Z531" s="4"/>
    </row>
    <row r="532" spans="1:26" ht="15.75">
      <c r="A532" s="7"/>
      <c r="B532" s="7"/>
      <c r="C532" s="6"/>
      <c r="D532" s="6"/>
      <c r="E532" s="6"/>
      <c r="F532" s="6"/>
      <c r="G532" s="7"/>
      <c r="H532" s="7"/>
      <c r="I532" s="7"/>
      <c r="J532" s="7"/>
      <c r="K532" s="7"/>
      <c r="L532" s="6"/>
      <c r="M532" s="10"/>
      <c r="N532" s="10"/>
      <c r="O532" s="10"/>
      <c r="P532" s="6"/>
      <c r="Q532" s="10"/>
      <c r="R532" s="6"/>
      <c r="S532" s="6"/>
      <c r="T532" s="6"/>
      <c r="U532" s="10"/>
      <c r="V532" s="6"/>
      <c r="W532" s="10"/>
      <c r="X532" s="10"/>
      <c r="Y532" s="4"/>
      <c r="Z532" s="4"/>
    </row>
    <row r="533" spans="1:26" ht="15.75">
      <c r="A533" s="7"/>
      <c r="B533" s="7"/>
      <c r="C533" s="6"/>
      <c r="D533" s="6"/>
      <c r="E533" s="6"/>
      <c r="F533" s="6"/>
      <c r="G533" s="7"/>
      <c r="H533" s="7"/>
      <c r="I533" s="7"/>
      <c r="J533" s="7"/>
      <c r="K533" s="7"/>
      <c r="L533" s="6"/>
      <c r="M533" s="10"/>
      <c r="N533" s="10"/>
      <c r="O533" s="10"/>
      <c r="P533" s="6"/>
      <c r="Q533" s="10"/>
      <c r="R533" s="6"/>
      <c r="S533" s="6"/>
      <c r="T533" s="6"/>
      <c r="U533" s="10"/>
      <c r="V533" s="6"/>
      <c r="W533" s="10"/>
      <c r="X533" s="10"/>
      <c r="Y533" s="4"/>
      <c r="Z533" s="4"/>
    </row>
    <row r="534" spans="1:26" ht="15.75">
      <c r="A534" s="7"/>
      <c r="B534" s="7"/>
      <c r="C534" s="6"/>
      <c r="D534" s="6"/>
      <c r="E534" s="6"/>
      <c r="F534" s="6"/>
      <c r="G534" s="7"/>
      <c r="H534" s="7"/>
      <c r="I534" s="7"/>
      <c r="J534" s="7"/>
      <c r="K534" s="7"/>
      <c r="L534" s="6"/>
      <c r="M534" s="10"/>
      <c r="N534" s="10"/>
      <c r="O534" s="10"/>
      <c r="P534" s="6"/>
      <c r="Q534" s="10"/>
      <c r="R534" s="6"/>
      <c r="S534" s="6"/>
      <c r="T534" s="6"/>
      <c r="U534" s="10"/>
      <c r="V534" s="6"/>
      <c r="W534" s="10"/>
      <c r="X534" s="10"/>
      <c r="Y534" s="4"/>
      <c r="Z534" s="4"/>
    </row>
    <row r="535" spans="1:26" ht="15.75">
      <c r="A535" s="7"/>
      <c r="B535" s="7"/>
      <c r="C535" s="6"/>
      <c r="D535" s="6"/>
      <c r="E535" s="6"/>
      <c r="F535" s="6"/>
      <c r="G535" s="7"/>
      <c r="H535" s="7"/>
      <c r="I535" s="7"/>
      <c r="J535" s="7"/>
      <c r="K535" s="7"/>
      <c r="L535" s="6"/>
      <c r="M535" s="10"/>
      <c r="N535" s="10"/>
      <c r="O535" s="10"/>
      <c r="P535" s="6"/>
      <c r="Q535" s="10"/>
      <c r="R535" s="6"/>
      <c r="S535" s="6"/>
      <c r="T535" s="6"/>
      <c r="U535" s="10"/>
      <c r="V535" s="6"/>
      <c r="W535" s="10"/>
      <c r="X535" s="10"/>
      <c r="Y535" s="4"/>
      <c r="Z535" s="4"/>
    </row>
    <row r="536" spans="1:26" ht="15.75">
      <c r="A536" s="7"/>
      <c r="B536" s="7"/>
      <c r="C536" s="6"/>
      <c r="D536" s="6"/>
      <c r="E536" s="6"/>
      <c r="F536" s="6"/>
      <c r="G536" s="7"/>
      <c r="H536" s="7"/>
      <c r="I536" s="7"/>
      <c r="J536" s="7"/>
      <c r="K536" s="7"/>
      <c r="L536" s="6"/>
      <c r="M536" s="10"/>
      <c r="N536" s="10"/>
      <c r="O536" s="10"/>
      <c r="P536" s="6"/>
      <c r="Q536" s="10"/>
      <c r="R536" s="6"/>
      <c r="S536" s="6"/>
      <c r="T536" s="6"/>
      <c r="U536" s="10"/>
      <c r="V536" s="6"/>
      <c r="W536" s="10"/>
      <c r="X536" s="10"/>
      <c r="Y536" s="4"/>
      <c r="Z536" s="4"/>
    </row>
    <row r="537" spans="1:26" ht="15.75">
      <c r="A537" s="7"/>
      <c r="B537" s="7"/>
      <c r="C537" s="6"/>
      <c r="D537" s="6"/>
      <c r="E537" s="6"/>
      <c r="F537" s="6"/>
      <c r="G537" s="7"/>
      <c r="H537" s="7"/>
      <c r="I537" s="7"/>
      <c r="J537" s="7"/>
      <c r="K537" s="7"/>
      <c r="L537" s="6"/>
      <c r="M537" s="10"/>
      <c r="N537" s="10"/>
      <c r="O537" s="10"/>
      <c r="P537" s="6"/>
      <c r="Q537" s="10"/>
      <c r="R537" s="6"/>
      <c r="S537" s="6"/>
      <c r="T537" s="6"/>
      <c r="U537" s="10"/>
      <c r="V537" s="6"/>
      <c r="W537" s="10"/>
      <c r="X537" s="10"/>
      <c r="Y537" s="4"/>
      <c r="Z537" s="4"/>
    </row>
    <row r="538" spans="1:26" ht="15.75">
      <c r="A538" s="7"/>
      <c r="B538" s="7"/>
      <c r="C538" s="6"/>
      <c r="D538" s="6"/>
      <c r="E538" s="6"/>
      <c r="F538" s="6"/>
      <c r="G538" s="7"/>
      <c r="H538" s="7"/>
      <c r="I538" s="7"/>
      <c r="J538" s="7"/>
      <c r="K538" s="7"/>
      <c r="L538" s="6"/>
      <c r="M538" s="10"/>
      <c r="N538" s="10"/>
      <c r="O538" s="10"/>
      <c r="P538" s="6"/>
      <c r="Q538" s="10"/>
      <c r="R538" s="6"/>
      <c r="S538" s="6"/>
      <c r="T538" s="6"/>
      <c r="U538" s="10"/>
      <c r="V538" s="6"/>
      <c r="W538" s="10"/>
      <c r="X538" s="10"/>
      <c r="Y538" s="4"/>
      <c r="Z538" s="4"/>
    </row>
    <row r="539" spans="1:26" ht="15.75">
      <c r="A539" s="7"/>
      <c r="B539" s="7"/>
      <c r="C539" s="6"/>
      <c r="D539" s="6"/>
      <c r="E539" s="6"/>
      <c r="F539" s="6"/>
      <c r="G539" s="7"/>
      <c r="H539" s="7"/>
      <c r="I539" s="7"/>
      <c r="J539" s="7"/>
      <c r="K539" s="7"/>
      <c r="L539" s="6"/>
      <c r="M539" s="10"/>
      <c r="N539" s="10"/>
      <c r="O539" s="10"/>
      <c r="P539" s="6"/>
      <c r="Q539" s="10"/>
      <c r="R539" s="6"/>
      <c r="S539" s="6"/>
      <c r="T539" s="6"/>
      <c r="U539" s="10"/>
      <c r="V539" s="6"/>
      <c r="W539" s="10"/>
      <c r="X539" s="10"/>
      <c r="Y539" s="4"/>
      <c r="Z539" s="4"/>
    </row>
    <row r="540" spans="1:26" ht="15.75">
      <c r="A540" s="7"/>
      <c r="B540" s="7"/>
      <c r="C540" s="6"/>
      <c r="D540" s="6"/>
      <c r="E540" s="6"/>
      <c r="F540" s="6"/>
      <c r="G540" s="7"/>
      <c r="H540" s="7"/>
      <c r="I540" s="7"/>
      <c r="J540" s="7"/>
      <c r="K540" s="7"/>
      <c r="L540" s="6"/>
      <c r="M540" s="10"/>
      <c r="N540" s="10"/>
      <c r="O540" s="10"/>
      <c r="P540" s="6"/>
      <c r="Q540" s="10"/>
      <c r="R540" s="6"/>
      <c r="S540" s="6"/>
      <c r="T540" s="6"/>
      <c r="U540" s="10"/>
      <c r="V540" s="6"/>
      <c r="W540" s="10"/>
      <c r="X540" s="10"/>
      <c r="Y540" s="4"/>
      <c r="Z540" s="4"/>
    </row>
    <row r="541" spans="1:26" ht="15.75">
      <c r="A541" s="7"/>
      <c r="B541" s="7"/>
      <c r="C541" s="6"/>
      <c r="D541" s="6"/>
      <c r="E541" s="6"/>
      <c r="F541" s="6"/>
      <c r="G541" s="7"/>
      <c r="H541" s="7"/>
      <c r="I541" s="7"/>
      <c r="J541" s="7"/>
      <c r="K541" s="7"/>
      <c r="L541" s="6"/>
      <c r="M541" s="10"/>
      <c r="N541" s="10"/>
      <c r="O541" s="10"/>
      <c r="P541" s="6"/>
      <c r="Q541" s="10"/>
      <c r="R541" s="6"/>
      <c r="S541" s="6"/>
      <c r="T541" s="6"/>
      <c r="U541" s="10"/>
      <c r="V541" s="6"/>
      <c r="W541" s="10"/>
      <c r="X541" s="10"/>
      <c r="Y541" s="4"/>
      <c r="Z541" s="4"/>
    </row>
    <row r="542" spans="1:26" ht="15.75">
      <c r="A542" s="7"/>
      <c r="B542" s="7"/>
      <c r="C542" s="6"/>
      <c r="D542" s="6"/>
      <c r="E542" s="6"/>
      <c r="F542" s="6"/>
      <c r="G542" s="7"/>
      <c r="H542" s="7"/>
      <c r="I542" s="7"/>
      <c r="J542" s="7"/>
      <c r="K542" s="7"/>
      <c r="L542" s="6"/>
      <c r="M542" s="10"/>
      <c r="N542" s="10"/>
      <c r="O542" s="10"/>
      <c r="P542" s="6"/>
      <c r="Q542" s="10"/>
      <c r="R542" s="6"/>
      <c r="S542" s="6"/>
      <c r="T542" s="6"/>
      <c r="U542" s="10"/>
      <c r="V542" s="6"/>
      <c r="W542" s="10"/>
      <c r="X542" s="10"/>
      <c r="Y542" s="4"/>
      <c r="Z542" s="4"/>
    </row>
    <row r="543" spans="1:26" ht="15.75">
      <c r="A543" s="7"/>
      <c r="B543" s="7"/>
      <c r="C543" s="6"/>
      <c r="D543" s="6"/>
      <c r="E543" s="6"/>
      <c r="F543" s="6"/>
      <c r="G543" s="7"/>
      <c r="H543" s="7"/>
      <c r="I543" s="7"/>
      <c r="J543" s="7"/>
      <c r="K543" s="7"/>
      <c r="L543" s="6"/>
      <c r="M543" s="10"/>
      <c r="N543" s="10"/>
      <c r="O543" s="10"/>
      <c r="P543" s="6"/>
      <c r="Q543" s="10"/>
      <c r="R543" s="6"/>
      <c r="S543" s="6"/>
      <c r="T543" s="6"/>
      <c r="U543" s="10"/>
      <c r="V543" s="6"/>
      <c r="W543" s="10"/>
      <c r="X543" s="10"/>
      <c r="Y543" s="4"/>
      <c r="Z543" s="4"/>
    </row>
    <row r="544" spans="1:26" ht="15.75">
      <c r="A544" s="7"/>
      <c r="B544" s="7"/>
      <c r="C544" s="6"/>
      <c r="D544" s="6"/>
      <c r="E544" s="6"/>
      <c r="F544" s="6"/>
      <c r="G544" s="7"/>
      <c r="H544" s="7"/>
      <c r="I544" s="7"/>
      <c r="J544" s="7"/>
      <c r="K544" s="7"/>
      <c r="L544" s="6"/>
      <c r="M544" s="10"/>
      <c r="N544" s="10"/>
      <c r="O544" s="10"/>
      <c r="P544" s="6"/>
      <c r="Q544" s="10"/>
      <c r="R544" s="6"/>
      <c r="S544" s="6"/>
      <c r="T544" s="6"/>
      <c r="U544" s="10"/>
      <c r="V544" s="6"/>
      <c r="W544" s="10"/>
      <c r="X544" s="10"/>
      <c r="Y544" s="4"/>
      <c r="Z544" s="4"/>
    </row>
    <row r="545" spans="1:26" ht="15.75">
      <c r="A545" s="7"/>
      <c r="B545" s="7"/>
      <c r="C545" s="6"/>
      <c r="D545" s="6"/>
      <c r="E545" s="6"/>
      <c r="F545" s="6"/>
      <c r="G545" s="7"/>
      <c r="H545" s="7"/>
      <c r="I545" s="7"/>
      <c r="J545" s="7"/>
      <c r="K545" s="7"/>
      <c r="L545" s="6"/>
      <c r="M545" s="10"/>
      <c r="N545" s="10"/>
      <c r="O545" s="10"/>
      <c r="P545" s="6"/>
      <c r="Q545" s="10"/>
      <c r="R545" s="6"/>
      <c r="S545" s="6"/>
      <c r="T545" s="6"/>
      <c r="U545" s="10"/>
      <c r="V545" s="6"/>
      <c r="W545" s="10"/>
      <c r="X545" s="10"/>
      <c r="Y545" s="4"/>
      <c r="Z545" s="4"/>
    </row>
    <row r="546" spans="1:26" ht="15.75">
      <c r="A546" s="7"/>
      <c r="B546" s="7"/>
      <c r="C546" s="6"/>
      <c r="D546" s="6"/>
      <c r="E546" s="6"/>
      <c r="F546" s="6"/>
      <c r="G546" s="7"/>
      <c r="H546" s="7"/>
      <c r="I546" s="7"/>
      <c r="J546" s="7"/>
      <c r="K546" s="7"/>
      <c r="L546" s="6"/>
      <c r="M546" s="10"/>
      <c r="N546" s="10"/>
      <c r="O546" s="10"/>
      <c r="P546" s="6"/>
      <c r="Q546" s="10"/>
      <c r="R546" s="6"/>
      <c r="S546" s="6"/>
      <c r="T546" s="6"/>
      <c r="U546" s="10"/>
      <c r="V546" s="6"/>
      <c r="W546" s="10"/>
      <c r="X546" s="10"/>
      <c r="Y546" s="4"/>
      <c r="Z546" s="4"/>
    </row>
    <row r="547" spans="1:26" ht="15.75">
      <c r="A547" s="7"/>
      <c r="B547" s="7"/>
      <c r="C547" s="6"/>
      <c r="D547" s="6"/>
      <c r="E547" s="6"/>
      <c r="F547" s="6"/>
      <c r="G547" s="7"/>
      <c r="H547" s="7"/>
      <c r="I547" s="7"/>
      <c r="J547" s="7"/>
      <c r="K547" s="7"/>
      <c r="L547" s="6"/>
      <c r="M547" s="10"/>
      <c r="N547" s="10"/>
      <c r="O547" s="10"/>
      <c r="P547" s="6"/>
      <c r="Q547" s="10"/>
      <c r="R547" s="6"/>
      <c r="S547" s="6"/>
      <c r="T547" s="6"/>
      <c r="U547" s="10"/>
      <c r="V547" s="6"/>
      <c r="W547" s="10"/>
      <c r="X547" s="10"/>
      <c r="Y547" s="4"/>
      <c r="Z547" s="4"/>
    </row>
    <row r="548" spans="1:26" ht="15.75">
      <c r="A548" s="7"/>
      <c r="B548" s="7"/>
      <c r="C548" s="6"/>
      <c r="D548" s="6"/>
      <c r="E548" s="6"/>
      <c r="F548" s="6"/>
      <c r="G548" s="7"/>
      <c r="H548" s="7"/>
      <c r="I548" s="7"/>
      <c r="J548" s="7"/>
      <c r="K548" s="7"/>
      <c r="L548" s="6"/>
      <c r="M548" s="10"/>
      <c r="N548" s="10"/>
      <c r="O548" s="10"/>
      <c r="P548" s="6"/>
      <c r="Q548" s="10"/>
      <c r="R548" s="6"/>
      <c r="S548" s="6"/>
      <c r="T548" s="6"/>
      <c r="U548" s="10"/>
      <c r="V548" s="6"/>
      <c r="W548" s="10"/>
      <c r="X548" s="10"/>
      <c r="Y548" s="4"/>
      <c r="Z548" s="4"/>
    </row>
    <row r="549" spans="1:26" ht="15.75">
      <c r="A549" s="7"/>
      <c r="B549" s="7"/>
      <c r="C549" s="6"/>
      <c r="D549" s="6"/>
      <c r="E549" s="6"/>
      <c r="F549" s="6"/>
      <c r="G549" s="7"/>
      <c r="H549" s="7"/>
      <c r="I549" s="7"/>
      <c r="J549" s="7"/>
      <c r="K549" s="7"/>
      <c r="L549" s="6"/>
      <c r="M549" s="10"/>
      <c r="N549" s="10"/>
      <c r="O549" s="10"/>
      <c r="P549" s="6"/>
      <c r="Q549" s="10"/>
      <c r="R549" s="6"/>
      <c r="S549" s="6"/>
      <c r="T549" s="6"/>
      <c r="U549" s="10"/>
      <c r="V549" s="6"/>
      <c r="W549" s="10"/>
      <c r="X549" s="10"/>
      <c r="Y549" s="4"/>
      <c r="Z549" s="4"/>
    </row>
    <row r="550" spans="1:26" ht="15.75">
      <c r="A550" s="7"/>
      <c r="B550" s="7"/>
      <c r="C550" s="6"/>
      <c r="D550" s="6"/>
      <c r="E550" s="6"/>
      <c r="F550" s="6"/>
      <c r="G550" s="7"/>
      <c r="H550" s="7"/>
      <c r="I550" s="7"/>
      <c r="J550" s="7"/>
      <c r="K550" s="7"/>
      <c r="L550" s="6"/>
      <c r="M550" s="10"/>
      <c r="N550" s="10"/>
      <c r="O550" s="10"/>
      <c r="P550" s="6"/>
      <c r="Q550" s="10"/>
      <c r="R550" s="6"/>
      <c r="S550" s="6"/>
      <c r="T550" s="6"/>
      <c r="U550" s="10"/>
      <c r="V550" s="6"/>
      <c r="W550" s="10"/>
      <c r="X550" s="10"/>
      <c r="Y550" s="4"/>
      <c r="Z550" s="4"/>
    </row>
    <row r="551" spans="1:26" ht="15.75">
      <c r="A551" s="7"/>
      <c r="B551" s="7"/>
      <c r="C551" s="6"/>
      <c r="D551" s="6"/>
      <c r="E551" s="6"/>
      <c r="F551" s="6"/>
      <c r="G551" s="7"/>
      <c r="H551" s="7"/>
      <c r="I551" s="7"/>
      <c r="J551" s="7"/>
      <c r="K551" s="7"/>
      <c r="L551" s="6"/>
      <c r="M551" s="10"/>
      <c r="N551" s="10"/>
      <c r="O551" s="10"/>
      <c r="P551" s="6"/>
      <c r="Q551" s="10"/>
      <c r="R551" s="6"/>
      <c r="S551" s="6"/>
      <c r="T551" s="6"/>
      <c r="U551" s="10"/>
      <c r="V551" s="6"/>
      <c r="W551" s="10"/>
      <c r="X551" s="10"/>
      <c r="Y551" s="4"/>
      <c r="Z551" s="4"/>
    </row>
    <row r="552" spans="1:26" ht="15.75">
      <c r="A552" s="7"/>
      <c r="B552" s="7"/>
      <c r="C552" s="6"/>
      <c r="D552" s="6"/>
      <c r="E552" s="6"/>
      <c r="F552" s="6"/>
      <c r="G552" s="7"/>
      <c r="H552" s="7"/>
      <c r="I552" s="7"/>
      <c r="J552" s="7"/>
      <c r="K552" s="7"/>
      <c r="L552" s="6"/>
      <c r="M552" s="10"/>
      <c r="N552" s="10"/>
      <c r="O552" s="10"/>
      <c r="P552" s="6"/>
      <c r="Q552" s="10"/>
      <c r="R552" s="6"/>
      <c r="S552" s="6"/>
      <c r="T552" s="6"/>
      <c r="U552" s="10"/>
      <c r="V552" s="6"/>
      <c r="W552" s="10"/>
      <c r="X552" s="10"/>
      <c r="Y552" s="4"/>
      <c r="Z552" s="4"/>
    </row>
    <row r="553" spans="1:26" ht="15.75">
      <c r="A553" s="7"/>
      <c r="B553" s="7"/>
      <c r="C553" s="6"/>
      <c r="D553" s="6"/>
      <c r="E553" s="6"/>
      <c r="F553" s="6"/>
      <c r="G553" s="7"/>
      <c r="H553" s="7"/>
      <c r="I553" s="7"/>
      <c r="J553" s="7"/>
      <c r="K553" s="7"/>
      <c r="L553" s="6"/>
      <c r="M553" s="10"/>
      <c r="N553" s="10"/>
      <c r="O553" s="10"/>
      <c r="P553" s="6"/>
      <c r="Q553" s="10"/>
      <c r="R553" s="6"/>
      <c r="S553" s="6"/>
      <c r="T553" s="6"/>
      <c r="U553" s="10"/>
      <c r="V553" s="6"/>
      <c r="W553" s="10"/>
      <c r="X553" s="10"/>
      <c r="Y553" s="4"/>
      <c r="Z553" s="4"/>
    </row>
    <row r="554" spans="1:26" ht="15.75">
      <c r="A554" s="7"/>
      <c r="B554" s="7"/>
      <c r="C554" s="6"/>
      <c r="D554" s="6"/>
      <c r="E554" s="6"/>
      <c r="F554" s="6"/>
      <c r="G554" s="7"/>
      <c r="H554" s="7"/>
      <c r="I554" s="7"/>
      <c r="J554" s="7"/>
      <c r="K554" s="7"/>
      <c r="L554" s="6"/>
      <c r="M554" s="10"/>
      <c r="N554" s="10"/>
      <c r="O554" s="10"/>
      <c r="P554" s="6"/>
      <c r="Q554" s="10"/>
      <c r="R554" s="6"/>
      <c r="S554" s="6"/>
      <c r="T554" s="6"/>
      <c r="U554" s="10"/>
      <c r="V554" s="6"/>
      <c r="W554" s="10"/>
      <c r="X554" s="10"/>
      <c r="Y554" s="4"/>
      <c r="Z554" s="4"/>
    </row>
    <row r="555" spans="1:26" ht="15.75">
      <c r="A555" s="7"/>
      <c r="B555" s="7"/>
      <c r="C555" s="6"/>
      <c r="D555" s="6"/>
      <c r="E555" s="6"/>
      <c r="F555" s="6"/>
      <c r="G555" s="7"/>
      <c r="H555" s="7"/>
      <c r="I555" s="7"/>
      <c r="J555" s="7"/>
      <c r="K555" s="7"/>
      <c r="L555" s="6"/>
      <c r="M555" s="10"/>
      <c r="N555" s="10"/>
      <c r="O555" s="10"/>
      <c r="P555" s="6"/>
      <c r="Q555" s="10"/>
      <c r="R555" s="6"/>
      <c r="S555" s="6"/>
      <c r="T555" s="6"/>
      <c r="U555" s="10"/>
      <c r="V555" s="6"/>
      <c r="W555" s="10"/>
      <c r="X555" s="10"/>
      <c r="Y555" s="4"/>
      <c r="Z555" s="4"/>
    </row>
    <row r="556" spans="1:26" ht="15.75">
      <c r="A556" s="7"/>
      <c r="B556" s="7"/>
      <c r="C556" s="6"/>
      <c r="D556" s="6"/>
      <c r="E556" s="6"/>
      <c r="F556" s="6"/>
      <c r="G556" s="7"/>
      <c r="H556" s="7"/>
      <c r="I556" s="7"/>
      <c r="J556" s="7"/>
      <c r="K556" s="7"/>
      <c r="L556" s="6"/>
      <c r="M556" s="10"/>
      <c r="N556" s="10"/>
      <c r="O556" s="10"/>
      <c r="P556" s="6"/>
      <c r="Q556" s="10"/>
      <c r="R556" s="6"/>
      <c r="S556" s="6"/>
      <c r="T556" s="6"/>
      <c r="U556" s="10"/>
      <c r="V556" s="6"/>
      <c r="W556" s="10"/>
      <c r="X556" s="10"/>
      <c r="Y556" s="4"/>
      <c r="Z556" s="4"/>
    </row>
    <row r="557" spans="1:26" ht="15.75">
      <c r="A557" s="7"/>
      <c r="B557" s="7"/>
      <c r="C557" s="6"/>
      <c r="D557" s="6"/>
      <c r="E557" s="6"/>
      <c r="F557" s="6"/>
      <c r="G557" s="7"/>
      <c r="H557" s="7"/>
      <c r="I557" s="7"/>
      <c r="J557" s="7"/>
      <c r="K557" s="7"/>
      <c r="L557" s="6"/>
      <c r="M557" s="10"/>
      <c r="N557" s="10"/>
      <c r="O557" s="10"/>
      <c r="P557" s="6"/>
      <c r="Q557" s="10"/>
      <c r="R557" s="6"/>
      <c r="S557" s="6"/>
      <c r="T557" s="6"/>
      <c r="U557" s="10"/>
      <c r="V557" s="6"/>
      <c r="W557" s="10"/>
      <c r="X557" s="10"/>
      <c r="Y557" s="4"/>
      <c r="Z557" s="4"/>
    </row>
    <row r="558" spans="1:26" ht="15.75">
      <c r="A558" s="7"/>
      <c r="B558" s="7"/>
      <c r="C558" s="6"/>
      <c r="D558" s="6"/>
      <c r="E558" s="6"/>
      <c r="F558" s="6"/>
      <c r="G558" s="7"/>
      <c r="H558" s="7"/>
      <c r="I558" s="7"/>
      <c r="J558" s="7"/>
      <c r="K558" s="7"/>
      <c r="L558" s="6"/>
      <c r="M558" s="10"/>
      <c r="N558" s="10"/>
      <c r="O558" s="10"/>
      <c r="P558" s="6"/>
      <c r="Q558" s="10"/>
      <c r="R558" s="6"/>
      <c r="S558" s="6"/>
      <c r="T558" s="6"/>
      <c r="U558" s="10"/>
      <c r="V558" s="6"/>
      <c r="W558" s="10"/>
      <c r="X558" s="10"/>
      <c r="Y558" s="4"/>
      <c r="Z558" s="4"/>
    </row>
    <row r="559" spans="1:26" ht="15.75">
      <c r="A559" s="7"/>
      <c r="B559" s="7"/>
      <c r="C559" s="6"/>
      <c r="D559" s="6"/>
      <c r="E559" s="6"/>
      <c r="F559" s="6"/>
      <c r="G559" s="7"/>
      <c r="H559" s="7"/>
      <c r="I559" s="7"/>
      <c r="J559" s="7"/>
      <c r="K559" s="7"/>
      <c r="L559" s="6"/>
      <c r="M559" s="10"/>
      <c r="N559" s="10"/>
      <c r="O559" s="10"/>
      <c r="P559" s="6"/>
      <c r="Q559" s="10"/>
      <c r="R559" s="6"/>
      <c r="S559" s="6"/>
      <c r="T559" s="6"/>
      <c r="U559" s="10"/>
      <c r="V559" s="6"/>
      <c r="W559" s="10"/>
      <c r="X559" s="10"/>
      <c r="Y559" s="4"/>
      <c r="Z559" s="4"/>
    </row>
    <row r="560" spans="1:26" ht="15.75">
      <c r="A560" s="7"/>
      <c r="B560" s="7"/>
      <c r="C560" s="6"/>
      <c r="D560" s="6"/>
      <c r="E560" s="6"/>
      <c r="F560" s="6"/>
      <c r="G560" s="7"/>
      <c r="H560" s="7"/>
      <c r="I560" s="7"/>
      <c r="J560" s="7"/>
      <c r="K560" s="7"/>
      <c r="L560" s="6"/>
      <c r="M560" s="10"/>
      <c r="N560" s="10"/>
      <c r="O560" s="10"/>
      <c r="P560" s="6"/>
      <c r="Q560" s="10"/>
      <c r="R560" s="6"/>
      <c r="S560" s="6"/>
      <c r="T560" s="6"/>
      <c r="U560" s="10"/>
      <c r="V560" s="6"/>
      <c r="W560" s="10"/>
      <c r="X560" s="10"/>
      <c r="Y560" s="4"/>
      <c r="Z560" s="4"/>
    </row>
    <row r="561" spans="1:26" ht="15.75">
      <c r="A561" s="7"/>
      <c r="B561" s="7"/>
      <c r="C561" s="6"/>
      <c r="D561" s="6"/>
      <c r="E561" s="6"/>
      <c r="F561" s="6"/>
      <c r="G561" s="7"/>
      <c r="H561" s="7"/>
      <c r="I561" s="7"/>
      <c r="J561" s="7"/>
      <c r="K561" s="7"/>
      <c r="L561" s="6"/>
      <c r="M561" s="10"/>
      <c r="N561" s="10"/>
      <c r="O561" s="10"/>
      <c r="P561" s="6"/>
      <c r="Q561" s="10"/>
      <c r="R561" s="6"/>
      <c r="S561" s="6"/>
      <c r="T561" s="6"/>
      <c r="U561" s="10"/>
      <c r="V561" s="6"/>
      <c r="W561" s="10"/>
      <c r="X561" s="10"/>
      <c r="Y561" s="4"/>
      <c r="Z561" s="4"/>
    </row>
    <row r="562" spans="1:26" ht="15.75">
      <c r="A562" s="7"/>
      <c r="B562" s="7"/>
      <c r="C562" s="6"/>
      <c r="D562" s="6"/>
      <c r="E562" s="6"/>
      <c r="F562" s="6"/>
      <c r="G562" s="7"/>
      <c r="H562" s="7"/>
      <c r="I562" s="7"/>
      <c r="J562" s="7"/>
      <c r="K562" s="7"/>
      <c r="L562" s="6"/>
      <c r="M562" s="10"/>
      <c r="N562" s="10"/>
      <c r="O562" s="10"/>
      <c r="P562" s="6"/>
      <c r="Q562" s="10"/>
      <c r="R562" s="6"/>
      <c r="S562" s="6"/>
      <c r="T562" s="6"/>
      <c r="U562" s="10"/>
      <c r="V562" s="6"/>
      <c r="W562" s="10"/>
      <c r="X562" s="10"/>
      <c r="Y562" s="4"/>
      <c r="Z562" s="4"/>
    </row>
    <row r="563" spans="1:26" ht="15.75">
      <c r="A563" s="7"/>
      <c r="B563" s="7"/>
      <c r="C563" s="6"/>
      <c r="D563" s="6"/>
      <c r="E563" s="6"/>
      <c r="F563" s="6"/>
      <c r="G563" s="7"/>
      <c r="H563" s="7"/>
      <c r="I563" s="7"/>
      <c r="J563" s="7"/>
      <c r="K563" s="7"/>
      <c r="L563" s="6"/>
      <c r="M563" s="10"/>
      <c r="N563" s="10"/>
      <c r="O563" s="10"/>
      <c r="P563" s="6"/>
      <c r="Q563" s="10"/>
      <c r="R563" s="6"/>
      <c r="S563" s="6"/>
      <c r="T563" s="6"/>
      <c r="U563" s="10"/>
      <c r="V563" s="6"/>
      <c r="W563" s="10"/>
      <c r="X563" s="10"/>
      <c r="Y563" s="4"/>
      <c r="Z563" s="4"/>
    </row>
    <row r="564" spans="1:26" ht="15.75">
      <c r="A564" s="7"/>
      <c r="B564" s="7"/>
      <c r="C564" s="6"/>
      <c r="D564" s="6"/>
      <c r="E564" s="6"/>
      <c r="F564" s="6"/>
      <c r="G564" s="7"/>
      <c r="H564" s="7"/>
      <c r="I564" s="7"/>
      <c r="J564" s="7"/>
      <c r="K564" s="7"/>
      <c r="L564" s="6"/>
      <c r="M564" s="10"/>
      <c r="N564" s="10"/>
      <c r="O564" s="10"/>
      <c r="P564" s="6"/>
      <c r="Q564" s="10"/>
      <c r="R564" s="6"/>
      <c r="S564" s="6"/>
      <c r="T564" s="6"/>
      <c r="U564" s="10"/>
      <c r="V564" s="6"/>
      <c r="W564" s="10"/>
      <c r="X564" s="10"/>
      <c r="Y564" s="4"/>
      <c r="Z564" s="4"/>
    </row>
    <row r="565" spans="1:26" ht="15.75">
      <c r="A565" s="7"/>
      <c r="B565" s="7"/>
      <c r="C565" s="6"/>
      <c r="D565" s="6"/>
      <c r="E565" s="6"/>
      <c r="F565" s="6"/>
      <c r="G565" s="7"/>
      <c r="H565" s="7"/>
      <c r="I565" s="7"/>
      <c r="J565" s="7"/>
      <c r="K565" s="7"/>
      <c r="L565" s="6"/>
      <c r="M565" s="10"/>
      <c r="N565" s="10"/>
      <c r="O565" s="10"/>
      <c r="P565" s="6"/>
      <c r="Q565" s="10"/>
      <c r="R565" s="6"/>
      <c r="S565" s="6"/>
      <c r="T565" s="6"/>
      <c r="U565" s="10"/>
      <c r="V565" s="6"/>
      <c r="W565" s="10"/>
      <c r="X565" s="10"/>
      <c r="Y565" s="4"/>
      <c r="Z565" s="4"/>
    </row>
    <row r="566" spans="1:26" ht="15.75">
      <c r="A566" s="7"/>
      <c r="B566" s="7"/>
      <c r="C566" s="6"/>
      <c r="D566" s="6"/>
      <c r="E566" s="6"/>
      <c r="F566" s="6"/>
      <c r="G566" s="7"/>
      <c r="H566" s="7"/>
      <c r="I566" s="7"/>
      <c r="J566" s="7"/>
      <c r="K566" s="7"/>
      <c r="L566" s="6"/>
      <c r="M566" s="10"/>
      <c r="N566" s="10"/>
      <c r="O566" s="10"/>
      <c r="P566" s="6"/>
      <c r="Q566" s="10"/>
      <c r="R566" s="6"/>
      <c r="S566" s="6"/>
      <c r="T566" s="6"/>
      <c r="U566" s="10"/>
      <c r="V566" s="6"/>
      <c r="W566" s="10"/>
      <c r="X566" s="10"/>
      <c r="Y566" s="4"/>
      <c r="Z566" s="4"/>
    </row>
    <row r="567" spans="1:26" ht="15.75">
      <c r="A567" s="7"/>
      <c r="B567" s="7"/>
      <c r="C567" s="6"/>
      <c r="D567" s="6"/>
      <c r="E567" s="6"/>
      <c r="F567" s="6"/>
      <c r="G567" s="7"/>
      <c r="H567" s="7"/>
      <c r="I567" s="7"/>
      <c r="J567" s="7"/>
      <c r="K567" s="7"/>
      <c r="L567" s="6"/>
      <c r="M567" s="10"/>
      <c r="N567" s="10"/>
      <c r="O567" s="10"/>
      <c r="P567" s="6"/>
      <c r="Q567" s="10"/>
      <c r="R567" s="6"/>
      <c r="S567" s="6"/>
      <c r="T567" s="6"/>
      <c r="U567" s="10"/>
      <c r="V567" s="6"/>
      <c r="W567" s="10"/>
      <c r="X567" s="10"/>
      <c r="Y567" s="4"/>
      <c r="Z567" s="4"/>
    </row>
    <row r="568" spans="1:26" ht="15.75">
      <c r="A568" s="7"/>
      <c r="B568" s="7"/>
      <c r="C568" s="6"/>
      <c r="D568" s="6"/>
      <c r="E568" s="6"/>
      <c r="F568" s="6"/>
      <c r="G568" s="7"/>
      <c r="H568" s="7"/>
      <c r="I568" s="7"/>
      <c r="J568" s="7"/>
      <c r="K568" s="7"/>
      <c r="L568" s="6"/>
      <c r="M568" s="10"/>
      <c r="N568" s="10"/>
      <c r="O568" s="10"/>
      <c r="P568" s="6"/>
      <c r="Q568" s="10"/>
      <c r="R568" s="6"/>
      <c r="S568" s="6"/>
      <c r="T568" s="6"/>
      <c r="U568" s="10"/>
      <c r="V568" s="6"/>
      <c r="W568" s="10"/>
      <c r="X568" s="10"/>
      <c r="Y568" s="4"/>
      <c r="Z568" s="4"/>
    </row>
    <row r="569" spans="1:26" ht="15.75">
      <c r="A569" s="7"/>
      <c r="B569" s="7"/>
      <c r="C569" s="6"/>
      <c r="D569" s="6"/>
      <c r="E569" s="6"/>
      <c r="F569" s="6"/>
      <c r="G569" s="7"/>
      <c r="H569" s="7"/>
      <c r="I569" s="7"/>
      <c r="J569" s="7"/>
      <c r="K569" s="7"/>
      <c r="L569" s="6"/>
      <c r="M569" s="10"/>
      <c r="N569" s="10"/>
      <c r="O569" s="10"/>
      <c r="P569" s="6"/>
      <c r="Q569" s="10"/>
      <c r="R569" s="6"/>
      <c r="S569" s="6"/>
      <c r="T569" s="6"/>
      <c r="U569" s="10"/>
      <c r="V569" s="6"/>
      <c r="W569" s="10"/>
      <c r="X569" s="10"/>
      <c r="Y569" s="4"/>
      <c r="Z569" s="4"/>
    </row>
    <row r="570" spans="1:26" ht="15.75">
      <c r="A570" s="7"/>
      <c r="B570" s="7"/>
      <c r="C570" s="6"/>
      <c r="D570" s="6"/>
      <c r="E570" s="6"/>
      <c r="F570" s="6"/>
      <c r="G570" s="7"/>
      <c r="H570" s="7"/>
      <c r="I570" s="7"/>
      <c r="J570" s="7"/>
      <c r="K570" s="7"/>
      <c r="L570" s="6"/>
      <c r="M570" s="10"/>
      <c r="N570" s="10"/>
      <c r="O570" s="10"/>
      <c r="P570" s="6"/>
      <c r="Q570" s="10"/>
      <c r="R570" s="6"/>
      <c r="S570" s="6"/>
      <c r="T570" s="6"/>
      <c r="U570" s="10"/>
      <c r="V570" s="6"/>
      <c r="W570" s="10"/>
      <c r="X570" s="10"/>
      <c r="Y570" s="4"/>
      <c r="Z570" s="4"/>
    </row>
    <row r="571" spans="1:26" ht="15.75">
      <c r="A571" s="7"/>
      <c r="B571" s="7"/>
      <c r="C571" s="6"/>
      <c r="D571" s="6"/>
      <c r="E571" s="6"/>
      <c r="F571" s="6"/>
      <c r="G571" s="7"/>
      <c r="H571" s="7"/>
      <c r="I571" s="7"/>
      <c r="J571" s="7"/>
      <c r="K571" s="7"/>
      <c r="L571" s="6"/>
      <c r="M571" s="10"/>
      <c r="N571" s="10"/>
      <c r="O571" s="10"/>
      <c r="P571" s="6"/>
      <c r="Q571" s="10"/>
      <c r="R571" s="6"/>
      <c r="S571" s="6"/>
      <c r="T571" s="6"/>
      <c r="U571" s="10"/>
      <c r="V571" s="6"/>
      <c r="W571" s="10"/>
      <c r="X571" s="10"/>
      <c r="Y571" s="4"/>
      <c r="Z571" s="4"/>
    </row>
    <row r="572" spans="1:26" ht="15.75">
      <c r="A572" s="7"/>
      <c r="B572" s="7"/>
      <c r="C572" s="6"/>
      <c r="D572" s="6"/>
      <c r="E572" s="6"/>
      <c r="F572" s="6"/>
      <c r="G572" s="7"/>
      <c r="H572" s="7"/>
      <c r="I572" s="7"/>
      <c r="J572" s="7"/>
      <c r="K572" s="7"/>
      <c r="L572" s="6"/>
      <c r="M572" s="10"/>
      <c r="N572" s="10"/>
      <c r="O572" s="10"/>
      <c r="P572" s="6"/>
      <c r="Q572" s="10"/>
      <c r="R572" s="6"/>
      <c r="S572" s="6"/>
      <c r="T572" s="6"/>
      <c r="U572" s="10"/>
      <c r="V572" s="6"/>
      <c r="W572" s="10"/>
      <c r="X572" s="10"/>
      <c r="Y572" s="4"/>
      <c r="Z572" s="4"/>
    </row>
    <row r="573" spans="1:26" ht="15.75">
      <c r="A573" s="7"/>
      <c r="B573" s="7"/>
      <c r="C573" s="6"/>
      <c r="D573" s="6"/>
      <c r="E573" s="6"/>
      <c r="F573" s="6"/>
      <c r="G573" s="7"/>
      <c r="H573" s="7"/>
      <c r="I573" s="7"/>
      <c r="J573" s="7"/>
      <c r="K573" s="7"/>
      <c r="L573" s="6"/>
      <c r="M573" s="10"/>
      <c r="N573" s="10"/>
      <c r="O573" s="10"/>
      <c r="P573" s="6"/>
      <c r="Q573" s="10"/>
      <c r="R573" s="6"/>
      <c r="S573" s="6"/>
      <c r="T573" s="6"/>
      <c r="U573" s="10"/>
      <c r="V573" s="6"/>
      <c r="W573" s="10"/>
      <c r="X573" s="10"/>
      <c r="Y573" s="4"/>
      <c r="Z573" s="4"/>
    </row>
    <row r="574" spans="1:26" ht="15.75">
      <c r="A574" s="7"/>
      <c r="B574" s="7"/>
      <c r="C574" s="6"/>
      <c r="D574" s="6"/>
      <c r="E574" s="6"/>
      <c r="F574" s="6"/>
      <c r="G574" s="7"/>
      <c r="H574" s="7"/>
      <c r="I574" s="7"/>
      <c r="J574" s="7"/>
      <c r="K574" s="7"/>
      <c r="L574" s="6"/>
      <c r="M574" s="10"/>
      <c r="N574" s="10"/>
      <c r="O574" s="10"/>
      <c r="P574" s="6"/>
      <c r="Q574" s="10"/>
      <c r="R574" s="6"/>
      <c r="S574" s="6"/>
      <c r="T574" s="6"/>
      <c r="U574" s="10"/>
      <c r="V574" s="6"/>
      <c r="W574" s="10"/>
      <c r="X574" s="10"/>
      <c r="Y574" s="4"/>
      <c r="Z574" s="4"/>
    </row>
    <row r="575" spans="1:26" ht="15.75">
      <c r="A575" s="7"/>
      <c r="B575" s="7"/>
      <c r="C575" s="6"/>
      <c r="D575" s="6"/>
      <c r="E575" s="6"/>
      <c r="F575" s="6"/>
      <c r="G575" s="7"/>
      <c r="H575" s="7"/>
      <c r="I575" s="7"/>
      <c r="J575" s="7"/>
      <c r="K575" s="7"/>
      <c r="L575" s="6"/>
      <c r="M575" s="10"/>
      <c r="N575" s="10"/>
      <c r="O575" s="10"/>
      <c r="P575" s="6"/>
      <c r="Q575" s="10"/>
      <c r="R575" s="6"/>
      <c r="S575" s="6"/>
      <c r="T575" s="6"/>
      <c r="U575" s="10"/>
      <c r="V575" s="6"/>
      <c r="W575" s="10"/>
      <c r="X575" s="10"/>
      <c r="Y575" s="4"/>
      <c r="Z575" s="4"/>
    </row>
    <row r="576" spans="1:26" ht="15.75">
      <c r="A576" s="7"/>
      <c r="B576" s="7"/>
      <c r="C576" s="6"/>
      <c r="D576" s="6"/>
      <c r="E576" s="6"/>
      <c r="F576" s="6"/>
      <c r="G576" s="7"/>
      <c r="H576" s="7"/>
      <c r="I576" s="7"/>
      <c r="J576" s="7"/>
      <c r="K576" s="7"/>
      <c r="L576" s="6"/>
      <c r="M576" s="10"/>
      <c r="N576" s="10"/>
      <c r="O576" s="10"/>
      <c r="P576" s="6"/>
      <c r="Q576" s="10"/>
      <c r="R576" s="6"/>
      <c r="S576" s="6"/>
      <c r="T576" s="6"/>
      <c r="U576" s="10"/>
      <c r="V576" s="6"/>
      <c r="W576" s="10"/>
      <c r="X576" s="10"/>
      <c r="Y576" s="4"/>
      <c r="Z576" s="4"/>
    </row>
    <row r="577" spans="1:26" ht="15.75">
      <c r="A577" s="7"/>
      <c r="B577" s="7"/>
      <c r="C577" s="6"/>
      <c r="D577" s="6"/>
      <c r="E577" s="6"/>
      <c r="F577" s="6"/>
      <c r="G577" s="7"/>
      <c r="H577" s="7"/>
      <c r="I577" s="7"/>
      <c r="J577" s="7"/>
      <c r="K577" s="7"/>
      <c r="L577" s="6"/>
      <c r="M577" s="10"/>
      <c r="N577" s="10"/>
      <c r="O577" s="10"/>
      <c r="P577" s="6"/>
      <c r="Q577" s="10"/>
      <c r="R577" s="6"/>
      <c r="S577" s="6"/>
      <c r="T577" s="6"/>
      <c r="U577" s="10"/>
      <c r="V577" s="6"/>
      <c r="W577" s="10"/>
      <c r="X577" s="10"/>
      <c r="Y577" s="4"/>
      <c r="Z577" s="4"/>
    </row>
    <row r="578" spans="1:26" ht="15.75">
      <c r="A578" s="7"/>
      <c r="B578" s="7"/>
      <c r="C578" s="6"/>
      <c r="D578" s="6"/>
      <c r="E578" s="6"/>
      <c r="F578" s="6"/>
      <c r="G578" s="7"/>
      <c r="H578" s="7"/>
      <c r="I578" s="7"/>
      <c r="J578" s="7"/>
      <c r="K578" s="7"/>
      <c r="L578" s="6"/>
      <c r="M578" s="10"/>
      <c r="N578" s="10"/>
      <c r="O578" s="10"/>
      <c r="P578" s="6"/>
      <c r="Q578" s="10"/>
      <c r="R578" s="6"/>
      <c r="S578" s="6"/>
      <c r="T578" s="6"/>
      <c r="U578" s="10"/>
      <c r="V578" s="6"/>
      <c r="W578" s="10"/>
      <c r="X578" s="10"/>
      <c r="Y578" s="4"/>
      <c r="Z578" s="4"/>
    </row>
    <row r="579" spans="1:26" ht="15.75">
      <c r="A579" s="7"/>
      <c r="B579" s="7"/>
      <c r="C579" s="6"/>
      <c r="D579" s="6"/>
      <c r="E579" s="6"/>
      <c r="F579" s="6"/>
      <c r="G579" s="7"/>
      <c r="H579" s="7"/>
      <c r="I579" s="7"/>
      <c r="J579" s="7"/>
      <c r="K579" s="7"/>
      <c r="L579" s="6"/>
      <c r="M579" s="10"/>
      <c r="N579" s="10"/>
      <c r="O579" s="10"/>
      <c r="P579" s="6"/>
      <c r="Q579" s="10"/>
      <c r="R579" s="6"/>
      <c r="S579" s="6"/>
      <c r="T579" s="6"/>
      <c r="U579" s="10"/>
      <c r="V579" s="6"/>
      <c r="W579" s="10"/>
      <c r="X579" s="10"/>
      <c r="Y579" s="4"/>
      <c r="Z579" s="4"/>
    </row>
    <row r="580" spans="1:26" ht="15.75">
      <c r="A580" s="7"/>
      <c r="B580" s="7"/>
      <c r="C580" s="6"/>
      <c r="D580" s="6"/>
      <c r="E580" s="6"/>
      <c r="F580" s="6"/>
      <c r="G580" s="7"/>
      <c r="H580" s="7"/>
      <c r="I580" s="7"/>
      <c r="J580" s="7"/>
      <c r="K580" s="7"/>
      <c r="L580" s="6"/>
      <c r="M580" s="10"/>
      <c r="N580" s="10"/>
      <c r="O580" s="10"/>
      <c r="P580" s="6"/>
      <c r="Q580" s="10"/>
      <c r="R580" s="6"/>
      <c r="S580" s="6"/>
      <c r="T580" s="6"/>
      <c r="U580" s="10"/>
      <c r="V580" s="6"/>
      <c r="W580" s="10"/>
      <c r="X580" s="10"/>
      <c r="Y580" s="4"/>
      <c r="Z580" s="4"/>
    </row>
    <row r="581" spans="1:26" ht="15.75">
      <c r="A581" s="7"/>
      <c r="B581" s="7"/>
      <c r="C581" s="6"/>
      <c r="D581" s="6"/>
      <c r="E581" s="6"/>
      <c r="F581" s="6"/>
      <c r="G581" s="7"/>
      <c r="H581" s="7"/>
      <c r="I581" s="7"/>
      <c r="J581" s="7"/>
      <c r="K581" s="7"/>
      <c r="L581" s="6"/>
      <c r="M581" s="10"/>
      <c r="N581" s="10"/>
      <c r="O581" s="10"/>
      <c r="P581" s="6"/>
      <c r="Q581" s="10"/>
      <c r="R581" s="6"/>
      <c r="S581" s="6"/>
      <c r="T581" s="6"/>
      <c r="U581" s="10"/>
      <c r="V581" s="6"/>
      <c r="W581" s="10"/>
      <c r="X581" s="10"/>
      <c r="Y581" s="4"/>
      <c r="Z581" s="4"/>
    </row>
    <row r="582" spans="1:26" ht="15.75">
      <c r="A582" s="7"/>
      <c r="B582" s="7"/>
      <c r="C582" s="6"/>
      <c r="D582" s="6"/>
      <c r="E582" s="6"/>
      <c r="F582" s="6"/>
      <c r="G582" s="7"/>
      <c r="H582" s="7"/>
      <c r="I582" s="7"/>
      <c r="J582" s="7"/>
      <c r="K582" s="7"/>
      <c r="L582" s="6"/>
      <c r="M582" s="10"/>
      <c r="N582" s="10"/>
      <c r="O582" s="10"/>
      <c r="P582" s="6"/>
      <c r="Q582" s="10"/>
      <c r="R582" s="6"/>
      <c r="S582" s="6"/>
      <c r="T582" s="6"/>
      <c r="U582" s="10"/>
      <c r="V582" s="6"/>
      <c r="W582" s="10"/>
      <c r="X582" s="10"/>
      <c r="Y582" s="4"/>
      <c r="Z582" s="4"/>
    </row>
    <row r="583" spans="1:26" ht="15.75">
      <c r="A583" s="7"/>
      <c r="B583" s="7"/>
      <c r="C583" s="6"/>
      <c r="D583" s="6"/>
      <c r="E583" s="6"/>
      <c r="F583" s="6"/>
      <c r="G583" s="7"/>
      <c r="H583" s="7"/>
      <c r="I583" s="7"/>
      <c r="J583" s="7"/>
      <c r="K583" s="7"/>
      <c r="L583" s="6"/>
      <c r="M583" s="10"/>
      <c r="N583" s="10"/>
      <c r="O583" s="10"/>
      <c r="P583" s="6"/>
      <c r="Q583" s="10"/>
      <c r="R583" s="6"/>
      <c r="S583" s="6"/>
      <c r="T583" s="6"/>
      <c r="U583" s="10"/>
      <c r="V583" s="6"/>
      <c r="W583" s="10"/>
      <c r="X583" s="10"/>
      <c r="Y583" s="4"/>
      <c r="Z583" s="4"/>
    </row>
    <row r="584" spans="1:26" ht="15.75">
      <c r="A584" s="7"/>
      <c r="B584" s="7"/>
      <c r="C584" s="6"/>
      <c r="D584" s="6"/>
      <c r="E584" s="6"/>
      <c r="F584" s="6"/>
      <c r="G584" s="7"/>
      <c r="H584" s="7"/>
      <c r="I584" s="7"/>
      <c r="J584" s="7"/>
      <c r="K584" s="7"/>
      <c r="L584" s="6"/>
      <c r="M584" s="10"/>
      <c r="N584" s="10"/>
      <c r="O584" s="10"/>
      <c r="P584" s="6"/>
      <c r="Q584" s="10"/>
      <c r="R584" s="6"/>
      <c r="S584" s="6"/>
      <c r="T584" s="6"/>
      <c r="U584" s="10"/>
      <c r="V584" s="6"/>
      <c r="W584" s="10"/>
      <c r="X584" s="10"/>
      <c r="Y584" s="4"/>
      <c r="Z584" s="4"/>
    </row>
    <row r="585" spans="1:26" ht="15.75">
      <c r="A585" s="7"/>
      <c r="B585" s="7"/>
      <c r="C585" s="6"/>
      <c r="D585" s="6"/>
      <c r="E585" s="6"/>
      <c r="F585" s="6"/>
      <c r="G585" s="7"/>
      <c r="H585" s="7"/>
      <c r="I585" s="7"/>
      <c r="J585" s="7"/>
      <c r="K585" s="7"/>
      <c r="L585" s="6"/>
      <c r="M585" s="10"/>
      <c r="N585" s="10"/>
      <c r="O585" s="10"/>
      <c r="P585" s="6"/>
      <c r="Q585" s="10"/>
      <c r="R585" s="6"/>
      <c r="S585" s="6"/>
      <c r="T585" s="6"/>
      <c r="U585" s="10"/>
      <c r="V585" s="6"/>
      <c r="W585" s="10"/>
      <c r="X585" s="10"/>
      <c r="Y585" s="4"/>
      <c r="Z585" s="4"/>
    </row>
    <row r="586" spans="1:26" ht="15.75">
      <c r="A586" s="7"/>
      <c r="B586" s="7"/>
      <c r="C586" s="6"/>
      <c r="D586" s="6"/>
      <c r="E586" s="6"/>
      <c r="F586" s="6"/>
      <c r="G586" s="7"/>
      <c r="H586" s="7"/>
      <c r="I586" s="7"/>
      <c r="J586" s="7"/>
      <c r="K586" s="7"/>
      <c r="L586" s="6"/>
      <c r="M586" s="10"/>
      <c r="N586" s="10"/>
      <c r="O586" s="10"/>
      <c r="P586" s="6"/>
      <c r="Q586" s="10"/>
      <c r="R586" s="6"/>
      <c r="S586" s="6"/>
      <c r="T586" s="6"/>
      <c r="U586" s="10"/>
      <c r="V586" s="6"/>
      <c r="W586" s="10"/>
      <c r="X586" s="10"/>
      <c r="Y586" s="4"/>
      <c r="Z586" s="4"/>
    </row>
    <row r="587" spans="1:26" ht="15.75">
      <c r="A587" s="7"/>
      <c r="B587" s="7"/>
      <c r="C587" s="6"/>
      <c r="D587" s="6"/>
      <c r="E587" s="6"/>
      <c r="F587" s="6"/>
      <c r="G587" s="7"/>
      <c r="H587" s="7"/>
      <c r="I587" s="7"/>
      <c r="J587" s="7"/>
      <c r="K587" s="7"/>
      <c r="L587" s="6"/>
      <c r="M587" s="10"/>
      <c r="N587" s="10"/>
      <c r="O587" s="10"/>
      <c r="P587" s="6"/>
      <c r="Q587" s="10"/>
      <c r="R587" s="6"/>
      <c r="S587" s="6"/>
      <c r="T587" s="6"/>
      <c r="U587" s="10"/>
      <c r="V587" s="6"/>
      <c r="W587" s="10"/>
      <c r="X587" s="10"/>
      <c r="Y587" s="4"/>
      <c r="Z587" s="4"/>
    </row>
    <row r="588" spans="1:26" ht="15.75">
      <c r="A588" s="7"/>
      <c r="B588" s="7"/>
      <c r="C588" s="6"/>
      <c r="D588" s="6"/>
      <c r="E588" s="6"/>
      <c r="F588" s="6"/>
      <c r="G588" s="7"/>
      <c r="H588" s="7"/>
      <c r="I588" s="7"/>
      <c r="J588" s="7"/>
      <c r="K588" s="7"/>
      <c r="L588" s="6"/>
      <c r="M588" s="10"/>
      <c r="N588" s="10"/>
      <c r="O588" s="10"/>
      <c r="P588" s="6"/>
      <c r="Q588" s="10"/>
      <c r="R588" s="6"/>
      <c r="S588" s="6"/>
      <c r="T588" s="6"/>
      <c r="U588" s="10"/>
      <c r="V588" s="6"/>
      <c r="W588" s="10"/>
      <c r="X588" s="10"/>
      <c r="Y588" s="4"/>
      <c r="Z588" s="4"/>
    </row>
    <row r="589" spans="1:26" ht="15.75">
      <c r="A589" s="7"/>
      <c r="B589" s="7"/>
      <c r="C589" s="6"/>
      <c r="D589" s="6"/>
      <c r="E589" s="6"/>
      <c r="F589" s="6"/>
      <c r="G589" s="7"/>
      <c r="H589" s="7"/>
      <c r="I589" s="7"/>
      <c r="J589" s="7"/>
      <c r="K589" s="7"/>
      <c r="L589" s="6"/>
      <c r="M589" s="10"/>
      <c r="N589" s="10"/>
      <c r="O589" s="10"/>
      <c r="P589" s="6"/>
      <c r="Q589" s="10"/>
      <c r="R589" s="6"/>
      <c r="S589" s="6"/>
      <c r="T589" s="6"/>
      <c r="U589" s="10"/>
      <c r="V589" s="6"/>
      <c r="W589" s="10"/>
      <c r="X589" s="10"/>
      <c r="Y589" s="4"/>
      <c r="Z589" s="4"/>
    </row>
    <row r="590" spans="1:26" ht="15.75">
      <c r="A590" s="7"/>
      <c r="B590" s="7"/>
      <c r="C590" s="6"/>
      <c r="D590" s="6"/>
      <c r="E590" s="6"/>
      <c r="F590" s="6"/>
      <c r="G590" s="7"/>
      <c r="H590" s="7"/>
      <c r="I590" s="7"/>
      <c r="J590" s="7"/>
      <c r="K590" s="7"/>
      <c r="L590" s="6"/>
      <c r="M590" s="10"/>
      <c r="N590" s="10"/>
      <c r="O590" s="10"/>
      <c r="P590" s="6"/>
      <c r="Q590" s="10"/>
      <c r="R590" s="6"/>
      <c r="S590" s="6"/>
      <c r="T590" s="6"/>
      <c r="U590" s="10"/>
      <c r="V590" s="6"/>
      <c r="W590" s="10"/>
      <c r="X590" s="10"/>
      <c r="Y590" s="4"/>
      <c r="Z590" s="4"/>
    </row>
    <row r="591" spans="1:26" ht="15.75">
      <c r="A591" s="7"/>
      <c r="B591" s="7"/>
      <c r="C591" s="6"/>
      <c r="D591" s="6"/>
      <c r="E591" s="6"/>
      <c r="F591" s="6"/>
      <c r="G591" s="7"/>
      <c r="H591" s="7"/>
      <c r="I591" s="7"/>
      <c r="J591" s="7"/>
      <c r="K591" s="7"/>
      <c r="L591" s="6"/>
      <c r="M591" s="10"/>
      <c r="N591" s="10"/>
      <c r="O591" s="10"/>
      <c r="P591" s="6"/>
      <c r="Q591" s="10"/>
      <c r="R591" s="6"/>
      <c r="S591" s="6"/>
      <c r="T591" s="6"/>
      <c r="U591" s="10"/>
      <c r="V591" s="6"/>
      <c r="W591" s="10"/>
      <c r="X591" s="10"/>
      <c r="Y591" s="4"/>
      <c r="Z591" s="4"/>
    </row>
    <row r="592" spans="1:26" ht="15.75">
      <c r="A592" s="7"/>
      <c r="B592" s="7"/>
      <c r="C592" s="6"/>
      <c r="D592" s="6"/>
      <c r="E592" s="6"/>
      <c r="F592" s="6"/>
      <c r="G592" s="7"/>
      <c r="H592" s="7"/>
      <c r="I592" s="7"/>
      <c r="J592" s="7"/>
      <c r="K592" s="7"/>
      <c r="L592" s="6"/>
      <c r="M592" s="10"/>
      <c r="N592" s="10"/>
      <c r="O592" s="10"/>
      <c r="P592" s="6"/>
      <c r="Q592" s="10"/>
      <c r="R592" s="6"/>
      <c r="S592" s="6"/>
      <c r="T592" s="6"/>
      <c r="U592" s="10"/>
      <c r="V592" s="6"/>
      <c r="W592" s="10"/>
      <c r="X592" s="10"/>
      <c r="Y592" s="4"/>
      <c r="Z592" s="4"/>
    </row>
    <row r="593" spans="1:26" ht="15.75">
      <c r="A593" s="7"/>
      <c r="B593" s="7"/>
      <c r="C593" s="6"/>
      <c r="D593" s="6"/>
      <c r="E593" s="6"/>
      <c r="F593" s="6"/>
      <c r="G593" s="7"/>
      <c r="H593" s="7"/>
      <c r="I593" s="7"/>
      <c r="J593" s="7"/>
      <c r="K593" s="7"/>
      <c r="L593" s="6"/>
      <c r="M593" s="10"/>
      <c r="N593" s="10"/>
      <c r="O593" s="10"/>
      <c r="P593" s="6"/>
      <c r="Q593" s="10"/>
      <c r="R593" s="6"/>
      <c r="S593" s="6"/>
      <c r="T593" s="6"/>
      <c r="U593" s="10"/>
      <c r="V593" s="6"/>
      <c r="W593" s="10"/>
      <c r="X593" s="10"/>
      <c r="Y593" s="4"/>
      <c r="Z593" s="4"/>
    </row>
    <row r="594" spans="1:26" ht="15.75">
      <c r="A594" s="7"/>
      <c r="B594" s="7"/>
      <c r="C594" s="6"/>
      <c r="D594" s="6"/>
      <c r="E594" s="6"/>
      <c r="F594" s="6"/>
      <c r="G594" s="7"/>
      <c r="H594" s="7"/>
      <c r="I594" s="7"/>
      <c r="J594" s="7"/>
      <c r="K594" s="7"/>
      <c r="L594" s="6"/>
      <c r="M594" s="10"/>
      <c r="N594" s="10"/>
      <c r="O594" s="10"/>
      <c r="P594" s="6"/>
      <c r="Q594" s="10"/>
      <c r="R594" s="6"/>
      <c r="S594" s="6"/>
      <c r="T594" s="6"/>
      <c r="U594" s="10"/>
      <c r="V594" s="6"/>
      <c r="W594" s="10"/>
      <c r="X594" s="10"/>
      <c r="Y594" s="4"/>
      <c r="Z594" s="4"/>
    </row>
    <row r="595" spans="1:26" ht="15.75">
      <c r="A595" s="7"/>
      <c r="B595" s="7"/>
      <c r="C595" s="6"/>
      <c r="D595" s="6"/>
      <c r="E595" s="6"/>
      <c r="F595" s="6"/>
      <c r="G595" s="7"/>
      <c r="H595" s="7"/>
      <c r="I595" s="7"/>
      <c r="J595" s="7"/>
      <c r="K595" s="7"/>
      <c r="L595" s="6"/>
      <c r="M595" s="10"/>
      <c r="N595" s="10"/>
      <c r="O595" s="10"/>
      <c r="P595" s="6"/>
      <c r="Q595" s="10"/>
      <c r="R595" s="6"/>
      <c r="S595" s="6"/>
      <c r="T595" s="6"/>
      <c r="U595" s="10"/>
      <c r="V595" s="6"/>
      <c r="W595" s="10"/>
      <c r="X595" s="10"/>
      <c r="Y595" s="4"/>
      <c r="Z595" s="4"/>
    </row>
    <row r="596" spans="1:26" ht="15.75">
      <c r="A596" s="7"/>
      <c r="B596" s="7"/>
      <c r="C596" s="6"/>
      <c r="D596" s="6"/>
      <c r="E596" s="6"/>
      <c r="F596" s="6"/>
      <c r="G596" s="7"/>
      <c r="H596" s="7"/>
      <c r="I596" s="7"/>
      <c r="J596" s="7"/>
      <c r="K596" s="7"/>
      <c r="L596" s="6"/>
      <c r="M596" s="10"/>
      <c r="N596" s="10"/>
      <c r="O596" s="10"/>
      <c r="P596" s="6"/>
      <c r="Q596" s="10"/>
      <c r="R596" s="6"/>
      <c r="S596" s="6"/>
      <c r="T596" s="6"/>
      <c r="U596" s="10"/>
      <c r="V596" s="6"/>
      <c r="W596" s="10"/>
      <c r="X596" s="10"/>
      <c r="Y596" s="4"/>
      <c r="Z596" s="4"/>
    </row>
    <row r="597" spans="1:26" ht="15.75">
      <c r="A597" s="7"/>
      <c r="B597" s="7"/>
      <c r="C597" s="6"/>
      <c r="D597" s="6"/>
      <c r="E597" s="6"/>
      <c r="F597" s="6"/>
      <c r="G597" s="7"/>
      <c r="H597" s="7"/>
      <c r="I597" s="7"/>
      <c r="J597" s="7"/>
      <c r="K597" s="7"/>
      <c r="L597" s="6"/>
      <c r="M597" s="10"/>
      <c r="N597" s="10"/>
      <c r="O597" s="10"/>
      <c r="P597" s="6"/>
      <c r="Q597" s="10"/>
      <c r="R597" s="6"/>
      <c r="S597" s="6"/>
      <c r="T597" s="6"/>
      <c r="U597" s="10"/>
      <c r="V597" s="6"/>
      <c r="W597" s="10"/>
      <c r="X597" s="10"/>
      <c r="Y597" s="4"/>
      <c r="Z597" s="4"/>
    </row>
    <row r="598" spans="1:26" ht="15.75">
      <c r="A598" s="7"/>
      <c r="B598" s="7"/>
      <c r="C598" s="6"/>
      <c r="D598" s="6"/>
      <c r="E598" s="6"/>
      <c r="F598" s="6"/>
      <c r="G598" s="7"/>
      <c r="H598" s="7"/>
      <c r="I598" s="7"/>
      <c r="J598" s="7"/>
      <c r="K598" s="7"/>
      <c r="L598" s="6"/>
      <c r="M598" s="10"/>
      <c r="N598" s="10"/>
      <c r="O598" s="10"/>
      <c r="P598" s="6"/>
      <c r="Q598" s="10"/>
      <c r="R598" s="6"/>
      <c r="S598" s="6"/>
      <c r="T598" s="6"/>
      <c r="U598" s="10"/>
      <c r="V598" s="6"/>
      <c r="W598" s="10"/>
      <c r="X598" s="10"/>
      <c r="Y598" s="4"/>
      <c r="Z598" s="4"/>
    </row>
    <row r="599" spans="1:26" ht="15.75">
      <c r="A599" s="7"/>
      <c r="B599" s="7"/>
      <c r="C599" s="6"/>
      <c r="D599" s="6"/>
      <c r="E599" s="6"/>
      <c r="F599" s="6"/>
      <c r="G599" s="7"/>
      <c r="H599" s="7"/>
      <c r="I599" s="7"/>
      <c r="J599" s="7"/>
      <c r="K599" s="7"/>
      <c r="L599" s="6"/>
      <c r="M599" s="10"/>
      <c r="N599" s="10"/>
      <c r="O599" s="10"/>
      <c r="P599" s="6"/>
      <c r="Q599" s="10"/>
      <c r="R599" s="6"/>
      <c r="S599" s="6"/>
      <c r="T599" s="6"/>
      <c r="U599" s="10"/>
      <c r="V599" s="6"/>
      <c r="W599" s="10"/>
      <c r="X599" s="10"/>
      <c r="Y599" s="4"/>
      <c r="Z599" s="4"/>
    </row>
    <row r="600" spans="1:26" ht="15.75">
      <c r="A600" s="7"/>
      <c r="B600" s="7"/>
      <c r="C600" s="6"/>
      <c r="D600" s="6"/>
      <c r="E600" s="6"/>
      <c r="F600" s="6"/>
      <c r="G600" s="7"/>
      <c r="H600" s="7"/>
      <c r="I600" s="7"/>
      <c r="J600" s="7"/>
      <c r="K600" s="7"/>
      <c r="L600" s="6"/>
      <c r="M600" s="10"/>
      <c r="N600" s="10"/>
      <c r="O600" s="10"/>
      <c r="P600" s="6"/>
      <c r="Q600" s="10"/>
      <c r="R600" s="6"/>
      <c r="S600" s="6"/>
      <c r="T600" s="6"/>
      <c r="U600" s="10"/>
      <c r="V600" s="6"/>
      <c r="W600" s="10"/>
      <c r="X600" s="10"/>
      <c r="Y600" s="4"/>
      <c r="Z600" s="4"/>
    </row>
    <row r="601" spans="1:26" ht="15.75">
      <c r="A601" s="7"/>
      <c r="B601" s="7"/>
      <c r="C601" s="6"/>
      <c r="D601" s="6"/>
      <c r="E601" s="6"/>
      <c r="F601" s="6"/>
      <c r="G601" s="7"/>
      <c r="H601" s="7"/>
      <c r="I601" s="7"/>
      <c r="J601" s="7"/>
      <c r="K601" s="7"/>
      <c r="L601" s="6"/>
      <c r="M601" s="10"/>
      <c r="N601" s="10"/>
      <c r="O601" s="10"/>
      <c r="P601" s="6"/>
      <c r="Q601" s="10"/>
      <c r="R601" s="6"/>
      <c r="S601" s="6"/>
      <c r="T601" s="6"/>
      <c r="U601" s="10"/>
      <c r="V601" s="6"/>
      <c r="W601" s="10"/>
      <c r="X601" s="10"/>
      <c r="Y601" s="4"/>
      <c r="Z601" s="4"/>
    </row>
    <row r="602" spans="1:26" ht="15.75">
      <c r="A602" s="7"/>
      <c r="B602" s="7"/>
      <c r="C602" s="6"/>
      <c r="D602" s="6"/>
      <c r="E602" s="6"/>
      <c r="F602" s="6"/>
      <c r="G602" s="7"/>
      <c r="H602" s="7"/>
      <c r="I602" s="7"/>
      <c r="J602" s="7"/>
      <c r="K602" s="7"/>
      <c r="L602" s="6"/>
      <c r="M602" s="10"/>
      <c r="N602" s="10"/>
      <c r="O602" s="10"/>
      <c r="P602" s="6"/>
      <c r="Q602" s="10"/>
      <c r="R602" s="6"/>
      <c r="S602" s="6"/>
      <c r="T602" s="6"/>
      <c r="U602" s="10"/>
      <c r="V602" s="6"/>
      <c r="W602" s="10"/>
      <c r="X602" s="10"/>
      <c r="Y602" s="4"/>
      <c r="Z602" s="4"/>
    </row>
    <row r="603" spans="1:26" ht="15.75">
      <c r="A603" s="7"/>
      <c r="B603" s="7"/>
      <c r="C603" s="6"/>
      <c r="D603" s="6"/>
      <c r="E603" s="6"/>
      <c r="F603" s="6"/>
      <c r="G603" s="7"/>
      <c r="H603" s="7"/>
      <c r="I603" s="7"/>
      <c r="J603" s="7"/>
      <c r="K603" s="7"/>
      <c r="L603" s="6"/>
      <c r="M603" s="10"/>
      <c r="N603" s="10"/>
      <c r="O603" s="10"/>
      <c r="P603" s="6"/>
      <c r="Q603" s="10"/>
      <c r="R603" s="6"/>
      <c r="S603" s="6"/>
      <c r="T603" s="6"/>
      <c r="U603" s="10"/>
      <c r="V603" s="6"/>
      <c r="W603" s="10"/>
      <c r="X603" s="10"/>
      <c r="Y603" s="4"/>
      <c r="Z603" s="4"/>
    </row>
    <row r="604" spans="1:26" ht="15.75">
      <c r="A604" s="7"/>
      <c r="B604" s="7"/>
      <c r="C604" s="6"/>
      <c r="D604" s="6"/>
      <c r="E604" s="6"/>
      <c r="F604" s="6"/>
      <c r="G604" s="7"/>
      <c r="H604" s="7"/>
      <c r="I604" s="7"/>
      <c r="J604" s="7"/>
      <c r="K604" s="7"/>
      <c r="L604" s="6"/>
      <c r="M604" s="10"/>
      <c r="N604" s="10"/>
      <c r="O604" s="10"/>
      <c r="P604" s="6"/>
      <c r="Q604" s="10"/>
      <c r="R604" s="6"/>
      <c r="S604" s="6"/>
      <c r="T604" s="6"/>
      <c r="U604" s="10"/>
      <c r="V604" s="6"/>
      <c r="W604" s="10"/>
      <c r="X604" s="10"/>
      <c r="Y604" s="4"/>
      <c r="Z604" s="4"/>
    </row>
    <row r="605" spans="1:26" ht="15.75">
      <c r="A605" s="7"/>
      <c r="B605" s="7"/>
      <c r="C605" s="6"/>
      <c r="D605" s="6"/>
      <c r="E605" s="6"/>
      <c r="F605" s="6"/>
      <c r="G605" s="7"/>
      <c r="H605" s="7"/>
      <c r="I605" s="7"/>
      <c r="J605" s="7"/>
      <c r="K605" s="7"/>
      <c r="L605" s="6"/>
      <c r="M605" s="10"/>
      <c r="N605" s="10"/>
      <c r="O605" s="10"/>
      <c r="P605" s="6"/>
      <c r="Q605" s="10"/>
      <c r="R605" s="6"/>
      <c r="S605" s="6"/>
      <c r="T605" s="6"/>
      <c r="U605" s="10"/>
      <c r="V605" s="6"/>
      <c r="W605" s="10"/>
      <c r="X605" s="10"/>
      <c r="Y605" s="4"/>
      <c r="Z605" s="4"/>
    </row>
    <row r="606" spans="1:26" ht="15.75">
      <c r="A606" s="7"/>
      <c r="B606" s="7"/>
      <c r="C606" s="6"/>
      <c r="D606" s="6"/>
      <c r="E606" s="6"/>
      <c r="F606" s="6"/>
      <c r="G606" s="7"/>
      <c r="H606" s="7"/>
      <c r="I606" s="7"/>
      <c r="J606" s="7"/>
      <c r="K606" s="7"/>
      <c r="L606" s="6"/>
      <c r="M606" s="10"/>
      <c r="N606" s="10"/>
      <c r="O606" s="10"/>
      <c r="P606" s="6"/>
      <c r="Q606" s="10"/>
      <c r="R606" s="6"/>
      <c r="S606" s="6"/>
      <c r="T606" s="6"/>
      <c r="U606" s="10"/>
      <c r="V606" s="6"/>
      <c r="W606" s="10"/>
      <c r="X606" s="10"/>
      <c r="Y606" s="4"/>
      <c r="Z606" s="4"/>
    </row>
    <row r="607" spans="1:26" ht="15.75">
      <c r="A607" s="7"/>
      <c r="B607" s="7"/>
      <c r="C607" s="6"/>
      <c r="D607" s="6"/>
      <c r="E607" s="6"/>
      <c r="F607" s="6"/>
      <c r="G607" s="7"/>
      <c r="H607" s="7"/>
      <c r="I607" s="7"/>
      <c r="J607" s="7"/>
      <c r="K607" s="7"/>
      <c r="L607" s="6"/>
      <c r="M607" s="10"/>
      <c r="N607" s="10"/>
      <c r="O607" s="10"/>
      <c r="P607" s="6"/>
      <c r="Q607" s="10"/>
      <c r="R607" s="6"/>
      <c r="S607" s="6"/>
      <c r="T607" s="6"/>
      <c r="U607" s="10"/>
      <c r="V607" s="6"/>
      <c r="W607" s="10"/>
      <c r="X607" s="10"/>
      <c r="Y607" s="4"/>
      <c r="Z607" s="4"/>
    </row>
    <row r="608" spans="1:26" ht="15.75">
      <c r="A608" s="7"/>
      <c r="B608" s="7"/>
      <c r="C608" s="6"/>
      <c r="D608" s="6"/>
      <c r="E608" s="6"/>
      <c r="F608" s="6"/>
      <c r="G608" s="7"/>
      <c r="H608" s="7"/>
      <c r="I608" s="7"/>
      <c r="J608" s="7"/>
      <c r="K608" s="7"/>
      <c r="L608" s="6"/>
      <c r="M608" s="10"/>
      <c r="N608" s="10"/>
      <c r="O608" s="10"/>
      <c r="P608" s="6"/>
      <c r="Q608" s="10"/>
      <c r="R608" s="6"/>
      <c r="S608" s="6"/>
      <c r="T608" s="6"/>
      <c r="U608" s="10"/>
      <c r="V608" s="6"/>
      <c r="W608" s="10"/>
      <c r="X608" s="10"/>
      <c r="Y608" s="4"/>
      <c r="Z608" s="4"/>
    </row>
    <row r="609" spans="1:26" ht="15.75">
      <c r="A609" s="7"/>
      <c r="B609" s="7"/>
      <c r="C609" s="6"/>
      <c r="D609" s="6"/>
      <c r="E609" s="6"/>
      <c r="F609" s="6"/>
      <c r="G609" s="7"/>
      <c r="H609" s="7"/>
      <c r="I609" s="7"/>
      <c r="J609" s="7"/>
      <c r="K609" s="7"/>
      <c r="L609" s="6"/>
      <c r="M609" s="10"/>
      <c r="N609" s="10"/>
      <c r="O609" s="10"/>
      <c r="P609" s="6"/>
      <c r="Q609" s="10"/>
      <c r="R609" s="6"/>
      <c r="S609" s="6"/>
      <c r="T609" s="6"/>
      <c r="U609" s="10"/>
      <c r="V609" s="6"/>
      <c r="W609" s="10"/>
      <c r="X609" s="10"/>
      <c r="Y609" s="4"/>
      <c r="Z609" s="4"/>
    </row>
    <row r="610" spans="1:26" ht="15.75">
      <c r="A610" s="7"/>
      <c r="B610" s="7"/>
      <c r="C610" s="6"/>
      <c r="D610" s="6"/>
      <c r="E610" s="6"/>
      <c r="F610" s="6"/>
      <c r="G610" s="7"/>
      <c r="H610" s="7"/>
      <c r="I610" s="7"/>
      <c r="J610" s="7"/>
      <c r="K610" s="7"/>
      <c r="L610" s="6"/>
      <c r="M610" s="10"/>
      <c r="N610" s="10"/>
      <c r="O610" s="10"/>
      <c r="P610" s="6"/>
      <c r="Q610" s="10"/>
      <c r="R610" s="6"/>
      <c r="S610" s="6"/>
      <c r="T610" s="6"/>
      <c r="U610" s="10"/>
      <c r="V610" s="6"/>
      <c r="W610" s="10"/>
      <c r="X610" s="10"/>
      <c r="Y610" s="4"/>
      <c r="Z610" s="4"/>
    </row>
    <row r="611" spans="1:26" ht="15.75">
      <c r="A611" s="7"/>
      <c r="B611" s="7"/>
      <c r="C611" s="6"/>
      <c r="D611" s="6"/>
      <c r="E611" s="6"/>
      <c r="F611" s="6"/>
      <c r="G611" s="7"/>
      <c r="H611" s="7"/>
      <c r="I611" s="7"/>
      <c r="J611" s="7"/>
      <c r="K611" s="7"/>
      <c r="L611" s="6"/>
      <c r="M611" s="10"/>
      <c r="N611" s="10"/>
      <c r="O611" s="10"/>
      <c r="P611" s="6"/>
      <c r="Q611" s="10"/>
      <c r="R611" s="6"/>
      <c r="S611" s="6"/>
      <c r="T611" s="6"/>
      <c r="U611" s="10"/>
      <c r="V611" s="6"/>
      <c r="W611" s="10"/>
      <c r="X611" s="10"/>
      <c r="Y611" s="4"/>
      <c r="Z611" s="4"/>
    </row>
    <row r="612" spans="1:26" ht="15.75">
      <c r="A612" s="7"/>
      <c r="B612" s="7"/>
      <c r="C612" s="6"/>
      <c r="D612" s="6"/>
      <c r="E612" s="6"/>
      <c r="F612" s="6"/>
      <c r="G612" s="7"/>
      <c r="H612" s="7"/>
      <c r="I612" s="7"/>
      <c r="J612" s="7"/>
      <c r="K612" s="7"/>
      <c r="L612" s="6"/>
      <c r="M612" s="10"/>
      <c r="N612" s="10"/>
      <c r="O612" s="10"/>
      <c r="P612" s="6"/>
      <c r="Q612" s="10"/>
      <c r="R612" s="6"/>
      <c r="S612" s="6"/>
      <c r="T612" s="6"/>
      <c r="U612" s="10"/>
      <c r="V612" s="6"/>
      <c r="W612" s="10"/>
      <c r="X612" s="10"/>
      <c r="Y612" s="4"/>
      <c r="Z612" s="4"/>
    </row>
    <row r="613" spans="1:26" ht="15.75">
      <c r="A613" s="7"/>
      <c r="B613" s="7"/>
      <c r="C613" s="6"/>
      <c r="D613" s="6"/>
      <c r="E613" s="6"/>
      <c r="F613" s="6"/>
      <c r="G613" s="7"/>
      <c r="H613" s="7"/>
      <c r="I613" s="7"/>
      <c r="J613" s="7"/>
      <c r="K613" s="7"/>
      <c r="L613" s="6"/>
      <c r="M613" s="10"/>
      <c r="N613" s="10"/>
      <c r="O613" s="10"/>
      <c r="P613" s="6"/>
      <c r="Q613" s="10"/>
      <c r="R613" s="6"/>
      <c r="S613" s="6"/>
      <c r="T613" s="6"/>
      <c r="U613" s="10"/>
      <c r="V613" s="6"/>
      <c r="W613" s="10"/>
      <c r="X613" s="10"/>
      <c r="Y613" s="4"/>
      <c r="Z613" s="4"/>
    </row>
    <row r="614" spans="1:26" ht="15.75">
      <c r="A614" s="7"/>
      <c r="B614" s="7"/>
      <c r="C614" s="6"/>
      <c r="D614" s="6"/>
      <c r="E614" s="6"/>
      <c r="F614" s="6"/>
      <c r="G614" s="7"/>
      <c r="H614" s="7"/>
      <c r="I614" s="7"/>
      <c r="J614" s="7"/>
      <c r="K614" s="7"/>
      <c r="L614" s="6"/>
      <c r="M614" s="10"/>
      <c r="N614" s="10"/>
      <c r="O614" s="10"/>
      <c r="P614" s="6"/>
      <c r="Q614" s="10"/>
      <c r="R614" s="6"/>
      <c r="S614" s="6"/>
      <c r="T614" s="6"/>
      <c r="U614" s="10"/>
      <c r="V614" s="6"/>
      <c r="W614" s="10"/>
      <c r="X614" s="10"/>
      <c r="Y614" s="4"/>
      <c r="Z614" s="4"/>
    </row>
    <row r="615" spans="1:26" ht="15.75">
      <c r="A615" s="7"/>
      <c r="B615" s="7"/>
      <c r="C615" s="6"/>
      <c r="D615" s="6"/>
      <c r="E615" s="6"/>
      <c r="F615" s="6"/>
      <c r="G615" s="7"/>
      <c r="H615" s="7"/>
      <c r="I615" s="7"/>
      <c r="J615" s="7"/>
      <c r="K615" s="7"/>
      <c r="L615" s="6"/>
      <c r="M615" s="10"/>
      <c r="N615" s="10"/>
      <c r="O615" s="10"/>
      <c r="P615" s="6"/>
      <c r="Q615" s="10"/>
      <c r="R615" s="6"/>
      <c r="S615" s="6"/>
      <c r="T615" s="6"/>
      <c r="U615" s="10"/>
      <c r="V615" s="6"/>
      <c r="W615" s="10"/>
      <c r="X615" s="10"/>
      <c r="Y615" s="4"/>
      <c r="Z615" s="4"/>
    </row>
    <row r="616" spans="1:26" ht="15.75">
      <c r="A616" s="7"/>
      <c r="B616" s="7"/>
      <c r="C616" s="6"/>
      <c r="D616" s="6"/>
      <c r="E616" s="6"/>
      <c r="F616" s="6"/>
      <c r="G616" s="7"/>
      <c r="H616" s="7"/>
      <c r="I616" s="7"/>
      <c r="J616" s="7"/>
      <c r="K616" s="7"/>
      <c r="L616" s="6"/>
      <c r="M616" s="10"/>
      <c r="N616" s="10"/>
      <c r="O616" s="10"/>
      <c r="P616" s="6"/>
      <c r="Q616" s="10"/>
      <c r="R616" s="6"/>
      <c r="S616" s="6"/>
      <c r="T616" s="6"/>
      <c r="U616" s="10"/>
      <c r="V616" s="6"/>
      <c r="W616" s="10"/>
      <c r="X616" s="10"/>
      <c r="Y616" s="4"/>
      <c r="Z616" s="4"/>
    </row>
    <row r="617" spans="1:26" ht="15.75">
      <c r="A617" s="7"/>
      <c r="B617" s="7"/>
      <c r="C617" s="6"/>
      <c r="D617" s="6"/>
      <c r="E617" s="6"/>
      <c r="F617" s="6"/>
      <c r="G617" s="7"/>
      <c r="H617" s="7"/>
      <c r="I617" s="7"/>
      <c r="J617" s="7"/>
      <c r="K617" s="7"/>
      <c r="L617" s="6"/>
      <c r="M617" s="10"/>
      <c r="N617" s="10"/>
      <c r="O617" s="10"/>
      <c r="P617" s="6"/>
      <c r="Q617" s="10"/>
      <c r="R617" s="6"/>
      <c r="S617" s="6"/>
      <c r="T617" s="6"/>
      <c r="U617" s="10"/>
      <c r="V617" s="6"/>
      <c r="W617" s="10"/>
      <c r="X617" s="10"/>
      <c r="Y617" s="4"/>
      <c r="Z617" s="4"/>
    </row>
    <row r="618" spans="1:26" ht="15.75">
      <c r="A618" s="7"/>
      <c r="B618" s="7"/>
      <c r="C618" s="6"/>
      <c r="D618" s="6"/>
      <c r="E618" s="6"/>
      <c r="F618" s="6"/>
      <c r="G618" s="7"/>
      <c r="H618" s="7"/>
      <c r="I618" s="7"/>
      <c r="J618" s="7"/>
      <c r="K618" s="7"/>
      <c r="L618" s="6"/>
      <c r="M618" s="10"/>
      <c r="N618" s="10"/>
      <c r="O618" s="10"/>
      <c r="P618" s="6"/>
      <c r="Q618" s="10"/>
      <c r="R618" s="6"/>
      <c r="S618" s="6"/>
      <c r="T618" s="6"/>
      <c r="U618" s="10"/>
      <c r="V618" s="6"/>
      <c r="W618" s="10"/>
      <c r="X618" s="10"/>
      <c r="Y618" s="4"/>
      <c r="Z618" s="4"/>
    </row>
    <row r="619" spans="1:26" ht="15.75">
      <c r="A619" s="7"/>
      <c r="B619" s="7"/>
      <c r="C619" s="6"/>
      <c r="D619" s="6"/>
      <c r="E619" s="6"/>
      <c r="F619" s="6"/>
      <c r="G619" s="7"/>
      <c r="H619" s="7"/>
      <c r="I619" s="7"/>
      <c r="J619" s="7"/>
      <c r="K619" s="7"/>
      <c r="L619" s="6"/>
      <c r="M619" s="10"/>
      <c r="N619" s="10"/>
      <c r="O619" s="10"/>
      <c r="P619" s="6"/>
      <c r="Q619" s="10"/>
      <c r="R619" s="6"/>
      <c r="S619" s="6"/>
      <c r="T619" s="6"/>
      <c r="U619" s="10"/>
      <c r="V619" s="6"/>
      <c r="W619" s="10"/>
      <c r="X619" s="10"/>
      <c r="Y619" s="4"/>
      <c r="Z619" s="4"/>
    </row>
    <row r="620" spans="1:26" ht="15.75">
      <c r="A620" s="7"/>
      <c r="B620" s="7"/>
      <c r="C620" s="6"/>
      <c r="D620" s="6"/>
      <c r="E620" s="6"/>
      <c r="F620" s="6"/>
      <c r="G620" s="7"/>
      <c r="H620" s="7"/>
      <c r="I620" s="7"/>
      <c r="J620" s="7"/>
      <c r="K620" s="7"/>
      <c r="L620" s="6"/>
      <c r="M620" s="10"/>
      <c r="N620" s="10"/>
      <c r="O620" s="10"/>
      <c r="P620" s="6"/>
      <c r="Q620" s="10"/>
      <c r="R620" s="6"/>
      <c r="S620" s="6"/>
      <c r="T620" s="6"/>
      <c r="U620" s="10"/>
      <c r="V620" s="6"/>
      <c r="W620" s="10"/>
      <c r="X620" s="10"/>
      <c r="Y620" s="4"/>
      <c r="Z620" s="4"/>
    </row>
    <row r="621" spans="1:26" ht="15.75">
      <c r="A621" s="7"/>
      <c r="B621" s="7"/>
      <c r="C621" s="6"/>
      <c r="D621" s="6"/>
      <c r="E621" s="6"/>
      <c r="F621" s="6"/>
      <c r="G621" s="7"/>
      <c r="H621" s="7"/>
      <c r="I621" s="7"/>
      <c r="J621" s="7"/>
      <c r="K621" s="7"/>
      <c r="L621" s="6"/>
      <c r="M621" s="10"/>
      <c r="N621" s="10"/>
      <c r="O621" s="10"/>
      <c r="P621" s="6"/>
      <c r="Q621" s="10"/>
      <c r="R621" s="6"/>
      <c r="S621" s="6"/>
      <c r="T621" s="6"/>
      <c r="U621" s="10"/>
      <c r="V621" s="6"/>
      <c r="W621" s="10"/>
      <c r="X621" s="10"/>
      <c r="Y621" s="4"/>
      <c r="Z621" s="4"/>
    </row>
    <row r="622" spans="1:26" ht="15.75">
      <c r="A622" s="7"/>
      <c r="B622" s="7"/>
      <c r="C622" s="6"/>
      <c r="D622" s="6"/>
      <c r="E622" s="6"/>
      <c r="F622" s="6"/>
      <c r="G622" s="7"/>
      <c r="H622" s="7"/>
      <c r="I622" s="7"/>
      <c r="J622" s="7"/>
      <c r="K622" s="7"/>
      <c r="L622" s="6"/>
      <c r="M622" s="10"/>
      <c r="N622" s="10"/>
      <c r="O622" s="10"/>
      <c r="P622" s="6"/>
      <c r="Q622" s="10"/>
      <c r="R622" s="6"/>
      <c r="S622" s="6"/>
      <c r="T622" s="6"/>
      <c r="U622" s="10"/>
      <c r="V622" s="6"/>
      <c r="W622" s="10"/>
      <c r="X622" s="10"/>
      <c r="Y622" s="4"/>
      <c r="Z622" s="4"/>
    </row>
    <row r="623" spans="1:26" ht="15.75">
      <c r="A623" s="7"/>
      <c r="B623" s="7"/>
      <c r="C623" s="6"/>
      <c r="D623" s="6"/>
      <c r="E623" s="6"/>
      <c r="F623" s="6"/>
      <c r="G623" s="7"/>
      <c r="H623" s="7"/>
      <c r="I623" s="7"/>
      <c r="J623" s="7"/>
      <c r="K623" s="7"/>
      <c r="L623" s="6"/>
      <c r="M623" s="10"/>
      <c r="N623" s="10"/>
      <c r="O623" s="10"/>
      <c r="P623" s="6"/>
      <c r="Q623" s="10"/>
      <c r="R623" s="6"/>
      <c r="S623" s="6"/>
      <c r="T623" s="6"/>
      <c r="U623" s="10"/>
      <c r="V623" s="6"/>
      <c r="W623" s="10"/>
      <c r="X623" s="10"/>
      <c r="Y623" s="4"/>
      <c r="Z623" s="4"/>
    </row>
    <row r="624" spans="1:26" ht="15.75">
      <c r="A624" s="7"/>
      <c r="B624" s="7"/>
      <c r="C624" s="6"/>
      <c r="D624" s="6"/>
      <c r="E624" s="6"/>
      <c r="F624" s="6"/>
      <c r="G624" s="7"/>
      <c r="H624" s="7"/>
      <c r="I624" s="7"/>
      <c r="J624" s="7"/>
      <c r="K624" s="7"/>
      <c r="L624" s="6"/>
      <c r="M624" s="10"/>
      <c r="N624" s="10"/>
      <c r="O624" s="10"/>
      <c r="P624" s="6"/>
      <c r="Q624" s="10"/>
      <c r="R624" s="6"/>
      <c r="S624" s="6"/>
      <c r="T624" s="6"/>
      <c r="U624" s="10"/>
      <c r="V624" s="6"/>
      <c r="W624" s="10"/>
      <c r="X624" s="10"/>
      <c r="Y624" s="4"/>
      <c r="Z624" s="4"/>
    </row>
    <row r="625" spans="1:26" ht="15.75">
      <c r="A625" s="7"/>
      <c r="B625" s="7"/>
      <c r="C625" s="6"/>
      <c r="D625" s="6"/>
      <c r="E625" s="6"/>
      <c r="F625" s="6"/>
      <c r="G625" s="7"/>
      <c r="H625" s="7"/>
      <c r="I625" s="7"/>
      <c r="J625" s="7"/>
      <c r="K625" s="7"/>
      <c r="L625" s="6"/>
      <c r="M625" s="10"/>
      <c r="N625" s="10"/>
      <c r="O625" s="10"/>
      <c r="P625" s="6"/>
      <c r="Q625" s="10"/>
      <c r="R625" s="6"/>
      <c r="S625" s="6"/>
      <c r="T625" s="6"/>
      <c r="U625" s="10"/>
      <c r="V625" s="6"/>
      <c r="W625" s="10"/>
      <c r="X625" s="10"/>
      <c r="Y625" s="4"/>
      <c r="Z625" s="4"/>
    </row>
    <row r="626" spans="1:26" ht="15.75">
      <c r="A626" s="7"/>
      <c r="B626" s="7"/>
      <c r="C626" s="6"/>
      <c r="D626" s="6"/>
      <c r="E626" s="6"/>
      <c r="F626" s="6"/>
      <c r="G626" s="7"/>
      <c r="H626" s="7"/>
      <c r="I626" s="7"/>
      <c r="J626" s="7"/>
      <c r="K626" s="7"/>
      <c r="L626" s="6"/>
      <c r="M626" s="10"/>
      <c r="N626" s="10"/>
      <c r="O626" s="10"/>
      <c r="P626" s="6"/>
      <c r="Q626" s="10"/>
      <c r="R626" s="6"/>
      <c r="S626" s="6"/>
      <c r="T626" s="6"/>
      <c r="U626" s="10"/>
      <c r="V626" s="6"/>
      <c r="W626" s="10"/>
      <c r="X626" s="10"/>
      <c r="Y626" s="4"/>
      <c r="Z626" s="4"/>
    </row>
    <row r="627" spans="1:26" ht="15.75">
      <c r="A627" s="7"/>
      <c r="B627" s="7"/>
      <c r="C627" s="6"/>
      <c r="D627" s="6"/>
      <c r="E627" s="6"/>
      <c r="F627" s="6"/>
      <c r="G627" s="7"/>
      <c r="H627" s="7"/>
      <c r="I627" s="7"/>
      <c r="J627" s="7"/>
      <c r="K627" s="7"/>
      <c r="L627" s="6"/>
      <c r="M627" s="10"/>
      <c r="N627" s="10"/>
      <c r="O627" s="10"/>
      <c r="P627" s="6"/>
      <c r="Q627" s="10"/>
      <c r="R627" s="6"/>
      <c r="S627" s="6"/>
      <c r="T627" s="6"/>
      <c r="U627" s="10"/>
      <c r="V627" s="6"/>
      <c r="W627" s="10"/>
      <c r="X627" s="10"/>
      <c r="Y627" s="4"/>
      <c r="Z627" s="4"/>
    </row>
    <row r="628" spans="1:26" ht="15.75">
      <c r="A628" s="7"/>
      <c r="B628" s="7"/>
      <c r="C628" s="6"/>
      <c r="D628" s="6"/>
      <c r="E628" s="6"/>
      <c r="F628" s="6"/>
      <c r="G628" s="7"/>
      <c r="H628" s="7"/>
      <c r="I628" s="7"/>
      <c r="J628" s="7"/>
      <c r="K628" s="7"/>
      <c r="L628" s="6"/>
      <c r="M628" s="10"/>
      <c r="N628" s="10"/>
      <c r="O628" s="10"/>
      <c r="P628" s="6"/>
      <c r="Q628" s="10"/>
      <c r="R628" s="6"/>
      <c r="S628" s="6"/>
      <c r="T628" s="6"/>
      <c r="U628" s="10"/>
      <c r="V628" s="6"/>
      <c r="W628" s="10"/>
      <c r="X628" s="10"/>
      <c r="Y628" s="4"/>
      <c r="Z628" s="4"/>
    </row>
    <row r="629" spans="1:26" ht="15.75">
      <c r="A629" s="7"/>
      <c r="B629" s="7"/>
      <c r="C629" s="6"/>
      <c r="D629" s="6"/>
      <c r="E629" s="6"/>
      <c r="F629" s="6"/>
      <c r="G629" s="7"/>
      <c r="H629" s="7"/>
      <c r="I629" s="7"/>
      <c r="J629" s="7"/>
      <c r="K629" s="7"/>
      <c r="L629" s="6"/>
      <c r="M629" s="10"/>
      <c r="N629" s="10"/>
      <c r="O629" s="10"/>
      <c r="P629" s="6"/>
      <c r="Q629" s="10"/>
      <c r="R629" s="6"/>
      <c r="S629" s="6"/>
      <c r="T629" s="6"/>
      <c r="U629" s="10"/>
      <c r="V629" s="6"/>
      <c r="W629" s="10"/>
      <c r="X629" s="10"/>
      <c r="Y629" s="4"/>
      <c r="Z629" s="4"/>
    </row>
    <row r="630" spans="1:26" ht="15.75">
      <c r="A630" s="7"/>
      <c r="B630" s="7"/>
      <c r="C630" s="6"/>
      <c r="D630" s="6"/>
      <c r="E630" s="6"/>
      <c r="F630" s="6"/>
      <c r="G630" s="7"/>
      <c r="H630" s="7"/>
      <c r="I630" s="7"/>
      <c r="J630" s="7"/>
      <c r="K630" s="7"/>
      <c r="L630" s="6"/>
      <c r="M630" s="10"/>
      <c r="N630" s="10"/>
      <c r="O630" s="10"/>
      <c r="P630" s="6"/>
      <c r="Q630" s="10"/>
      <c r="R630" s="6"/>
      <c r="S630" s="6"/>
      <c r="T630" s="6"/>
      <c r="U630" s="10"/>
      <c r="V630" s="6"/>
      <c r="W630" s="10"/>
      <c r="X630" s="10"/>
      <c r="Y630" s="4"/>
      <c r="Z630" s="4"/>
    </row>
    <row r="631" spans="1:26" ht="15.75">
      <c r="A631" s="7"/>
      <c r="B631" s="7"/>
      <c r="C631" s="6"/>
      <c r="D631" s="6"/>
      <c r="E631" s="6"/>
      <c r="F631" s="6"/>
      <c r="G631" s="7"/>
      <c r="H631" s="7"/>
      <c r="I631" s="7"/>
      <c r="J631" s="7"/>
      <c r="K631" s="7"/>
      <c r="L631" s="6"/>
      <c r="M631" s="10"/>
      <c r="N631" s="10"/>
      <c r="O631" s="10"/>
      <c r="P631" s="6"/>
      <c r="Q631" s="10"/>
      <c r="R631" s="6"/>
      <c r="S631" s="6"/>
      <c r="T631" s="6"/>
      <c r="U631" s="10"/>
      <c r="V631" s="6"/>
      <c r="W631" s="10"/>
      <c r="X631" s="10"/>
      <c r="Y631" s="4"/>
      <c r="Z631" s="4"/>
    </row>
    <row r="632" spans="1:26" ht="15.75">
      <c r="A632" s="7"/>
      <c r="B632" s="7"/>
      <c r="C632" s="6"/>
      <c r="D632" s="6"/>
      <c r="E632" s="6"/>
      <c r="F632" s="6"/>
      <c r="G632" s="7"/>
      <c r="H632" s="7"/>
      <c r="I632" s="7"/>
      <c r="J632" s="7"/>
      <c r="K632" s="7"/>
      <c r="L632" s="6"/>
      <c r="M632" s="10"/>
      <c r="N632" s="10"/>
      <c r="O632" s="10"/>
      <c r="P632" s="6"/>
      <c r="Q632" s="10"/>
      <c r="R632" s="6"/>
      <c r="S632" s="6"/>
      <c r="T632" s="6"/>
      <c r="U632" s="10"/>
      <c r="V632" s="6"/>
      <c r="W632" s="10"/>
      <c r="X632" s="10"/>
      <c r="Y632" s="4"/>
      <c r="Z632" s="4"/>
    </row>
    <row r="633" spans="1:26" ht="15.75">
      <c r="A633" s="7"/>
      <c r="B633" s="7"/>
      <c r="C633" s="6"/>
      <c r="D633" s="6"/>
      <c r="E633" s="6"/>
      <c r="F633" s="6"/>
      <c r="G633" s="7"/>
      <c r="H633" s="7"/>
      <c r="I633" s="7"/>
      <c r="J633" s="7"/>
      <c r="K633" s="7"/>
      <c r="L633" s="6"/>
      <c r="M633" s="10"/>
      <c r="N633" s="10"/>
      <c r="O633" s="10"/>
      <c r="P633" s="6"/>
      <c r="Q633" s="10"/>
      <c r="R633" s="6"/>
      <c r="S633" s="6"/>
      <c r="T633" s="6"/>
      <c r="U633" s="10"/>
      <c r="V633" s="6"/>
      <c r="W633" s="10"/>
      <c r="X633" s="10"/>
      <c r="Y633" s="4"/>
      <c r="Z633" s="4"/>
    </row>
    <row r="634" spans="1:26" ht="15.75">
      <c r="A634" s="7"/>
      <c r="B634" s="7"/>
      <c r="C634" s="6"/>
      <c r="D634" s="6"/>
      <c r="E634" s="6"/>
      <c r="F634" s="6"/>
      <c r="G634" s="7"/>
      <c r="H634" s="7"/>
      <c r="I634" s="7"/>
      <c r="J634" s="7"/>
      <c r="K634" s="7"/>
      <c r="L634" s="6"/>
      <c r="M634" s="10"/>
      <c r="N634" s="10"/>
      <c r="O634" s="10"/>
      <c r="P634" s="6"/>
      <c r="Q634" s="10"/>
      <c r="R634" s="6"/>
      <c r="S634" s="6"/>
      <c r="T634" s="6"/>
      <c r="U634" s="10"/>
      <c r="V634" s="6"/>
      <c r="W634" s="10"/>
      <c r="X634" s="10"/>
      <c r="Y634" s="4"/>
      <c r="Z634" s="4"/>
    </row>
    <row r="635" spans="1:26" ht="15.75">
      <c r="A635" s="7"/>
      <c r="B635" s="7"/>
      <c r="C635" s="6"/>
      <c r="D635" s="6"/>
      <c r="E635" s="6"/>
      <c r="F635" s="6"/>
      <c r="G635" s="7"/>
      <c r="H635" s="7"/>
      <c r="I635" s="7"/>
      <c r="J635" s="7"/>
      <c r="K635" s="7"/>
      <c r="L635" s="6"/>
      <c r="M635" s="10"/>
      <c r="N635" s="10"/>
      <c r="O635" s="10"/>
      <c r="P635" s="6"/>
      <c r="Q635" s="10"/>
      <c r="R635" s="6"/>
      <c r="S635" s="6"/>
      <c r="T635" s="6"/>
      <c r="U635" s="10"/>
      <c r="V635" s="6"/>
      <c r="W635" s="10"/>
      <c r="X635" s="10"/>
      <c r="Y635" s="4"/>
      <c r="Z635" s="4"/>
    </row>
    <row r="636" spans="1:26" ht="15.75">
      <c r="A636" s="7"/>
      <c r="B636" s="7"/>
      <c r="C636" s="6"/>
      <c r="D636" s="6"/>
      <c r="E636" s="6"/>
      <c r="F636" s="6"/>
      <c r="G636" s="7"/>
      <c r="H636" s="7"/>
      <c r="I636" s="7"/>
      <c r="J636" s="7"/>
      <c r="K636" s="7"/>
      <c r="L636" s="6"/>
      <c r="M636" s="10"/>
      <c r="N636" s="10"/>
      <c r="O636" s="10"/>
      <c r="P636" s="6"/>
      <c r="Q636" s="10"/>
      <c r="R636" s="6"/>
      <c r="S636" s="6"/>
      <c r="T636" s="6"/>
      <c r="U636" s="10"/>
      <c r="V636" s="6"/>
      <c r="W636" s="10"/>
      <c r="X636" s="10"/>
      <c r="Y636" s="4"/>
      <c r="Z636" s="4"/>
    </row>
    <row r="637" spans="1:26" ht="15.75">
      <c r="A637" s="7"/>
      <c r="B637" s="7"/>
      <c r="C637" s="6"/>
      <c r="D637" s="6"/>
      <c r="E637" s="6"/>
      <c r="F637" s="6"/>
      <c r="G637" s="7"/>
      <c r="H637" s="7"/>
      <c r="I637" s="7"/>
      <c r="J637" s="7"/>
      <c r="K637" s="7"/>
      <c r="L637" s="6"/>
      <c r="M637" s="10"/>
      <c r="N637" s="10"/>
      <c r="O637" s="10"/>
      <c r="P637" s="6"/>
      <c r="Q637" s="10"/>
      <c r="R637" s="6"/>
      <c r="S637" s="6"/>
      <c r="T637" s="6"/>
      <c r="U637" s="10"/>
      <c r="V637" s="6"/>
      <c r="W637" s="10"/>
      <c r="X637" s="10"/>
      <c r="Y637" s="4"/>
      <c r="Z637" s="4"/>
    </row>
    <row r="638" spans="1:26" ht="15.75">
      <c r="A638" s="7"/>
      <c r="B638" s="7"/>
      <c r="C638" s="6"/>
      <c r="D638" s="6"/>
      <c r="E638" s="6"/>
      <c r="F638" s="6"/>
      <c r="G638" s="7"/>
      <c r="H638" s="7"/>
      <c r="I638" s="7"/>
      <c r="J638" s="7"/>
      <c r="K638" s="7"/>
      <c r="L638" s="6"/>
      <c r="M638" s="10"/>
      <c r="N638" s="10"/>
      <c r="O638" s="10"/>
      <c r="P638" s="6"/>
      <c r="Q638" s="10"/>
      <c r="R638" s="6"/>
      <c r="S638" s="6"/>
      <c r="T638" s="6"/>
      <c r="U638" s="10"/>
      <c r="V638" s="6"/>
      <c r="W638" s="10"/>
      <c r="X638" s="10"/>
      <c r="Y638" s="4"/>
      <c r="Z638" s="4"/>
    </row>
    <row r="639" spans="1:26" ht="15.75">
      <c r="A639" s="7"/>
      <c r="B639" s="7"/>
      <c r="C639" s="6"/>
      <c r="D639" s="6"/>
      <c r="E639" s="6"/>
      <c r="F639" s="6"/>
      <c r="G639" s="7"/>
      <c r="H639" s="7"/>
      <c r="I639" s="7"/>
      <c r="J639" s="7"/>
      <c r="K639" s="7"/>
      <c r="L639" s="6"/>
      <c r="M639" s="10"/>
      <c r="N639" s="10"/>
      <c r="O639" s="10"/>
      <c r="P639" s="6"/>
      <c r="Q639" s="10"/>
      <c r="R639" s="6"/>
      <c r="S639" s="6"/>
      <c r="T639" s="6"/>
      <c r="U639" s="10"/>
      <c r="V639" s="6"/>
      <c r="W639" s="10"/>
      <c r="X639" s="10"/>
      <c r="Y639" s="4"/>
      <c r="Z639" s="4"/>
    </row>
    <row r="640" spans="1:26" ht="15.75">
      <c r="A640" s="7"/>
      <c r="B640" s="7"/>
      <c r="C640" s="6"/>
      <c r="D640" s="6"/>
      <c r="E640" s="6"/>
      <c r="F640" s="6"/>
      <c r="G640" s="7"/>
      <c r="H640" s="7"/>
      <c r="I640" s="7"/>
      <c r="J640" s="7"/>
      <c r="K640" s="7"/>
      <c r="L640" s="6"/>
      <c r="M640" s="10"/>
      <c r="N640" s="10"/>
      <c r="O640" s="10"/>
      <c r="P640" s="6"/>
      <c r="Q640" s="10"/>
      <c r="R640" s="6"/>
      <c r="S640" s="6"/>
      <c r="T640" s="6"/>
      <c r="U640" s="10"/>
      <c r="V640" s="6"/>
      <c r="W640" s="10"/>
      <c r="X640" s="10"/>
      <c r="Y640" s="4"/>
      <c r="Z640" s="4"/>
    </row>
    <row r="641" spans="1:26" ht="15.75">
      <c r="A641" s="7"/>
      <c r="B641" s="7"/>
      <c r="C641" s="6"/>
      <c r="D641" s="6"/>
      <c r="E641" s="6"/>
      <c r="F641" s="6"/>
      <c r="G641" s="7"/>
      <c r="H641" s="7"/>
      <c r="I641" s="7"/>
      <c r="J641" s="7"/>
      <c r="K641" s="7"/>
      <c r="L641" s="6"/>
      <c r="M641" s="10"/>
      <c r="N641" s="10"/>
      <c r="O641" s="10"/>
      <c r="P641" s="6"/>
      <c r="Q641" s="10"/>
      <c r="R641" s="6"/>
      <c r="S641" s="6"/>
      <c r="T641" s="6"/>
      <c r="U641" s="10"/>
      <c r="V641" s="6"/>
      <c r="W641" s="10"/>
      <c r="X641" s="10"/>
      <c r="Y641" s="4"/>
      <c r="Z641" s="4"/>
    </row>
    <row r="642" spans="1:26" ht="15.75">
      <c r="A642" s="7"/>
      <c r="B642" s="7"/>
      <c r="C642" s="6"/>
      <c r="D642" s="6"/>
      <c r="E642" s="6"/>
      <c r="F642" s="6"/>
      <c r="G642" s="7"/>
      <c r="H642" s="7"/>
      <c r="I642" s="7"/>
      <c r="J642" s="7"/>
      <c r="K642" s="7"/>
      <c r="L642" s="6"/>
      <c r="M642" s="10"/>
      <c r="N642" s="10"/>
      <c r="O642" s="10"/>
      <c r="P642" s="6"/>
      <c r="Q642" s="10"/>
      <c r="R642" s="6"/>
      <c r="S642" s="6"/>
      <c r="T642" s="6"/>
      <c r="U642" s="10"/>
      <c r="V642" s="6"/>
      <c r="W642" s="10"/>
      <c r="X642" s="10"/>
      <c r="Y642" s="4"/>
      <c r="Z642" s="4"/>
    </row>
    <row r="643" spans="1:26" ht="15.75">
      <c r="A643" s="7"/>
      <c r="B643" s="7"/>
      <c r="C643" s="6"/>
      <c r="D643" s="6"/>
      <c r="E643" s="6"/>
      <c r="F643" s="6"/>
      <c r="G643" s="7"/>
      <c r="H643" s="7"/>
      <c r="I643" s="7"/>
      <c r="J643" s="7"/>
      <c r="K643" s="7"/>
      <c r="L643" s="6"/>
      <c r="M643" s="10"/>
      <c r="N643" s="10"/>
      <c r="O643" s="10"/>
      <c r="P643" s="6"/>
      <c r="Q643" s="10"/>
      <c r="R643" s="6"/>
      <c r="S643" s="6"/>
      <c r="T643" s="6"/>
      <c r="U643" s="10"/>
      <c r="V643" s="6"/>
      <c r="W643" s="10"/>
      <c r="X643" s="10"/>
      <c r="Y643" s="4"/>
      <c r="Z643" s="4"/>
    </row>
    <row r="644" spans="1:26" ht="15.75">
      <c r="A644" s="7"/>
      <c r="B644" s="7"/>
      <c r="C644" s="6"/>
      <c r="D644" s="6"/>
      <c r="E644" s="6"/>
      <c r="F644" s="6"/>
      <c r="G644" s="7"/>
      <c r="H644" s="7"/>
      <c r="I644" s="7"/>
      <c r="J644" s="7"/>
      <c r="K644" s="7"/>
      <c r="L644" s="6"/>
      <c r="M644" s="10"/>
      <c r="N644" s="10"/>
      <c r="O644" s="10"/>
      <c r="P644" s="6"/>
      <c r="Q644" s="10"/>
      <c r="R644" s="6"/>
      <c r="S644" s="6"/>
      <c r="T644" s="6"/>
      <c r="U644" s="10"/>
      <c r="V644" s="6"/>
      <c r="W644" s="10"/>
      <c r="X644" s="10"/>
      <c r="Y644" s="4"/>
      <c r="Z644" s="4"/>
    </row>
    <row r="645" spans="1:26" ht="15.75">
      <c r="A645" s="7"/>
      <c r="B645" s="7"/>
      <c r="C645" s="6"/>
      <c r="D645" s="6"/>
      <c r="E645" s="6"/>
      <c r="F645" s="6"/>
      <c r="G645" s="7"/>
      <c r="H645" s="7"/>
      <c r="I645" s="7"/>
      <c r="J645" s="7"/>
      <c r="K645" s="7"/>
      <c r="L645" s="6"/>
      <c r="M645" s="10"/>
      <c r="N645" s="10"/>
      <c r="O645" s="10"/>
      <c r="P645" s="6"/>
      <c r="Q645" s="10"/>
      <c r="R645" s="6"/>
      <c r="S645" s="6"/>
      <c r="T645" s="6"/>
      <c r="U645" s="10"/>
      <c r="V645" s="6"/>
      <c r="W645" s="10"/>
      <c r="X645" s="10"/>
      <c r="Y645" s="4"/>
      <c r="Z645" s="4"/>
    </row>
    <row r="646" spans="1:26" ht="15.75">
      <c r="A646" s="7"/>
      <c r="B646" s="7"/>
      <c r="C646" s="6"/>
      <c r="D646" s="6"/>
      <c r="E646" s="6"/>
      <c r="F646" s="6"/>
      <c r="G646" s="7"/>
      <c r="H646" s="7"/>
      <c r="I646" s="7"/>
      <c r="J646" s="7"/>
      <c r="K646" s="7"/>
      <c r="L646" s="6"/>
      <c r="M646" s="10"/>
      <c r="N646" s="10"/>
      <c r="O646" s="10"/>
      <c r="P646" s="6"/>
      <c r="Q646" s="10"/>
      <c r="R646" s="6"/>
      <c r="S646" s="6"/>
      <c r="T646" s="6"/>
      <c r="U646" s="10"/>
      <c r="V646" s="6"/>
      <c r="W646" s="10"/>
      <c r="X646" s="10"/>
      <c r="Y646" s="4"/>
      <c r="Z646" s="4"/>
    </row>
    <row r="647" spans="1:26" ht="15.75">
      <c r="A647" s="7"/>
      <c r="B647" s="7"/>
      <c r="C647" s="6"/>
      <c r="D647" s="6"/>
      <c r="E647" s="6"/>
      <c r="F647" s="6"/>
      <c r="G647" s="7"/>
      <c r="H647" s="7"/>
      <c r="I647" s="7"/>
      <c r="J647" s="7"/>
      <c r="K647" s="7"/>
      <c r="L647" s="6"/>
      <c r="M647" s="10"/>
      <c r="N647" s="10"/>
      <c r="O647" s="10"/>
      <c r="P647" s="6"/>
      <c r="Q647" s="10"/>
      <c r="R647" s="6"/>
      <c r="S647" s="6"/>
      <c r="T647" s="6"/>
      <c r="U647" s="10"/>
      <c r="V647" s="6"/>
      <c r="W647" s="10"/>
      <c r="X647" s="10"/>
      <c r="Y647" s="4"/>
      <c r="Z647" s="4"/>
    </row>
    <row r="648" spans="1:26" ht="15.75">
      <c r="A648" s="7"/>
      <c r="B648" s="7"/>
      <c r="C648" s="6"/>
      <c r="D648" s="6"/>
      <c r="E648" s="6"/>
      <c r="F648" s="6"/>
      <c r="G648" s="7"/>
      <c r="H648" s="7"/>
      <c r="I648" s="7"/>
      <c r="J648" s="7"/>
      <c r="K648" s="7"/>
      <c r="L648" s="6"/>
      <c r="M648" s="10"/>
      <c r="N648" s="10"/>
      <c r="O648" s="10"/>
      <c r="P648" s="6"/>
      <c r="Q648" s="10"/>
      <c r="R648" s="6"/>
      <c r="S648" s="6"/>
      <c r="T648" s="6"/>
      <c r="U648" s="10"/>
      <c r="V648" s="6"/>
      <c r="W648" s="10"/>
      <c r="X648" s="10"/>
      <c r="Y648" s="4"/>
      <c r="Z648" s="4"/>
    </row>
    <row r="649" spans="1:26" ht="15.75">
      <c r="A649" s="7"/>
      <c r="B649" s="7"/>
      <c r="C649" s="6"/>
      <c r="D649" s="6"/>
      <c r="E649" s="6"/>
      <c r="F649" s="6"/>
      <c r="G649" s="7"/>
      <c r="H649" s="7"/>
      <c r="I649" s="7"/>
      <c r="J649" s="7"/>
      <c r="K649" s="7"/>
      <c r="L649" s="6"/>
      <c r="M649" s="10"/>
      <c r="N649" s="10"/>
      <c r="O649" s="10"/>
      <c r="P649" s="6"/>
      <c r="Q649" s="10"/>
      <c r="R649" s="6"/>
      <c r="S649" s="6"/>
      <c r="T649" s="6"/>
      <c r="U649" s="10"/>
      <c r="V649" s="6"/>
      <c r="W649" s="10"/>
      <c r="X649" s="10"/>
      <c r="Y649" s="4"/>
      <c r="Z649" s="4"/>
    </row>
    <row r="650" spans="1:26" ht="15.75">
      <c r="A650" s="7"/>
      <c r="B650" s="7"/>
      <c r="C650" s="6"/>
      <c r="D650" s="6"/>
      <c r="E650" s="6"/>
      <c r="F650" s="6"/>
      <c r="G650" s="7"/>
      <c r="H650" s="7"/>
      <c r="I650" s="7"/>
      <c r="J650" s="7"/>
      <c r="K650" s="7"/>
      <c r="L650" s="6"/>
      <c r="M650" s="10"/>
      <c r="N650" s="10"/>
      <c r="O650" s="10"/>
      <c r="P650" s="6"/>
      <c r="Q650" s="10"/>
      <c r="R650" s="6"/>
      <c r="S650" s="6"/>
      <c r="T650" s="6"/>
      <c r="U650" s="10"/>
      <c r="V650" s="6"/>
      <c r="W650" s="10"/>
      <c r="X650" s="10"/>
      <c r="Y650" s="4"/>
      <c r="Z650" s="4"/>
    </row>
    <row r="651" spans="1:26" ht="15.75">
      <c r="A651" s="7"/>
      <c r="B651" s="7"/>
      <c r="C651" s="6"/>
      <c r="D651" s="6"/>
      <c r="E651" s="6"/>
      <c r="F651" s="6"/>
      <c r="G651" s="7"/>
      <c r="H651" s="7"/>
      <c r="I651" s="7"/>
      <c r="J651" s="7"/>
      <c r="K651" s="7"/>
      <c r="L651" s="6"/>
      <c r="M651" s="10"/>
      <c r="N651" s="10"/>
      <c r="O651" s="10"/>
      <c r="P651" s="6"/>
      <c r="Q651" s="10"/>
      <c r="R651" s="6"/>
      <c r="S651" s="6"/>
      <c r="T651" s="6"/>
      <c r="U651" s="10"/>
      <c r="V651" s="6"/>
      <c r="W651" s="10"/>
      <c r="X651" s="10"/>
      <c r="Y651" s="4"/>
      <c r="Z651" s="4"/>
    </row>
    <row r="652" spans="1:26" ht="15.75">
      <c r="A652" s="7"/>
      <c r="B652" s="7"/>
      <c r="C652" s="6"/>
      <c r="D652" s="6"/>
      <c r="E652" s="6"/>
      <c r="F652" s="6"/>
      <c r="G652" s="7"/>
      <c r="H652" s="7"/>
      <c r="I652" s="7"/>
      <c r="J652" s="7"/>
      <c r="K652" s="7"/>
      <c r="L652" s="6"/>
      <c r="M652" s="10"/>
      <c r="N652" s="10"/>
      <c r="O652" s="10"/>
      <c r="P652" s="6"/>
      <c r="Q652" s="10"/>
      <c r="R652" s="6"/>
      <c r="S652" s="6"/>
      <c r="T652" s="6"/>
      <c r="U652" s="10"/>
      <c r="V652" s="6"/>
      <c r="W652" s="10"/>
      <c r="X652" s="10"/>
      <c r="Y652" s="4"/>
      <c r="Z652" s="4"/>
    </row>
    <row r="653" spans="1:26" ht="15.75">
      <c r="A653" s="7"/>
      <c r="B653" s="7"/>
      <c r="C653" s="6"/>
      <c r="D653" s="6"/>
      <c r="E653" s="6"/>
      <c r="F653" s="6"/>
      <c r="G653" s="7"/>
      <c r="H653" s="7"/>
      <c r="I653" s="7"/>
      <c r="J653" s="7"/>
      <c r="K653" s="7"/>
      <c r="L653" s="6"/>
      <c r="M653" s="10"/>
      <c r="N653" s="10"/>
      <c r="O653" s="10"/>
      <c r="P653" s="6"/>
      <c r="Q653" s="10"/>
      <c r="R653" s="6"/>
      <c r="S653" s="6"/>
      <c r="T653" s="6"/>
      <c r="U653" s="10"/>
      <c r="V653" s="6"/>
      <c r="W653" s="10"/>
      <c r="X653" s="10"/>
      <c r="Y653" s="4"/>
      <c r="Z653" s="4"/>
    </row>
    <row r="654" spans="1:26" ht="15.75">
      <c r="A654" s="7"/>
      <c r="B654" s="7"/>
      <c r="C654" s="6"/>
      <c r="D654" s="6"/>
      <c r="E654" s="6"/>
      <c r="F654" s="6"/>
      <c r="G654" s="7"/>
      <c r="H654" s="7"/>
      <c r="I654" s="7"/>
      <c r="J654" s="7"/>
      <c r="K654" s="7"/>
      <c r="L654" s="6"/>
      <c r="M654" s="10"/>
      <c r="N654" s="10"/>
      <c r="O654" s="10"/>
      <c r="P654" s="6"/>
      <c r="Q654" s="10"/>
      <c r="R654" s="6"/>
      <c r="S654" s="6"/>
      <c r="T654" s="6"/>
      <c r="U654" s="10"/>
      <c r="V654" s="6"/>
      <c r="W654" s="10"/>
      <c r="X654" s="10"/>
      <c r="Y654" s="4"/>
      <c r="Z654" s="4"/>
    </row>
    <row r="655" spans="1:26" ht="15.75">
      <c r="A655" s="7"/>
      <c r="B655" s="7"/>
      <c r="C655" s="6"/>
      <c r="D655" s="6"/>
      <c r="E655" s="6"/>
      <c r="F655" s="6"/>
      <c r="G655" s="7"/>
      <c r="H655" s="7"/>
      <c r="I655" s="7"/>
      <c r="J655" s="7"/>
      <c r="K655" s="7"/>
      <c r="L655" s="6"/>
      <c r="M655" s="10"/>
      <c r="N655" s="10"/>
      <c r="O655" s="10"/>
      <c r="P655" s="6"/>
      <c r="Q655" s="10"/>
      <c r="R655" s="6"/>
      <c r="S655" s="6"/>
      <c r="T655" s="6"/>
      <c r="U655" s="10"/>
      <c r="V655" s="6"/>
      <c r="W655" s="10"/>
      <c r="X655" s="10"/>
      <c r="Y655" s="4"/>
      <c r="Z655" s="4"/>
    </row>
    <row r="656" spans="1:26" ht="15.75">
      <c r="A656" s="7"/>
      <c r="B656" s="7"/>
      <c r="C656" s="6"/>
      <c r="D656" s="6"/>
      <c r="E656" s="6"/>
      <c r="F656" s="6"/>
      <c r="G656" s="7"/>
      <c r="H656" s="7"/>
      <c r="I656" s="7"/>
      <c r="J656" s="7"/>
      <c r="K656" s="7"/>
      <c r="L656" s="6"/>
      <c r="M656" s="10"/>
      <c r="N656" s="10"/>
      <c r="O656" s="10"/>
      <c r="P656" s="6"/>
      <c r="Q656" s="10"/>
      <c r="R656" s="6"/>
      <c r="S656" s="6"/>
      <c r="T656" s="6"/>
      <c r="U656" s="10"/>
      <c r="V656" s="6"/>
      <c r="W656" s="10"/>
      <c r="X656" s="10"/>
      <c r="Y656" s="4"/>
      <c r="Z656" s="4"/>
    </row>
    <row r="657" spans="1:26" ht="15.75">
      <c r="A657" s="7"/>
      <c r="B657" s="7"/>
      <c r="C657" s="6"/>
      <c r="D657" s="6"/>
      <c r="E657" s="6"/>
      <c r="F657" s="6"/>
      <c r="G657" s="7"/>
      <c r="H657" s="7"/>
      <c r="I657" s="7"/>
      <c r="J657" s="7"/>
      <c r="K657" s="7"/>
      <c r="L657" s="6"/>
      <c r="M657" s="10"/>
      <c r="N657" s="10"/>
      <c r="O657" s="10"/>
      <c r="P657" s="6"/>
      <c r="Q657" s="10"/>
      <c r="R657" s="6"/>
      <c r="S657" s="6"/>
      <c r="T657" s="6"/>
      <c r="U657" s="10"/>
      <c r="V657" s="6"/>
      <c r="W657" s="10"/>
      <c r="X657" s="10"/>
      <c r="Y657" s="4"/>
      <c r="Z657" s="4"/>
    </row>
    <row r="658" spans="1:26" ht="15.75">
      <c r="A658" s="7"/>
      <c r="B658" s="7"/>
      <c r="C658" s="6"/>
      <c r="D658" s="6"/>
      <c r="E658" s="6"/>
      <c r="F658" s="6"/>
      <c r="G658" s="7"/>
      <c r="H658" s="7"/>
      <c r="I658" s="7"/>
      <c r="J658" s="7"/>
      <c r="K658" s="7"/>
      <c r="L658" s="6"/>
      <c r="M658" s="10"/>
      <c r="N658" s="10"/>
      <c r="O658" s="10"/>
      <c r="P658" s="6"/>
      <c r="Q658" s="10"/>
      <c r="R658" s="6"/>
      <c r="S658" s="6"/>
      <c r="T658" s="6"/>
      <c r="U658" s="10"/>
      <c r="V658" s="6"/>
      <c r="W658" s="10"/>
      <c r="X658" s="10"/>
      <c r="Y658" s="4"/>
      <c r="Z658" s="4"/>
    </row>
    <row r="659" spans="1:26" ht="15.75">
      <c r="A659" s="7"/>
      <c r="B659" s="7"/>
      <c r="C659" s="6"/>
      <c r="D659" s="6"/>
      <c r="E659" s="6"/>
      <c r="F659" s="6"/>
      <c r="G659" s="7"/>
      <c r="H659" s="7"/>
      <c r="I659" s="7"/>
      <c r="J659" s="7"/>
      <c r="K659" s="7"/>
      <c r="L659" s="6"/>
      <c r="M659" s="10"/>
      <c r="N659" s="10"/>
      <c r="O659" s="10"/>
      <c r="P659" s="6"/>
      <c r="Q659" s="10"/>
      <c r="R659" s="6"/>
      <c r="S659" s="6"/>
      <c r="T659" s="6"/>
      <c r="U659" s="10"/>
      <c r="V659" s="6"/>
      <c r="W659" s="10"/>
      <c r="X659" s="10"/>
      <c r="Y659" s="4"/>
      <c r="Z659" s="4"/>
    </row>
    <row r="660" spans="1:26" ht="15.75">
      <c r="A660" s="7"/>
      <c r="B660" s="7"/>
      <c r="C660" s="6"/>
      <c r="D660" s="6"/>
      <c r="E660" s="6"/>
      <c r="F660" s="6"/>
      <c r="G660" s="7"/>
      <c r="H660" s="7"/>
      <c r="I660" s="7"/>
      <c r="J660" s="7"/>
      <c r="K660" s="7"/>
      <c r="L660" s="6"/>
      <c r="M660" s="10"/>
      <c r="N660" s="10"/>
      <c r="O660" s="10"/>
      <c r="P660" s="6"/>
      <c r="Q660" s="10"/>
      <c r="R660" s="6"/>
      <c r="S660" s="6"/>
      <c r="T660" s="6"/>
      <c r="U660" s="10"/>
      <c r="V660" s="6"/>
      <c r="W660" s="10"/>
      <c r="X660" s="10"/>
      <c r="Y660" s="4"/>
      <c r="Z660" s="4"/>
    </row>
    <row r="661" spans="1:26" ht="15.75">
      <c r="A661" s="7"/>
      <c r="B661" s="7"/>
      <c r="C661" s="6"/>
      <c r="D661" s="6"/>
      <c r="E661" s="6"/>
      <c r="F661" s="6"/>
      <c r="G661" s="7"/>
      <c r="H661" s="7"/>
      <c r="I661" s="7"/>
      <c r="J661" s="7"/>
      <c r="K661" s="7"/>
      <c r="L661" s="6"/>
      <c r="M661" s="10"/>
      <c r="N661" s="10"/>
      <c r="O661" s="10"/>
      <c r="P661" s="6"/>
      <c r="Q661" s="10"/>
      <c r="R661" s="6"/>
      <c r="S661" s="6"/>
      <c r="T661" s="6"/>
      <c r="U661" s="10"/>
      <c r="V661" s="6"/>
      <c r="W661" s="10"/>
      <c r="X661" s="10"/>
      <c r="Y661" s="4"/>
      <c r="Z661" s="4"/>
    </row>
    <row r="662" spans="1:26" ht="15.75">
      <c r="A662" s="7"/>
      <c r="B662" s="7"/>
      <c r="C662" s="6"/>
      <c r="D662" s="6"/>
      <c r="E662" s="6"/>
      <c r="F662" s="6"/>
      <c r="G662" s="7"/>
      <c r="H662" s="7"/>
      <c r="I662" s="7"/>
      <c r="J662" s="7"/>
      <c r="K662" s="7"/>
      <c r="L662" s="6"/>
      <c r="M662" s="10"/>
      <c r="N662" s="10"/>
      <c r="O662" s="10"/>
      <c r="P662" s="6"/>
      <c r="Q662" s="10"/>
      <c r="R662" s="6"/>
      <c r="S662" s="6"/>
      <c r="T662" s="6"/>
      <c r="U662" s="10"/>
      <c r="V662" s="6"/>
      <c r="W662" s="10"/>
      <c r="X662" s="10"/>
      <c r="Y662" s="4"/>
      <c r="Z662" s="4"/>
    </row>
    <row r="663" spans="1:26" ht="15.75">
      <c r="A663" s="7"/>
      <c r="B663" s="7"/>
      <c r="C663" s="6"/>
      <c r="D663" s="6"/>
      <c r="E663" s="6"/>
      <c r="F663" s="6"/>
      <c r="G663" s="7"/>
      <c r="H663" s="7"/>
      <c r="I663" s="7"/>
      <c r="J663" s="7"/>
      <c r="K663" s="7"/>
      <c r="L663" s="6"/>
      <c r="M663" s="10"/>
      <c r="N663" s="10"/>
      <c r="O663" s="10"/>
      <c r="P663" s="6"/>
      <c r="Q663" s="10"/>
      <c r="R663" s="6"/>
      <c r="S663" s="6"/>
      <c r="T663" s="6"/>
      <c r="U663" s="10"/>
      <c r="V663" s="6"/>
      <c r="W663" s="10"/>
      <c r="X663" s="10"/>
      <c r="Y663" s="4"/>
      <c r="Z663" s="4"/>
    </row>
    <row r="664" spans="1:26" ht="15.75">
      <c r="A664" s="7"/>
      <c r="B664" s="7"/>
      <c r="C664" s="6"/>
      <c r="D664" s="6"/>
      <c r="E664" s="6"/>
      <c r="F664" s="6"/>
      <c r="G664" s="7"/>
      <c r="H664" s="7"/>
      <c r="I664" s="7"/>
      <c r="J664" s="7"/>
      <c r="K664" s="7"/>
      <c r="L664" s="6"/>
      <c r="M664" s="10"/>
      <c r="N664" s="10"/>
      <c r="O664" s="10"/>
      <c r="P664" s="6"/>
      <c r="Q664" s="10"/>
      <c r="R664" s="6"/>
      <c r="S664" s="6"/>
      <c r="T664" s="6"/>
      <c r="U664" s="10"/>
      <c r="V664" s="6"/>
      <c r="W664" s="10"/>
      <c r="X664" s="10"/>
      <c r="Y664" s="4"/>
      <c r="Z664" s="4"/>
    </row>
    <row r="665" spans="1:26" ht="15.75">
      <c r="A665" s="7"/>
      <c r="B665" s="7"/>
      <c r="C665" s="6"/>
      <c r="D665" s="6"/>
      <c r="E665" s="6"/>
      <c r="F665" s="6"/>
      <c r="G665" s="7"/>
      <c r="H665" s="7"/>
      <c r="I665" s="7"/>
      <c r="J665" s="7"/>
      <c r="K665" s="7"/>
      <c r="L665" s="6"/>
      <c r="M665" s="10"/>
      <c r="N665" s="10"/>
      <c r="O665" s="10"/>
      <c r="P665" s="6"/>
      <c r="Q665" s="10"/>
      <c r="R665" s="6"/>
      <c r="S665" s="6"/>
      <c r="T665" s="6"/>
      <c r="U665" s="10"/>
      <c r="V665" s="6"/>
      <c r="W665" s="10"/>
      <c r="X665" s="10"/>
      <c r="Y665" s="4"/>
      <c r="Z665" s="4"/>
    </row>
    <row r="666" spans="1:26" ht="15.75">
      <c r="A666" s="7"/>
      <c r="B666" s="7"/>
      <c r="C666" s="6"/>
      <c r="D666" s="6"/>
      <c r="E666" s="6"/>
      <c r="F666" s="6"/>
      <c r="G666" s="7"/>
      <c r="H666" s="7"/>
      <c r="I666" s="7"/>
      <c r="J666" s="7"/>
      <c r="K666" s="7"/>
      <c r="L666" s="6"/>
      <c r="M666" s="10"/>
      <c r="N666" s="10"/>
      <c r="O666" s="10"/>
      <c r="P666" s="6"/>
      <c r="Q666" s="10"/>
      <c r="R666" s="6"/>
      <c r="S666" s="6"/>
      <c r="T666" s="6"/>
      <c r="U666" s="10"/>
      <c r="V666" s="6"/>
      <c r="W666" s="10"/>
      <c r="X666" s="10"/>
      <c r="Y666" s="4"/>
      <c r="Z666" s="4"/>
    </row>
    <row r="667" spans="1:26" ht="15.75">
      <c r="A667" s="7"/>
      <c r="B667" s="7"/>
      <c r="C667" s="6"/>
      <c r="D667" s="6"/>
      <c r="E667" s="6"/>
      <c r="F667" s="6"/>
      <c r="G667" s="7"/>
      <c r="H667" s="7"/>
      <c r="I667" s="7"/>
      <c r="J667" s="7"/>
      <c r="K667" s="7"/>
      <c r="L667" s="6"/>
      <c r="M667" s="10"/>
      <c r="N667" s="10"/>
      <c r="O667" s="10"/>
      <c r="P667" s="6"/>
      <c r="Q667" s="10"/>
      <c r="R667" s="6"/>
      <c r="S667" s="6"/>
      <c r="T667" s="6"/>
      <c r="U667" s="10"/>
      <c r="V667" s="6"/>
      <c r="W667" s="10"/>
      <c r="X667" s="10"/>
      <c r="Y667" s="4"/>
      <c r="Z667" s="4"/>
    </row>
    <row r="668" spans="1:26" ht="15.75">
      <c r="A668" s="7"/>
      <c r="B668" s="7"/>
      <c r="C668" s="6"/>
      <c r="D668" s="6"/>
      <c r="E668" s="6"/>
      <c r="F668" s="6"/>
      <c r="G668" s="7"/>
      <c r="H668" s="7"/>
      <c r="I668" s="7"/>
      <c r="J668" s="7"/>
      <c r="K668" s="7"/>
      <c r="L668" s="6"/>
      <c r="M668" s="10"/>
      <c r="N668" s="10"/>
      <c r="O668" s="10"/>
      <c r="P668" s="6"/>
      <c r="Q668" s="10"/>
      <c r="R668" s="6"/>
      <c r="S668" s="6"/>
      <c r="T668" s="6"/>
      <c r="U668" s="10"/>
      <c r="V668" s="6"/>
      <c r="W668" s="10"/>
      <c r="X668" s="10"/>
      <c r="Y668" s="4"/>
      <c r="Z668" s="4"/>
    </row>
    <row r="669" spans="1:26" ht="15.75">
      <c r="A669" s="7"/>
      <c r="B669" s="7"/>
      <c r="C669" s="6"/>
      <c r="D669" s="6"/>
      <c r="E669" s="6"/>
      <c r="F669" s="6"/>
      <c r="G669" s="7"/>
      <c r="H669" s="7"/>
      <c r="I669" s="7"/>
      <c r="J669" s="7"/>
      <c r="K669" s="7"/>
      <c r="L669" s="6"/>
      <c r="M669" s="10"/>
      <c r="N669" s="10"/>
      <c r="O669" s="10"/>
      <c r="P669" s="6"/>
      <c r="Q669" s="10"/>
      <c r="R669" s="6"/>
      <c r="S669" s="6"/>
      <c r="T669" s="6"/>
      <c r="U669" s="10"/>
      <c r="V669" s="6"/>
      <c r="W669" s="10"/>
      <c r="X669" s="10"/>
      <c r="Y669" s="4"/>
      <c r="Z669" s="4"/>
    </row>
    <row r="670" spans="1:26" ht="15.75">
      <c r="A670" s="7"/>
      <c r="B670" s="7"/>
      <c r="C670" s="6"/>
      <c r="D670" s="6"/>
      <c r="E670" s="6"/>
      <c r="F670" s="6"/>
      <c r="G670" s="7"/>
      <c r="H670" s="7"/>
      <c r="I670" s="7"/>
      <c r="J670" s="7"/>
      <c r="K670" s="7"/>
      <c r="L670" s="6"/>
      <c r="M670" s="10"/>
      <c r="N670" s="10"/>
      <c r="O670" s="10"/>
      <c r="P670" s="6"/>
      <c r="Q670" s="10"/>
      <c r="R670" s="6"/>
      <c r="S670" s="6"/>
      <c r="T670" s="6"/>
      <c r="U670" s="10"/>
      <c r="V670" s="6"/>
      <c r="W670" s="10"/>
      <c r="X670" s="10"/>
      <c r="Y670" s="4"/>
      <c r="Z670" s="4"/>
    </row>
    <row r="671" spans="1:26" ht="15.75">
      <c r="A671" s="7"/>
      <c r="B671" s="7"/>
      <c r="C671" s="6"/>
      <c r="D671" s="6"/>
      <c r="E671" s="6"/>
      <c r="F671" s="6"/>
      <c r="G671" s="7"/>
      <c r="H671" s="7"/>
      <c r="I671" s="7"/>
      <c r="J671" s="7"/>
      <c r="K671" s="7"/>
      <c r="L671" s="6"/>
      <c r="M671" s="10"/>
      <c r="N671" s="10"/>
      <c r="O671" s="10"/>
      <c r="P671" s="6"/>
      <c r="Q671" s="10"/>
      <c r="R671" s="6"/>
      <c r="S671" s="6"/>
      <c r="T671" s="6"/>
      <c r="U671" s="10"/>
      <c r="V671" s="6"/>
      <c r="W671" s="10"/>
      <c r="X671" s="10"/>
      <c r="Y671" s="4"/>
      <c r="Z671" s="4"/>
    </row>
    <row r="672" spans="1:26" ht="15.75">
      <c r="A672" s="7"/>
      <c r="B672" s="7"/>
      <c r="C672" s="6"/>
      <c r="D672" s="6"/>
      <c r="E672" s="6"/>
      <c r="F672" s="6"/>
      <c r="G672" s="7"/>
      <c r="H672" s="7"/>
      <c r="I672" s="7"/>
      <c r="J672" s="7"/>
      <c r="K672" s="7"/>
      <c r="L672" s="6"/>
      <c r="M672" s="10"/>
      <c r="N672" s="10"/>
      <c r="O672" s="10"/>
      <c r="P672" s="6"/>
      <c r="Q672" s="10"/>
      <c r="R672" s="6"/>
      <c r="S672" s="6"/>
      <c r="T672" s="6"/>
      <c r="U672" s="10"/>
      <c r="V672" s="6"/>
      <c r="W672" s="10"/>
      <c r="X672" s="10"/>
      <c r="Y672" s="4"/>
      <c r="Z672" s="4"/>
    </row>
    <row r="673" spans="1:26" ht="15.75">
      <c r="A673" s="7"/>
      <c r="B673" s="7"/>
      <c r="C673" s="6"/>
      <c r="D673" s="6"/>
      <c r="E673" s="6"/>
      <c r="F673" s="6"/>
      <c r="G673" s="7"/>
      <c r="H673" s="7"/>
      <c r="I673" s="7"/>
      <c r="J673" s="7"/>
      <c r="K673" s="7"/>
      <c r="L673" s="6"/>
      <c r="M673" s="10"/>
      <c r="N673" s="10"/>
      <c r="O673" s="10"/>
      <c r="P673" s="6"/>
      <c r="Q673" s="10"/>
      <c r="R673" s="6"/>
      <c r="S673" s="6"/>
      <c r="T673" s="6"/>
      <c r="U673" s="10"/>
      <c r="V673" s="6"/>
      <c r="W673" s="10"/>
      <c r="X673" s="10"/>
      <c r="Y673" s="4"/>
      <c r="Z673" s="4"/>
    </row>
    <row r="674" spans="1:26" ht="15.75">
      <c r="A674" s="7"/>
      <c r="B674" s="7"/>
      <c r="C674" s="6"/>
      <c r="D674" s="6"/>
      <c r="E674" s="6"/>
      <c r="F674" s="6"/>
      <c r="G674" s="7"/>
      <c r="H674" s="7"/>
      <c r="I674" s="7"/>
      <c r="J674" s="7"/>
      <c r="K674" s="7"/>
      <c r="L674" s="6"/>
      <c r="M674" s="10"/>
      <c r="N674" s="10"/>
      <c r="O674" s="10"/>
      <c r="P674" s="6"/>
      <c r="Q674" s="10"/>
      <c r="R674" s="6"/>
      <c r="S674" s="6"/>
      <c r="T674" s="6"/>
      <c r="U674" s="10"/>
      <c r="V674" s="6"/>
      <c r="W674" s="10"/>
      <c r="X674" s="10"/>
      <c r="Y674" s="4"/>
      <c r="Z674" s="4"/>
    </row>
    <row r="675" spans="1:26" ht="15.75">
      <c r="A675" s="7"/>
      <c r="B675" s="7"/>
      <c r="C675" s="6"/>
      <c r="D675" s="6"/>
      <c r="E675" s="6"/>
      <c r="F675" s="6"/>
      <c r="G675" s="7"/>
      <c r="H675" s="7"/>
      <c r="I675" s="7"/>
      <c r="J675" s="7"/>
      <c r="K675" s="7"/>
      <c r="L675" s="6"/>
      <c r="M675" s="10"/>
      <c r="N675" s="10"/>
      <c r="O675" s="10"/>
      <c r="P675" s="6"/>
      <c r="Q675" s="10"/>
      <c r="R675" s="6"/>
      <c r="S675" s="6"/>
      <c r="T675" s="6"/>
      <c r="U675" s="10"/>
      <c r="V675" s="6"/>
      <c r="W675" s="10"/>
      <c r="X675" s="10"/>
      <c r="Y675" s="4"/>
      <c r="Z675" s="4"/>
    </row>
    <row r="676" spans="1:26" ht="15.75">
      <c r="A676" s="7"/>
      <c r="B676" s="7"/>
      <c r="C676" s="6"/>
      <c r="D676" s="6"/>
      <c r="E676" s="6"/>
      <c r="F676" s="6"/>
      <c r="G676" s="7"/>
      <c r="H676" s="7"/>
      <c r="I676" s="7"/>
      <c r="J676" s="7"/>
      <c r="K676" s="7"/>
      <c r="L676" s="6"/>
      <c r="M676" s="10"/>
      <c r="N676" s="10"/>
      <c r="O676" s="10"/>
      <c r="P676" s="6"/>
      <c r="Q676" s="10"/>
      <c r="R676" s="6"/>
      <c r="S676" s="6"/>
      <c r="T676" s="6"/>
      <c r="U676" s="10"/>
      <c r="V676" s="6"/>
      <c r="W676" s="10"/>
      <c r="X676" s="10"/>
      <c r="Y676" s="4"/>
      <c r="Z676" s="4"/>
    </row>
    <row r="677" spans="1:26" ht="15.75">
      <c r="A677" s="7"/>
      <c r="B677" s="7"/>
      <c r="C677" s="6"/>
      <c r="D677" s="6"/>
      <c r="E677" s="6"/>
      <c r="F677" s="6"/>
      <c r="G677" s="7"/>
      <c r="H677" s="7"/>
      <c r="I677" s="7"/>
      <c r="J677" s="7"/>
      <c r="K677" s="7"/>
      <c r="L677" s="6"/>
      <c r="M677" s="10"/>
      <c r="N677" s="10"/>
      <c r="O677" s="10"/>
      <c r="P677" s="6"/>
      <c r="Q677" s="10"/>
      <c r="R677" s="6"/>
      <c r="S677" s="6"/>
      <c r="T677" s="6"/>
      <c r="U677" s="10"/>
      <c r="V677" s="6"/>
      <c r="W677" s="10"/>
      <c r="X677" s="10"/>
      <c r="Y677" s="4"/>
      <c r="Z677" s="4"/>
    </row>
    <row r="678" spans="1:26" ht="15.75">
      <c r="A678" s="7"/>
      <c r="B678" s="7"/>
      <c r="C678" s="6"/>
      <c r="D678" s="6"/>
      <c r="E678" s="6"/>
      <c r="F678" s="6"/>
      <c r="G678" s="7"/>
      <c r="H678" s="7"/>
      <c r="I678" s="7"/>
      <c r="J678" s="7"/>
      <c r="K678" s="7"/>
      <c r="L678" s="6"/>
      <c r="M678" s="10"/>
      <c r="N678" s="10"/>
      <c r="O678" s="10"/>
      <c r="P678" s="6"/>
      <c r="Q678" s="10"/>
      <c r="R678" s="6"/>
      <c r="S678" s="6"/>
      <c r="T678" s="6"/>
      <c r="U678" s="10"/>
      <c r="V678" s="6"/>
      <c r="W678" s="10"/>
      <c r="X678" s="10"/>
      <c r="Y678" s="4"/>
      <c r="Z678" s="4"/>
    </row>
    <row r="679" spans="1:26" ht="15.75">
      <c r="A679" s="7"/>
      <c r="B679" s="7"/>
      <c r="C679" s="6"/>
      <c r="D679" s="6"/>
      <c r="E679" s="6"/>
      <c r="F679" s="6"/>
      <c r="G679" s="7"/>
      <c r="H679" s="7"/>
      <c r="I679" s="7"/>
      <c r="J679" s="7"/>
      <c r="K679" s="7"/>
      <c r="L679" s="6"/>
      <c r="M679" s="10"/>
      <c r="N679" s="10"/>
      <c r="O679" s="10"/>
      <c r="P679" s="6"/>
      <c r="Q679" s="10"/>
      <c r="R679" s="6"/>
      <c r="S679" s="6"/>
      <c r="T679" s="6"/>
      <c r="U679" s="10"/>
      <c r="V679" s="6"/>
      <c r="W679" s="10"/>
      <c r="X679" s="10"/>
      <c r="Y679" s="4"/>
      <c r="Z679" s="4"/>
    </row>
    <row r="680" spans="1:26" ht="15.75">
      <c r="A680" s="7"/>
      <c r="B680" s="7"/>
      <c r="C680" s="6"/>
      <c r="D680" s="6"/>
      <c r="E680" s="6"/>
      <c r="F680" s="6"/>
      <c r="G680" s="7"/>
      <c r="H680" s="7"/>
      <c r="I680" s="7"/>
      <c r="J680" s="7"/>
      <c r="K680" s="7"/>
      <c r="L680" s="6"/>
      <c r="M680" s="10"/>
      <c r="N680" s="10"/>
      <c r="O680" s="10"/>
      <c r="P680" s="6"/>
      <c r="Q680" s="10"/>
      <c r="R680" s="6"/>
      <c r="S680" s="6"/>
      <c r="T680" s="6"/>
      <c r="U680" s="10"/>
      <c r="V680" s="6"/>
      <c r="W680" s="10"/>
      <c r="X680" s="10"/>
      <c r="Y680" s="4"/>
      <c r="Z680" s="4"/>
    </row>
    <row r="681" spans="1:26" ht="15.75">
      <c r="A681" s="7"/>
      <c r="B681" s="7"/>
      <c r="C681" s="6"/>
      <c r="D681" s="6"/>
      <c r="E681" s="6"/>
      <c r="F681" s="6"/>
      <c r="G681" s="7"/>
      <c r="H681" s="7"/>
      <c r="I681" s="7"/>
      <c r="J681" s="7"/>
      <c r="K681" s="7"/>
      <c r="L681" s="6"/>
      <c r="M681" s="10"/>
      <c r="N681" s="10"/>
      <c r="O681" s="10"/>
      <c r="P681" s="6"/>
      <c r="Q681" s="10"/>
      <c r="R681" s="6"/>
      <c r="S681" s="6"/>
      <c r="T681" s="6"/>
      <c r="U681" s="10"/>
      <c r="V681" s="6"/>
      <c r="W681" s="10"/>
      <c r="X681" s="10"/>
      <c r="Y681" s="4"/>
      <c r="Z681" s="4"/>
    </row>
    <row r="682" spans="1:26" ht="15.75">
      <c r="A682" s="7"/>
      <c r="B682" s="7"/>
      <c r="C682" s="6"/>
      <c r="D682" s="6"/>
      <c r="E682" s="6"/>
      <c r="F682" s="6"/>
      <c r="G682" s="7"/>
      <c r="H682" s="7"/>
      <c r="I682" s="7"/>
      <c r="J682" s="7"/>
      <c r="K682" s="7"/>
      <c r="L682" s="6"/>
      <c r="M682" s="10"/>
      <c r="N682" s="10"/>
      <c r="O682" s="10"/>
      <c r="P682" s="6"/>
      <c r="Q682" s="10"/>
      <c r="R682" s="6"/>
      <c r="S682" s="6"/>
      <c r="T682" s="6"/>
      <c r="U682" s="10"/>
      <c r="V682" s="6"/>
      <c r="W682" s="10"/>
      <c r="X682" s="10"/>
      <c r="Y682" s="4"/>
      <c r="Z682" s="4"/>
    </row>
    <row r="683" spans="1:26" ht="15.75">
      <c r="A683" s="7"/>
      <c r="B683" s="7"/>
      <c r="C683" s="6"/>
      <c r="D683" s="6"/>
      <c r="E683" s="6"/>
      <c r="F683" s="6"/>
      <c r="G683" s="7"/>
      <c r="H683" s="7"/>
      <c r="I683" s="7"/>
      <c r="J683" s="7"/>
      <c r="K683" s="7"/>
      <c r="L683" s="6"/>
      <c r="M683" s="10"/>
      <c r="N683" s="10"/>
      <c r="O683" s="10"/>
      <c r="P683" s="6"/>
      <c r="Q683" s="10"/>
      <c r="R683" s="6"/>
      <c r="S683" s="6"/>
      <c r="T683" s="6"/>
      <c r="U683" s="10"/>
      <c r="V683" s="6"/>
      <c r="W683" s="10"/>
      <c r="X683" s="10"/>
      <c r="Y683" s="4"/>
      <c r="Z683" s="4"/>
    </row>
    <row r="684" spans="1:26" ht="15.75">
      <c r="A684" s="7"/>
      <c r="B684" s="7"/>
      <c r="C684" s="6"/>
      <c r="D684" s="6"/>
      <c r="E684" s="6"/>
      <c r="F684" s="6"/>
      <c r="G684" s="7"/>
      <c r="H684" s="7"/>
      <c r="I684" s="7"/>
      <c r="J684" s="7"/>
      <c r="K684" s="7"/>
      <c r="L684" s="6"/>
      <c r="M684" s="10"/>
      <c r="N684" s="10"/>
      <c r="O684" s="10"/>
      <c r="P684" s="6"/>
      <c r="Q684" s="10"/>
      <c r="R684" s="6"/>
      <c r="S684" s="6"/>
      <c r="T684" s="6"/>
      <c r="U684" s="10"/>
      <c r="V684" s="6"/>
      <c r="W684" s="10"/>
      <c r="X684" s="10"/>
      <c r="Y684" s="4"/>
      <c r="Z684" s="4"/>
    </row>
    <row r="685" spans="1:26" ht="15.75">
      <c r="A685" s="7"/>
      <c r="B685" s="7"/>
      <c r="C685" s="6"/>
      <c r="D685" s="6"/>
      <c r="E685" s="6"/>
      <c r="F685" s="6"/>
      <c r="G685" s="7"/>
      <c r="H685" s="7"/>
      <c r="I685" s="7"/>
      <c r="J685" s="7"/>
      <c r="K685" s="7"/>
      <c r="L685" s="6"/>
      <c r="M685" s="10"/>
      <c r="N685" s="10"/>
      <c r="O685" s="10"/>
      <c r="P685" s="6"/>
      <c r="Q685" s="10"/>
      <c r="R685" s="6"/>
      <c r="S685" s="6"/>
      <c r="T685" s="6"/>
      <c r="U685" s="10"/>
      <c r="V685" s="6"/>
      <c r="W685" s="10"/>
      <c r="X685" s="10"/>
      <c r="Y685" s="4"/>
      <c r="Z685" s="4"/>
    </row>
    <row r="686" spans="1:26" ht="15.75">
      <c r="A686" s="7"/>
      <c r="B686" s="7"/>
      <c r="C686" s="6"/>
      <c r="D686" s="6"/>
      <c r="E686" s="6"/>
      <c r="F686" s="6"/>
      <c r="G686" s="7"/>
      <c r="H686" s="7"/>
      <c r="I686" s="7"/>
      <c r="J686" s="7"/>
      <c r="K686" s="7"/>
      <c r="L686" s="6"/>
      <c r="M686" s="10"/>
      <c r="N686" s="10"/>
      <c r="O686" s="10"/>
      <c r="P686" s="6"/>
      <c r="Q686" s="10"/>
      <c r="R686" s="6"/>
      <c r="S686" s="6"/>
      <c r="T686" s="6"/>
      <c r="U686" s="10"/>
      <c r="V686" s="6"/>
      <c r="W686" s="10"/>
      <c r="X686" s="10"/>
      <c r="Y686" s="4"/>
      <c r="Z686" s="4"/>
    </row>
    <row r="687" spans="1:26" ht="15.75">
      <c r="A687" s="7"/>
      <c r="B687" s="7"/>
      <c r="C687" s="6"/>
      <c r="D687" s="6"/>
      <c r="E687" s="6"/>
      <c r="F687" s="6"/>
      <c r="G687" s="7"/>
      <c r="H687" s="7"/>
      <c r="I687" s="7"/>
      <c r="J687" s="7"/>
      <c r="K687" s="7"/>
      <c r="L687" s="6"/>
      <c r="M687" s="10"/>
      <c r="N687" s="10"/>
      <c r="O687" s="10"/>
      <c r="P687" s="6"/>
      <c r="Q687" s="10"/>
      <c r="R687" s="6"/>
      <c r="S687" s="6"/>
      <c r="T687" s="6"/>
      <c r="U687" s="10"/>
      <c r="V687" s="6"/>
      <c r="W687" s="10"/>
      <c r="X687" s="10"/>
      <c r="Y687" s="4"/>
      <c r="Z687" s="4"/>
    </row>
    <row r="688" spans="1:26" ht="15.75">
      <c r="A688" s="7"/>
      <c r="B688" s="7"/>
      <c r="C688" s="6"/>
      <c r="D688" s="6"/>
      <c r="E688" s="6"/>
      <c r="F688" s="6"/>
      <c r="G688" s="7"/>
      <c r="H688" s="7"/>
      <c r="I688" s="7"/>
      <c r="J688" s="7"/>
      <c r="K688" s="7"/>
      <c r="L688" s="6"/>
      <c r="M688" s="10"/>
      <c r="N688" s="10"/>
      <c r="O688" s="10"/>
      <c r="P688" s="6"/>
      <c r="Q688" s="10"/>
      <c r="R688" s="6"/>
      <c r="S688" s="6"/>
      <c r="T688" s="6"/>
      <c r="U688" s="10"/>
      <c r="V688" s="6"/>
      <c r="W688" s="10"/>
      <c r="X688" s="10"/>
      <c r="Y688" s="4"/>
      <c r="Z688" s="4"/>
    </row>
    <row r="689" spans="1:26" ht="15.75">
      <c r="A689" s="7"/>
      <c r="B689" s="7"/>
      <c r="C689" s="6"/>
      <c r="D689" s="6"/>
      <c r="E689" s="6"/>
      <c r="F689" s="6"/>
      <c r="G689" s="7"/>
      <c r="H689" s="7"/>
      <c r="I689" s="7"/>
      <c r="J689" s="7"/>
      <c r="K689" s="7"/>
      <c r="L689" s="6"/>
      <c r="M689" s="10"/>
      <c r="N689" s="10"/>
      <c r="O689" s="10"/>
      <c r="P689" s="6"/>
      <c r="Q689" s="10"/>
      <c r="R689" s="6"/>
      <c r="S689" s="6"/>
      <c r="T689" s="6"/>
      <c r="U689" s="10"/>
      <c r="V689" s="6"/>
      <c r="W689" s="10"/>
      <c r="X689" s="10"/>
      <c r="Y689" s="4"/>
      <c r="Z689" s="4"/>
    </row>
    <row r="690" spans="1:26" ht="15.75">
      <c r="A690" s="7"/>
      <c r="B690" s="7"/>
      <c r="C690" s="6"/>
      <c r="D690" s="6"/>
      <c r="E690" s="6"/>
      <c r="F690" s="6"/>
      <c r="G690" s="7"/>
      <c r="H690" s="7"/>
      <c r="I690" s="7"/>
      <c r="J690" s="7"/>
      <c r="K690" s="7"/>
      <c r="L690" s="6"/>
      <c r="M690" s="10"/>
      <c r="N690" s="10"/>
      <c r="O690" s="10"/>
      <c r="P690" s="6"/>
      <c r="Q690" s="10"/>
      <c r="R690" s="6"/>
      <c r="S690" s="6"/>
      <c r="T690" s="6"/>
      <c r="U690" s="10"/>
      <c r="V690" s="6"/>
      <c r="W690" s="10"/>
      <c r="X690" s="10"/>
      <c r="Y690" s="4"/>
      <c r="Z690" s="4"/>
    </row>
    <row r="691" spans="1:26" ht="15.75">
      <c r="A691" s="7"/>
      <c r="B691" s="7"/>
      <c r="C691" s="6"/>
      <c r="D691" s="6"/>
      <c r="E691" s="6"/>
      <c r="F691" s="6"/>
      <c r="G691" s="7"/>
      <c r="H691" s="7"/>
      <c r="I691" s="7"/>
      <c r="J691" s="7"/>
      <c r="K691" s="7"/>
      <c r="L691" s="6"/>
      <c r="M691" s="10"/>
      <c r="N691" s="10"/>
      <c r="O691" s="10"/>
      <c r="P691" s="6"/>
      <c r="Q691" s="10"/>
      <c r="R691" s="6"/>
      <c r="S691" s="6"/>
      <c r="T691" s="6"/>
      <c r="U691" s="10"/>
      <c r="V691" s="6"/>
      <c r="W691" s="10"/>
      <c r="X691" s="10"/>
      <c r="Y691" s="4"/>
      <c r="Z691" s="4"/>
    </row>
    <row r="692" spans="1:26" ht="15.75">
      <c r="A692" s="7"/>
      <c r="B692" s="7"/>
      <c r="C692" s="6"/>
      <c r="D692" s="6"/>
      <c r="E692" s="6"/>
      <c r="F692" s="6"/>
      <c r="G692" s="7"/>
      <c r="H692" s="7"/>
      <c r="I692" s="7"/>
      <c r="J692" s="7"/>
      <c r="K692" s="7"/>
      <c r="L692" s="6"/>
      <c r="M692" s="10"/>
      <c r="N692" s="10"/>
      <c r="O692" s="10"/>
      <c r="P692" s="6"/>
      <c r="Q692" s="10"/>
      <c r="R692" s="6"/>
      <c r="S692" s="6"/>
      <c r="T692" s="6"/>
      <c r="U692" s="10"/>
      <c r="V692" s="6"/>
      <c r="W692" s="10"/>
      <c r="X692" s="10"/>
      <c r="Y692" s="4"/>
      <c r="Z692" s="4"/>
    </row>
    <row r="693" spans="1:26" ht="15.75">
      <c r="A693" s="7"/>
      <c r="B693" s="7"/>
      <c r="C693" s="6"/>
      <c r="D693" s="6"/>
      <c r="E693" s="6"/>
      <c r="F693" s="6"/>
      <c r="G693" s="7"/>
      <c r="H693" s="7"/>
      <c r="I693" s="7"/>
      <c r="J693" s="7"/>
      <c r="K693" s="7"/>
      <c r="L693" s="6"/>
      <c r="M693" s="10"/>
      <c r="N693" s="10"/>
      <c r="O693" s="10"/>
      <c r="P693" s="6"/>
      <c r="Q693" s="10"/>
      <c r="R693" s="6"/>
      <c r="S693" s="6"/>
      <c r="T693" s="6"/>
      <c r="U693" s="10"/>
      <c r="V693" s="6"/>
      <c r="W693" s="10"/>
      <c r="X693" s="10"/>
      <c r="Y693" s="4"/>
      <c r="Z693" s="4"/>
    </row>
    <row r="694" spans="1:26" ht="15.75">
      <c r="A694" s="7"/>
      <c r="B694" s="7"/>
      <c r="C694" s="6"/>
      <c r="D694" s="6"/>
      <c r="E694" s="6"/>
      <c r="F694" s="6"/>
      <c r="G694" s="7"/>
      <c r="H694" s="7"/>
      <c r="I694" s="7"/>
      <c r="J694" s="7"/>
      <c r="K694" s="7"/>
      <c r="L694" s="6"/>
      <c r="M694" s="10"/>
      <c r="N694" s="10"/>
      <c r="O694" s="10"/>
      <c r="P694" s="6"/>
      <c r="Q694" s="10"/>
      <c r="R694" s="6"/>
      <c r="S694" s="6"/>
      <c r="T694" s="6"/>
      <c r="U694" s="10"/>
      <c r="V694" s="6"/>
      <c r="W694" s="10"/>
      <c r="X694" s="10"/>
      <c r="Y694" s="4"/>
      <c r="Z694" s="4"/>
    </row>
    <row r="695" spans="1:26" ht="15.75">
      <c r="A695" s="7"/>
      <c r="B695" s="7"/>
      <c r="C695" s="6"/>
      <c r="D695" s="6"/>
      <c r="E695" s="6"/>
      <c r="F695" s="6"/>
      <c r="G695" s="7"/>
      <c r="H695" s="7"/>
      <c r="I695" s="7"/>
      <c r="J695" s="7"/>
      <c r="K695" s="7"/>
      <c r="L695" s="6"/>
      <c r="M695" s="10"/>
      <c r="N695" s="10"/>
      <c r="O695" s="10"/>
      <c r="P695" s="6"/>
      <c r="Q695" s="10"/>
      <c r="R695" s="6"/>
      <c r="S695" s="6"/>
      <c r="T695" s="6"/>
      <c r="U695" s="10"/>
      <c r="V695" s="6"/>
      <c r="W695" s="10"/>
      <c r="X695" s="10"/>
      <c r="Y695" s="4"/>
      <c r="Z695" s="4"/>
    </row>
    <row r="696" spans="1:26" ht="15.75">
      <c r="A696" s="7"/>
      <c r="B696" s="7"/>
      <c r="C696" s="6"/>
      <c r="D696" s="6"/>
      <c r="E696" s="6"/>
      <c r="F696" s="6"/>
      <c r="G696" s="7"/>
      <c r="H696" s="7"/>
      <c r="I696" s="7"/>
      <c r="J696" s="7"/>
      <c r="K696" s="7"/>
      <c r="L696" s="6"/>
      <c r="M696" s="10"/>
      <c r="N696" s="10"/>
      <c r="O696" s="10"/>
      <c r="P696" s="6"/>
      <c r="Q696" s="10"/>
      <c r="R696" s="6"/>
      <c r="S696" s="6"/>
      <c r="T696" s="6"/>
      <c r="U696" s="10"/>
      <c r="V696" s="6"/>
      <c r="W696" s="10"/>
      <c r="X696" s="10"/>
      <c r="Y696" s="4"/>
      <c r="Z696" s="4"/>
    </row>
    <row r="697" spans="1:26" ht="15.75">
      <c r="A697" s="7"/>
      <c r="B697" s="7"/>
      <c r="C697" s="6"/>
      <c r="D697" s="6"/>
      <c r="E697" s="6"/>
      <c r="F697" s="6"/>
      <c r="G697" s="7"/>
      <c r="H697" s="7"/>
      <c r="I697" s="7"/>
      <c r="J697" s="7"/>
      <c r="K697" s="7"/>
      <c r="L697" s="6"/>
      <c r="M697" s="10"/>
      <c r="N697" s="10"/>
      <c r="O697" s="10"/>
      <c r="P697" s="6"/>
      <c r="Q697" s="10"/>
      <c r="R697" s="6"/>
      <c r="S697" s="6"/>
      <c r="T697" s="6"/>
      <c r="U697" s="10"/>
      <c r="V697" s="6"/>
      <c r="W697" s="10"/>
      <c r="X697" s="10"/>
      <c r="Y697" s="4"/>
      <c r="Z697" s="4"/>
    </row>
    <row r="698" spans="1:26" ht="15.75">
      <c r="A698" s="7"/>
      <c r="B698" s="7"/>
      <c r="C698" s="6"/>
      <c r="D698" s="6"/>
      <c r="E698" s="6"/>
      <c r="F698" s="6"/>
      <c r="G698" s="7"/>
      <c r="H698" s="7"/>
      <c r="I698" s="7"/>
      <c r="J698" s="7"/>
      <c r="K698" s="7"/>
      <c r="L698" s="6"/>
      <c r="M698" s="10"/>
      <c r="N698" s="10"/>
      <c r="O698" s="10"/>
      <c r="P698" s="6"/>
      <c r="Q698" s="10"/>
      <c r="R698" s="6"/>
      <c r="S698" s="6"/>
      <c r="T698" s="6"/>
      <c r="U698" s="10"/>
      <c r="V698" s="6"/>
      <c r="W698" s="10"/>
      <c r="X698" s="10"/>
      <c r="Y698" s="4"/>
      <c r="Z698" s="4"/>
    </row>
    <row r="699" spans="1:26" ht="15.75">
      <c r="A699" s="7"/>
      <c r="B699" s="7"/>
      <c r="C699" s="6"/>
      <c r="D699" s="6"/>
      <c r="E699" s="6"/>
      <c r="F699" s="6"/>
      <c r="G699" s="7"/>
      <c r="H699" s="7"/>
      <c r="I699" s="7"/>
      <c r="J699" s="7"/>
      <c r="K699" s="7"/>
      <c r="L699" s="6"/>
      <c r="M699" s="10"/>
      <c r="N699" s="10"/>
      <c r="O699" s="10"/>
      <c r="P699" s="6"/>
      <c r="Q699" s="10"/>
      <c r="R699" s="6"/>
      <c r="S699" s="6"/>
      <c r="T699" s="6"/>
      <c r="U699" s="10"/>
      <c r="V699" s="6"/>
      <c r="W699" s="10"/>
      <c r="X699" s="10"/>
      <c r="Y699" s="4"/>
      <c r="Z699" s="4"/>
    </row>
    <row r="700" spans="1:26" ht="15.75">
      <c r="A700" s="7"/>
      <c r="B700" s="7"/>
      <c r="C700" s="6"/>
      <c r="D700" s="6"/>
      <c r="E700" s="6"/>
      <c r="F700" s="6"/>
      <c r="G700" s="7"/>
      <c r="H700" s="7"/>
      <c r="I700" s="7"/>
      <c r="J700" s="7"/>
      <c r="K700" s="7"/>
      <c r="L700" s="6"/>
      <c r="M700" s="10"/>
      <c r="N700" s="10"/>
      <c r="O700" s="10"/>
      <c r="P700" s="6"/>
      <c r="Q700" s="10"/>
      <c r="R700" s="6"/>
      <c r="S700" s="6"/>
      <c r="T700" s="6"/>
      <c r="U700" s="10"/>
      <c r="V700" s="6"/>
      <c r="W700" s="10"/>
      <c r="X700" s="10"/>
      <c r="Y700" s="4"/>
      <c r="Z700" s="4"/>
    </row>
    <row r="701" spans="1:26" ht="15.75">
      <c r="A701" s="7"/>
      <c r="B701" s="7"/>
      <c r="C701" s="6"/>
      <c r="D701" s="6"/>
      <c r="E701" s="6"/>
      <c r="F701" s="6"/>
      <c r="G701" s="7"/>
      <c r="H701" s="7"/>
      <c r="I701" s="7"/>
      <c r="J701" s="7"/>
      <c r="K701" s="7"/>
      <c r="L701" s="6"/>
      <c r="M701" s="10"/>
      <c r="N701" s="10"/>
      <c r="O701" s="10"/>
      <c r="P701" s="6"/>
      <c r="Q701" s="10"/>
      <c r="R701" s="6"/>
      <c r="S701" s="6"/>
      <c r="T701" s="6"/>
      <c r="U701" s="10"/>
      <c r="V701" s="6"/>
      <c r="W701" s="10"/>
      <c r="X701" s="10"/>
      <c r="Y701" s="4"/>
      <c r="Z701" s="4"/>
    </row>
    <row r="702" spans="1:26" ht="15.75">
      <c r="A702" s="7"/>
      <c r="B702" s="7"/>
      <c r="C702" s="6"/>
      <c r="D702" s="6"/>
      <c r="E702" s="6"/>
      <c r="F702" s="6"/>
      <c r="G702" s="7"/>
      <c r="H702" s="7"/>
      <c r="I702" s="7"/>
      <c r="J702" s="7"/>
      <c r="K702" s="7"/>
      <c r="L702" s="6"/>
      <c r="M702" s="10"/>
      <c r="N702" s="10"/>
      <c r="O702" s="10"/>
      <c r="P702" s="6"/>
      <c r="Q702" s="10"/>
      <c r="R702" s="6"/>
      <c r="S702" s="6"/>
      <c r="T702" s="6"/>
      <c r="U702" s="10"/>
      <c r="V702" s="6"/>
      <c r="W702" s="10"/>
      <c r="X702" s="10"/>
      <c r="Y702" s="4"/>
      <c r="Z702" s="4"/>
    </row>
    <row r="703" spans="1:26" ht="15.75">
      <c r="A703" s="7"/>
      <c r="B703" s="7"/>
      <c r="C703" s="6"/>
      <c r="D703" s="6"/>
      <c r="E703" s="6"/>
      <c r="F703" s="6"/>
      <c r="G703" s="7"/>
      <c r="H703" s="7"/>
      <c r="I703" s="7"/>
      <c r="J703" s="7"/>
      <c r="K703" s="7"/>
      <c r="L703" s="6"/>
      <c r="M703" s="10"/>
      <c r="N703" s="10"/>
      <c r="O703" s="10"/>
      <c r="P703" s="6"/>
      <c r="Q703" s="10"/>
      <c r="R703" s="6"/>
      <c r="S703" s="6"/>
      <c r="T703" s="6"/>
      <c r="U703" s="10"/>
      <c r="V703" s="6"/>
      <c r="W703" s="10"/>
      <c r="X703" s="10"/>
      <c r="Y703" s="4"/>
      <c r="Z703" s="4"/>
    </row>
    <row r="704" spans="1:26" ht="15.75">
      <c r="A704" s="7"/>
      <c r="B704" s="7"/>
      <c r="C704" s="6"/>
      <c r="D704" s="6"/>
      <c r="E704" s="6"/>
      <c r="F704" s="6"/>
      <c r="G704" s="7"/>
      <c r="H704" s="7"/>
      <c r="I704" s="7"/>
      <c r="J704" s="7"/>
      <c r="K704" s="7"/>
      <c r="L704" s="6"/>
      <c r="M704" s="10"/>
      <c r="N704" s="10"/>
      <c r="O704" s="10"/>
      <c r="P704" s="6"/>
      <c r="Q704" s="10"/>
      <c r="R704" s="6"/>
      <c r="S704" s="6"/>
      <c r="T704" s="6"/>
      <c r="U704" s="10"/>
      <c r="V704" s="6"/>
      <c r="W704" s="10"/>
      <c r="X704" s="10"/>
      <c r="Y704" s="4"/>
      <c r="Z704" s="4"/>
    </row>
    <row r="705" spans="1:26" ht="15.75">
      <c r="A705" s="7"/>
      <c r="B705" s="7"/>
      <c r="C705" s="6"/>
      <c r="D705" s="6"/>
      <c r="E705" s="6"/>
      <c r="F705" s="6"/>
      <c r="G705" s="7"/>
      <c r="H705" s="7"/>
      <c r="I705" s="7"/>
      <c r="J705" s="7"/>
      <c r="K705" s="7"/>
      <c r="L705" s="6"/>
      <c r="M705" s="10"/>
      <c r="N705" s="10"/>
      <c r="O705" s="10"/>
      <c r="P705" s="6"/>
      <c r="Q705" s="10"/>
      <c r="R705" s="6"/>
      <c r="S705" s="6"/>
      <c r="T705" s="6"/>
      <c r="U705" s="10"/>
      <c r="V705" s="6"/>
      <c r="W705" s="10"/>
      <c r="X705" s="10"/>
      <c r="Y705" s="4"/>
      <c r="Z705" s="4"/>
    </row>
    <row r="706" spans="1:26" ht="15.75">
      <c r="A706" s="7"/>
      <c r="B706" s="7"/>
      <c r="C706" s="6"/>
      <c r="D706" s="6"/>
      <c r="E706" s="6"/>
      <c r="F706" s="6"/>
      <c r="G706" s="7"/>
      <c r="H706" s="7"/>
      <c r="I706" s="7"/>
      <c r="J706" s="7"/>
      <c r="K706" s="7"/>
      <c r="L706" s="6"/>
      <c r="M706" s="10"/>
      <c r="N706" s="10"/>
      <c r="O706" s="10"/>
      <c r="P706" s="6"/>
      <c r="Q706" s="10"/>
      <c r="R706" s="6"/>
      <c r="S706" s="6"/>
      <c r="T706" s="6"/>
      <c r="U706" s="10"/>
      <c r="V706" s="6"/>
      <c r="W706" s="10"/>
      <c r="X706" s="10"/>
      <c r="Y706" s="4"/>
      <c r="Z706" s="4"/>
    </row>
    <row r="707" spans="1:26" ht="15.75">
      <c r="A707" s="7"/>
      <c r="B707" s="7"/>
      <c r="C707" s="6"/>
      <c r="D707" s="6"/>
      <c r="E707" s="6"/>
      <c r="F707" s="6"/>
      <c r="G707" s="7"/>
      <c r="H707" s="7"/>
      <c r="I707" s="7"/>
      <c r="J707" s="7"/>
      <c r="K707" s="7"/>
      <c r="L707" s="6"/>
      <c r="M707" s="10"/>
      <c r="N707" s="10"/>
      <c r="O707" s="10"/>
      <c r="P707" s="6"/>
      <c r="Q707" s="10"/>
      <c r="R707" s="6"/>
      <c r="S707" s="6"/>
      <c r="T707" s="6"/>
      <c r="U707" s="10"/>
      <c r="V707" s="6"/>
      <c r="W707" s="10"/>
      <c r="X707" s="10"/>
      <c r="Y707" s="4"/>
      <c r="Z707" s="4"/>
    </row>
    <row r="708" spans="1:26" ht="15.75">
      <c r="A708" s="7"/>
      <c r="B708" s="7"/>
      <c r="C708" s="6"/>
      <c r="D708" s="6"/>
      <c r="E708" s="6"/>
      <c r="F708" s="6"/>
      <c r="G708" s="7"/>
      <c r="H708" s="7"/>
      <c r="I708" s="7"/>
      <c r="J708" s="7"/>
      <c r="K708" s="7"/>
      <c r="L708" s="6"/>
      <c r="M708" s="10"/>
      <c r="N708" s="10"/>
      <c r="O708" s="10"/>
      <c r="P708" s="6"/>
      <c r="Q708" s="10"/>
      <c r="R708" s="6"/>
      <c r="S708" s="6"/>
      <c r="T708" s="6"/>
      <c r="U708" s="10"/>
      <c r="V708" s="6"/>
      <c r="W708" s="10"/>
      <c r="X708" s="10"/>
      <c r="Y708" s="4"/>
      <c r="Z708" s="4"/>
    </row>
    <row r="709" spans="1:26" ht="15.75">
      <c r="A709" s="7"/>
      <c r="B709" s="7"/>
      <c r="C709" s="6"/>
      <c r="D709" s="6"/>
      <c r="E709" s="6"/>
      <c r="F709" s="6"/>
      <c r="G709" s="7"/>
      <c r="H709" s="7"/>
      <c r="I709" s="7"/>
      <c r="J709" s="7"/>
      <c r="K709" s="7"/>
      <c r="L709" s="6"/>
      <c r="M709" s="10"/>
      <c r="N709" s="10"/>
      <c r="O709" s="10"/>
      <c r="P709" s="6"/>
      <c r="Q709" s="10"/>
      <c r="R709" s="6"/>
      <c r="S709" s="6"/>
      <c r="T709" s="6"/>
      <c r="U709" s="10"/>
      <c r="V709" s="6"/>
      <c r="W709" s="10"/>
      <c r="X709" s="10"/>
      <c r="Y709" s="4"/>
      <c r="Z709" s="4"/>
    </row>
    <row r="710" spans="1:26" ht="15.75">
      <c r="A710" s="7"/>
      <c r="B710" s="7"/>
      <c r="C710" s="6"/>
      <c r="D710" s="6"/>
      <c r="E710" s="6"/>
      <c r="F710" s="6"/>
      <c r="G710" s="7"/>
      <c r="H710" s="7"/>
      <c r="I710" s="7"/>
      <c r="J710" s="7"/>
      <c r="K710" s="7"/>
      <c r="L710" s="6"/>
      <c r="M710" s="10"/>
      <c r="N710" s="10"/>
      <c r="O710" s="10"/>
      <c r="P710" s="6"/>
      <c r="Q710" s="10"/>
      <c r="R710" s="6"/>
      <c r="S710" s="6"/>
      <c r="T710" s="6"/>
      <c r="U710" s="10"/>
      <c r="V710" s="6"/>
      <c r="W710" s="10"/>
      <c r="X710" s="10"/>
      <c r="Y710" s="4"/>
      <c r="Z710" s="4"/>
    </row>
    <row r="711" spans="1:26" ht="15.75">
      <c r="A711" s="7"/>
      <c r="B711" s="7"/>
      <c r="C711" s="6"/>
      <c r="D711" s="6"/>
      <c r="E711" s="6"/>
      <c r="F711" s="6"/>
      <c r="G711" s="7"/>
      <c r="H711" s="7"/>
      <c r="I711" s="7"/>
      <c r="J711" s="7"/>
      <c r="K711" s="7"/>
      <c r="L711" s="6"/>
      <c r="M711" s="10"/>
      <c r="N711" s="10"/>
      <c r="O711" s="10"/>
      <c r="P711" s="6"/>
      <c r="Q711" s="10"/>
      <c r="R711" s="6"/>
      <c r="S711" s="6"/>
      <c r="T711" s="6"/>
      <c r="U711" s="10"/>
      <c r="V711" s="6"/>
      <c r="W711" s="10"/>
      <c r="X711" s="10"/>
      <c r="Y711" s="4"/>
      <c r="Z711" s="4"/>
    </row>
    <row r="712" spans="1:26" ht="15.75">
      <c r="A712" s="7"/>
      <c r="B712" s="7"/>
      <c r="C712" s="6"/>
      <c r="D712" s="6"/>
      <c r="E712" s="6"/>
      <c r="F712" s="6"/>
      <c r="G712" s="7"/>
      <c r="H712" s="7"/>
      <c r="I712" s="7"/>
      <c r="J712" s="7"/>
      <c r="K712" s="7"/>
      <c r="L712" s="6"/>
      <c r="M712" s="10"/>
      <c r="N712" s="10"/>
      <c r="O712" s="10"/>
      <c r="P712" s="6"/>
      <c r="Q712" s="10"/>
      <c r="R712" s="6"/>
      <c r="S712" s="6"/>
      <c r="T712" s="6"/>
      <c r="U712" s="10"/>
      <c r="V712" s="6"/>
      <c r="W712" s="10"/>
      <c r="X712" s="10"/>
      <c r="Y712" s="4"/>
      <c r="Z712" s="4"/>
    </row>
    <row r="713" spans="1:26" ht="15.75">
      <c r="A713" s="7"/>
      <c r="B713" s="7"/>
      <c r="C713" s="6"/>
      <c r="D713" s="6"/>
      <c r="E713" s="6"/>
      <c r="F713" s="6"/>
      <c r="G713" s="7"/>
      <c r="H713" s="7"/>
      <c r="I713" s="7"/>
      <c r="J713" s="7"/>
      <c r="K713" s="7"/>
      <c r="L713" s="6"/>
      <c r="M713" s="10"/>
      <c r="N713" s="10"/>
      <c r="O713" s="10"/>
      <c r="P713" s="6"/>
      <c r="Q713" s="10"/>
      <c r="R713" s="6"/>
      <c r="S713" s="6"/>
      <c r="T713" s="6"/>
      <c r="U713" s="10"/>
      <c r="V713" s="6"/>
      <c r="W713" s="10"/>
      <c r="X713" s="10"/>
      <c r="Y713" s="4"/>
      <c r="Z713" s="4"/>
    </row>
    <row r="714" spans="1:26" ht="15.75">
      <c r="A714" s="7"/>
      <c r="B714" s="7"/>
      <c r="C714" s="6"/>
      <c r="D714" s="6"/>
      <c r="E714" s="6"/>
      <c r="F714" s="6"/>
      <c r="G714" s="7"/>
      <c r="H714" s="7"/>
      <c r="I714" s="7"/>
      <c r="J714" s="7"/>
      <c r="K714" s="7"/>
      <c r="L714" s="6"/>
      <c r="M714" s="10"/>
      <c r="N714" s="10"/>
      <c r="O714" s="10"/>
      <c r="P714" s="6"/>
      <c r="Q714" s="10"/>
      <c r="R714" s="6"/>
      <c r="S714" s="6"/>
      <c r="T714" s="6"/>
      <c r="U714" s="10"/>
      <c r="V714" s="6"/>
      <c r="W714" s="10"/>
      <c r="X714" s="10"/>
      <c r="Y714" s="4"/>
      <c r="Z714" s="4"/>
    </row>
    <row r="715" spans="1:26" ht="15.75">
      <c r="A715" s="7"/>
      <c r="B715" s="7"/>
      <c r="C715" s="6"/>
      <c r="D715" s="6"/>
      <c r="E715" s="6"/>
      <c r="F715" s="6"/>
      <c r="G715" s="7"/>
      <c r="H715" s="7"/>
      <c r="I715" s="7"/>
      <c r="J715" s="7"/>
      <c r="K715" s="7"/>
      <c r="L715" s="6"/>
      <c r="M715" s="10"/>
      <c r="N715" s="10"/>
      <c r="O715" s="10"/>
      <c r="P715" s="6"/>
      <c r="Q715" s="10"/>
      <c r="R715" s="6"/>
      <c r="S715" s="6"/>
      <c r="T715" s="6"/>
      <c r="U715" s="10"/>
      <c r="V715" s="6"/>
      <c r="W715" s="10"/>
      <c r="X715" s="10"/>
      <c r="Y715" s="4"/>
      <c r="Z715" s="4"/>
    </row>
    <row r="716" spans="1:26" ht="15.75">
      <c r="A716" s="7"/>
      <c r="B716" s="7"/>
      <c r="C716" s="6"/>
      <c r="D716" s="6"/>
      <c r="E716" s="6"/>
      <c r="F716" s="6"/>
      <c r="G716" s="7"/>
      <c r="H716" s="7"/>
      <c r="I716" s="7"/>
      <c r="J716" s="7"/>
      <c r="K716" s="7"/>
      <c r="L716" s="6"/>
      <c r="M716" s="10"/>
      <c r="N716" s="10"/>
      <c r="O716" s="10"/>
      <c r="P716" s="6"/>
      <c r="Q716" s="10"/>
      <c r="R716" s="6"/>
      <c r="S716" s="6"/>
      <c r="T716" s="6"/>
      <c r="U716" s="10"/>
      <c r="V716" s="6"/>
      <c r="W716" s="10"/>
      <c r="X716" s="10"/>
      <c r="Y716" s="4"/>
      <c r="Z716" s="4"/>
    </row>
    <row r="717" spans="1:26" ht="15.75">
      <c r="A717" s="7"/>
      <c r="B717" s="7"/>
      <c r="C717" s="6"/>
      <c r="D717" s="6"/>
      <c r="E717" s="6"/>
      <c r="F717" s="6"/>
      <c r="G717" s="7"/>
      <c r="H717" s="7"/>
      <c r="I717" s="7"/>
      <c r="J717" s="7"/>
      <c r="K717" s="7"/>
      <c r="L717" s="6"/>
      <c r="M717" s="10"/>
      <c r="N717" s="10"/>
      <c r="O717" s="10"/>
      <c r="P717" s="6"/>
      <c r="Q717" s="10"/>
      <c r="R717" s="6"/>
      <c r="S717" s="6"/>
      <c r="T717" s="6"/>
      <c r="U717" s="10"/>
      <c r="V717" s="6"/>
      <c r="W717" s="10"/>
      <c r="X717" s="10"/>
      <c r="Y717" s="4"/>
      <c r="Z717" s="4"/>
    </row>
    <row r="718" spans="1:26" ht="15.75">
      <c r="A718" s="7"/>
      <c r="B718" s="7"/>
      <c r="C718" s="6"/>
      <c r="D718" s="6"/>
      <c r="E718" s="6"/>
      <c r="F718" s="6"/>
      <c r="G718" s="7"/>
      <c r="H718" s="7"/>
      <c r="I718" s="7"/>
      <c r="J718" s="7"/>
      <c r="K718" s="7"/>
      <c r="L718" s="6"/>
      <c r="M718" s="10"/>
      <c r="N718" s="10"/>
      <c r="O718" s="10"/>
      <c r="P718" s="6"/>
      <c r="Q718" s="10"/>
      <c r="R718" s="6"/>
      <c r="S718" s="6"/>
      <c r="T718" s="6"/>
      <c r="U718" s="10"/>
      <c r="V718" s="6"/>
      <c r="W718" s="10"/>
      <c r="X718" s="10"/>
      <c r="Y718" s="4"/>
      <c r="Z718" s="4"/>
    </row>
    <row r="719" spans="1:26" ht="15.75">
      <c r="A719" s="7"/>
      <c r="B719" s="7"/>
      <c r="C719" s="6"/>
      <c r="D719" s="6"/>
      <c r="E719" s="6"/>
      <c r="F719" s="6"/>
      <c r="G719" s="7"/>
      <c r="H719" s="7"/>
      <c r="I719" s="7"/>
      <c r="J719" s="7"/>
      <c r="K719" s="7"/>
      <c r="L719" s="6"/>
      <c r="M719" s="10"/>
      <c r="N719" s="10"/>
      <c r="O719" s="10"/>
      <c r="P719" s="6"/>
      <c r="Q719" s="10"/>
      <c r="R719" s="6"/>
      <c r="S719" s="6"/>
      <c r="T719" s="6"/>
      <c r="U719" s="10"/>
      <c r="V719" s="6"/>
      <c r="W719" s="10"/>
      <c r="X719" s="10"/>
      <c r="Y719" s="4"/>
      <c r="Z719" s="4"/>
    </row>
    <row r="720" spans="1:26" ht="15.75">
      <c r="A720" s="7"/>
      <c r="B720" s="7"/>
      <c r="C720" s="6"/>
      <c r="D720" s="6"/>
      <c r="E720" s="6"/>
      <c r="F720" s="6"/>
      <c r="G720" s="7"/>
      <c r="H720" s="7"/>
      <c r="I720" s="7"/>
      <c r="J720" s="7"/>
      <c r="K720" s="7"/>
      <c r="L720" s="6"/>
      <c r="M720" s="10"/>
      <c r="N720" s="10"/>
      <c r="O720" s="10"/>
      <c r="P720" s="6"/>
      <c r="Q720" s="10"/>
      <c r="R720" s="6"/>
      <c r="S720" s="6"/>
      <c r="T720" s="6"/>
      <c r="U720" s="10"/>
      <c r="V720" s="6"/>
      <c r="W720" s="10"/>
      <c r="X720" s="10"/>
      <c r="Y720" s="4"/>
      <c r="Z720" s="4"/>
    </row>
    <row r="721" spans="1:26" ht="15.75">
      <c r="A721" s="7"/>
      <c r="B721" s="7"/>
      <c r="C721" s="6"/>
      <c r="D721" s="6"/>
      <c r="E721" s="6"/>
      <c r="F721" s="6"/>
      <c r="G721" s="7"/>
      <c r="H721" s="7"/>
      <c r="I721" s="7"/>
      <c r="J721" s="7"/>
      <c r="K721" s="7"/>
      <c r="L721" s="6"/>
      <c r="M721" s="10"/>
      <c r="N721" s="10"/>
      <c r="O721" s="10"/>
      <c r="P721" s="6"/>
      <c r="Q721" s="10"/>
      <c r="R721" s="6"/>
      <c r="S721" s="6"/>
      <c r="T721" s="6"/>
      <c r="U721" s="10"/>
      <c r="V721" s="6"/>
      <c r="W721" s="10"/>
      <c r="X721" s="10"/>
      <c r="Y721" s="4"/>
      <c r="Z721" s="4"/>
    </row>
    <row r="722" spans="1:26" ht="15.75">
      <c r="A722" s="7"/>
      <c r="B722" s="7"/>
      <c r="C722" s="6"/>
      <c r="D722" s="6"/>
      <c r="E722" s="6"/>
      <c r="F722" s="6"/>
      <c r="G722" s="7"/>
      <c r="H722" s="7"/>
      <c r="I722" s="7"/>
      <c r="J722" s="7"/>
      <c r="K722" s="7"/>
      <c r="L722" s="6"/>
      <c r="M722" s="10"/>
      <c r="N722" s="10"/>
      <c r="O722" s="10"/>
      <c r="P722" s="6"/>
      <c r="Q722" s="10"/>
      <c r="R722" s="6"/>
      <c r="S722" s="6"/>
      <c r="T722" s="6"/>
      <c r="U722" s="10"/>
      <c r="V722" s="6"/>
      <c r="W722" s="10"/>
      <c r="X722" s="10"/>
      <c r="Y722" s="4"/>
      <c r="Z722" s="4"/>
    </row>
    <row r="723" spans="1:26" ht="15.75">
      <c r="A723" s="7"/>
      <c r="B723" s="7"/>
      <c r="C723" s="6"/>
      <c r="D723" s="6"/>
      <c r="E723" s="6"/>
      <c r="F723" s="6"/>
      <c r="G723" s="7"/>
      <c r="H723" s="7"/>
      <c r="I723" s="7"/>
      <c r="J723" s="7"/>
      <c r="K723" s="7"/>
      <c r="L723" s="6"/>
      <c r="M723" s="10"/>
      <c r="N723" s="10"/>
      <c r="O723" s="10"/>
      <c r="P723" s="6"/>
      <c r="Q723" s="10"/>
      <c r="R723" s="6"/>
      <c r="S723" s="6"/>
      <c r="T723" s="6"/>
      <c r="U723" s="10"/>
      <c r="V723" s="6"/>
      <c r="W723" s="10"/>
      <c r="X723" s="10"/>
      <c r="Y723" s="4"/>
      <c r="Z723" s="4"/>
    </row>
    <row r="724" spans="1:26" ht="15.75">
      <c r="A724" s="7"/>
      <c r="B724" s="7"/>
      <c r="C724" s="6"/>
      <c r="D724" s="6"/>
      <c r="E724" s="6"/>
      <c r="F724" s="6"/>
      <c r="G724" s="7"/>
      <c r="H724" s="7"/>
      <c r="I724" s="7"/>
      <c r="J724" s="7"/>
      <c r="K724" s="7"/>
      <c r="L724" s="6"/>
      <c r="M724" s="10"/>
      <c r="N724" s="10"/>
      <c r="O724" s="10"/>
      <c r="P724" s="6"/>
      <c r="Q724" s="10"/>
      <c r="R724" s="6"/>
      <c r="S724" s="6"/>
      <c r="T724" s="6"/>
      <c r="U724" s="10"/>
      <c r="V724" s="6"/>
      <c r="W724" s="10"/>
      <c r="X724" s="10"/>
      <c r="Y724" s="4"/>
      <c r="Z724" s="4"/>
    </row>
    <row r="725" spans="1:26" ht="15.75">
      <c r="A725" s="7"/>
      <c r="B725" s="7"/>
      <c r="C725" s="6"/>
      <c r="D725" s="6"/>
      <c r="E725" s="6"/>
      <c r="F725" s="6"/>
      <c r="G725" s="7"/>
      <c r="H725" s="7"/>
      <c r="I725" s="7"/>
      <c r="J725" s="7"/>
      <c r="K725" s="7"/>
      <c r="L725" s="6"/>
      <c r="M725" s="10"/>
      <c r="N725" s="10"/>
      <c r="O725" s="10"/>
      <c r="P725" s="6"/>
      <c r="Q725" s="10"/>
      <c r="R725" s="6"/>
      <c r="S725" s="6"/>
      <c r="T725" s="6"/>
      <c r="U725" s="10"/>
      <c r="V725" s="6"/>
      <c r="W725" s="10"/>
      <c r="X725" s="10"/>
      <c r="Y725" s="4"/>
      <c r="Z725" s="4"/>
    </row>
    <row r="726" spans="1:26" ht="15.75">
      <c r="A726" s="7"/>
      <c r="B726" s="7"/>
      <c r="C726" s="6"/>
      <c r="D726" s="6"/>
      <c r="E726" s="6"/>
      <c r="F726" s="6"/>
      <c r="G726" s="7"/>
      <c r="H726" s="7"/>
      <c r="I726" s="7"/>
      <c r="J726" s="7"/>
      <c r="K726" s="7"/>
      <c r="L726" s="6"/>
      <c r="M726" s="10"/>
      <c r="N726" s="10"/>
      <c r="O726" s="10"/>
      <c r="P726" s="6"/>
      <c r="Q726" s="10"/>
      <c r="R726" s="6"/>
      <c r="S726" s="6"/>
      <c r="T726" s="6"/>
      <c r="U726" s="10"/>
      <c r="V726" s="6"/>
      <c r="W726" s="10"/>
      <c r="X726" s="10"/>
      <c r="Y726" s="4"/>
      <c r="Z726" s="4"/>
    </row>
    <row r="727" spans="1:26" ht="15.75">
      <c r="A727" s="7"/>
      <c r="B727" s="7"/>
      <c r="C727" s="6"/>
      <c r="D727" s="6"/>
      <c r="E727" s="6"/>
      <c r="F727" s="6"/>
      <c r="G727" s="7"/>
      <c r="H727" s="7"/>
      <c r="I727" s="7"/>
      <c r="J727" s="7"/>
      <c r="K727" s="7"/>
      <c r="L727" s="6"/>
      <c r="M727" s="10"/>
      <c r="N727" s="10"/>
      <c r="O727" s="10"/>
      <c r="P727" s="6"/>
      <c r="Q727" s="10"/>
      <c r="R727" s="6"/>
      <c r="S727" s="6"/>
      <c r="T727" s="6"/>
      <c r="U727" s="10"/>
      <c r="V727" s="6"/>
      <c r="W727" s="10"/>
      <c r="X727" s="10"/>
      <c r="Y727" s="4"/>
      <c r="Z727" s="4"/>
    </row>
    <row r="728" spans="1:26" ht="15.75">
      <c r="A728" s="7"/>
      <c r="B728" s="7"/>
      <c r="C728" s="6"/>
      <c r="D728" s="6"/>
      <c r="E728" s="6"/>
      <c r="F728" s="6"/>
      <c r="G728" s="7"/>
      <c r="H728" s="7"/>
      <c r="I728" s="7"/>
      <c r="J728" s="7"/>
      <c r="K728" s="7"/>
      <c r="L728" s="6"/>
      <c r="M728" s="10"/>
      <c r="N728" s="10"/>
      <c r="O728" s="10"/>
      <c r="P728" s="6"/>
      <c r="Q728" s="10"/>
      <c r="R728" s="6"/>
      <c r="S728" s="6"/>
      <c r="T728" s="6"/>
      <c r="U728" s="10"/>
      <c r="V728" s="6"/>
      <c r="W728" s="10"/>
      <c r="X728" s="10"/>
      <c r="Y728" s="4"/>
      <c r="Z728" s="4"/>
    </row>
    <row r="729" spans="1:26" ht="15.75">
      <c r="A729" s="7"/>
      <c r="B729" s="7"/>
      <c r="C729" s="6"/>
      <c r="D729" s="6"/>
      <c r="E729" s="6"/>
      <c r="F729" s="6"/>
      <c r="G729" s="7"/>
      <c r="H729" s="7"/>
      <c r="I729" s="7"/>
      <c r="J729" s="7"/>
      <c r="K729" s="7"/>
      <c r="L729" s="6"/>
      <c r="M729" s="10"/>
      <c r="N729" s="10"/>
      <c r="O729" s="10"/>
      <c r="P729" s="6"/>
      <c r="Q729" s="10"/>
      <c r="R729" s="6"/>
      <c r="S729" s="6"/>
      <c r="T729" s="6"/>
      <c r="U729" s="10"/>
      <c r="V729" s="6"/>
      <c r="W729" s="10"/>
      <c r="X729" s="10"/>
      <c r="Y729" s="4"/>
      <c r="Z729" s="4"/>
    </row>
    <row r="730" spans="1:26" ht="15.75">
      <c r="A730" s="7"/>
      <c r="B730" s="7"/>
      <c r="C730" s="6"/>
      <c r="D730" s="6"/>
      <c r="E730" s="6"/>
      <c r="F730" s="6"/>
      <c r="G730" s="7"/>
      <c r="H730" s="7"/>
      <c r="I730" s="7"/>
      <c r="J730" s="7"/>
      <c r="K730" s="7"/>
      <c r="L730" s="6"/>
      <c r="M730" s="10"/>
      <c r="N730" s="10"/>
      <c r="O730" s="10"/>
      <c r="P730" s="6"/>
      <c r="Q730" s="10"/>
      <c r="R730" s="6"/>
      <c r="S730" s="6"/>
      <c r="T730" s="6"/>
      <c r="U730" s="10"/>
      <c r="V730" s="6"/>
      <c r="W730" s="10"/>
      <c r="X730" s="10"/>
      <c r="Y730" s="4"/>
      <c r="Z730" s="4"/>
    </row>
    <row r="731" spans="1:26" ht="15.75">
      <c r="A731" s="7"/>
      <c r="B731" s="7"/>
      <c r="C731" s="6"/>
      <c r="D731" s="6"/>
      <c r="E731" s="6"/>
      <c r="F731" s="6"/>
      <c r="G731" s="7"/>
      <c r="H731" s="7"/>
      <c r="I731" s="7"/>
      <c r="J731" s="7"/>
      <c r="K731" s="7"/>
      <c r="L731" s="6"/>
      <c r="M731" s="10"/>
      <c r="N731" s="10"/>
      <c r="O731" s="10"/>
      <c r="P731" s="6"/>
      <c r="Q731" s="10"/>
      <c r="R731" s="6"/>
      <c r="S731" s="6"/>
      <c r="T731" s="6"/>
      <c r="U731" s="10"/>
      <c r="V731" s="6"/>
      <c r="W731" s="10"/>
      <c r="X731" s="10"/>
      <c r="Y731" s="4"/>
      <c r="Z731" s="4"/>
    </row>
    <row r="732" spans="1:26" ht="15.75">
      <c r="A732" s="7"/>
      <c r="B732" s="7"/>
      <c r="C732" s="6"/>
      <c r="D732" s="6"/>
      <c r="E732" s="6"/>
      <c r="F732" s="6"/>
      <c r="G732" s="7"/>
      <c r="H732" s="7"/>
      <c r="I732" s="7"/>
      <c r="J732" s="7"/>
      <c r="K732" s="7"/>
      <c r="L732" s="6"/>
      <c r="M732" s="10"/>
      <c r="N732" s="10"/>
      <c r="O732" s="10"/>
      <c r="P732" s="6"/>
      <c r="Q732" s="10"/>
      <c r="R732" s="6"/>
      <c r="S732" s="6"/>
      <c r="T732" s="6"/>
      <c r="U732" s="10"/>
      <c r="V732" s="6"/>
      <c r="W732" s="10"/>
      <c r="X732" s="10"/>
      <c r="Y732" s="4"/>
      <c r="Z732" s="4"/>
    </row>
    <row r="733" spans="1:26" ht="15.75">
      <c r="A733" s="7"/>
      <c r="B733" s="7"/>
      <c r="C733" s="6"/>
      <c r="D733" s="6"/>
      <c r="E733" s="6"/>
      <c r="F733" s="6"/>
      <c r="G733" s="7"/>
      <c r="H733" s="7"/>
      <c r="I733" s="7"/>
      <c r="J733" s="7"/>
      <c r="K733" s="7"/>
      <c r="L733" s="6"/>
      <c r="M733" s="10"/>
      <c r="N733" s="10"/>
      <c r="O733" s="10"/>
      <c r="P733" s="6"/>
      <c r="Q733" s="10"/>
      <c r="R733" s="6"/>
      <c r="S733" s="6"/>
      <c r="T733" s="6"/>
      <c r="U733" s="10"/>
      <c r="V733" s="6"/>
      <c r="W733" s="10"/>
      <c r="X733" s="10"/>
      <c r="Y733" s="4"/>
      <c r="Z733" s="4"/>
    </row>
    <row r="734" spans="1:26" ht="15.75">
      <c r="A734" s="7"/>
      <c r="B734" s="7"/>
      <c r="C734" s="6"/>
      <c r="D734" s="6"/>
      <c r="E734" s="6"/>
      <c r="F734" s="6"/>
      <c r="G734" s="7"/>
      <c r="H734" s="7"/>
      <c r="I734" s="7"/>
      <c r="J734" s="7"/>
      <c r="K734" s="7"/>
      <c r="L734" s="6"/>
      <c r="M734" s="10"/>
      <c r="N734" s="10"/>
      <c r="O734" s="10"/>
      <c r="P734" s="6"/>
      <c r="Q734" s="10"/>
      <c r="R734" s="6"/>
      <c r="S734" s="6"/>
      <c r="T734" s="6"/>
      <c r="U734" s="10"/>
      <c r="V734" s="6"/>
      <c r="W734" s="10"/>
      <c r="X734" s="10"/>
      <c r="Y734" s="4"/>
      <c r="Z734" s="4"/>
    </row>
    <row r="735" spans="1:26" ht="15.75">
      <c r="A735" s="7"/>
      <c r="B735" s="7"/>
      <c r="C735" s="6"/>
      <c r="D735" s="6"/>
      <c r="E735" s="6"/>
      <c r="F735" s="6"/>
      <c r="G735" s="7"/>
      <c r="H735" s="7"/>
      <c r="I735" s="7"/>
      <c r="J735" s="7"/>
      <c r="K735" s="7"/>
      <c r="L735" s="6"/>
      <c r="M735" s="10"/>
      <c r="N735" s="10"/>
      <c r="O735" s="10"/>
      <c r="P735" s="6"/>
      <c r="Q735" s="10"/>
      <c r="R735" s="6"/>
      <c r="S735" s="6"/>
      <c r="T735" s="6"/>
      <c r="U735" s="10"/>
      <c r="V735" s="6"/>
      <c r="W735" s="10"/>
      <c r="X735" s="10"/>
      <c r="Y735" s="4"/>
      <c r="Z735" s="4"/>
    </row>
    <row r="736" spans="1:26" ht="15.75">
      <c r="A736" s="7"/>
      <c r="B736" s="7"/>
      <c r="C736" s="6"/>
      <c r="D736" s="6"/>
      <c r="E736" s="6"/>
      <c r="F736" s="6"/>
      <c r="G736" s="7"/>
      <c r="H736" s="7"/>
      <c r="I736" s="7"/>
      <c r="J736" s="7"/>
      <c r="K736" s="7"/>
      <c r="L736" s="6"/>
      <c r="M736" s="10"/>
      <c r="N736" s="10"/>
      <c r="O736" s="10"/>
      <c r="P736" s="6"/>
      <c r="Q736" s="10"/>
      <c r="R736" s="6"/>
      <c r="S736" s="6"/>
      <c r="T736" s="6"/>
      <c r="U736" s="10"/>
      <c r="V736" s="6"/>
      <c r="W736" s="10"/>
      <c r="X736" s="10"/>
      <c r="Y736" s="4"/>
      <c r="Z736" s="4"/>
    </row>
    <row r="737" spans="1:26" ht="15.75">
      <c r="A737" s="7"/>
      <c r="B737" s="7"/>
      <c r="C737" s="6"/>
      <c r="D737" s="6"/>
      <c r="E737" s="6"/>
      <c r="F737" s="6"/>
      <c r="G737" s="7"/>
      <c r="H737" s="7"/>
      <c r="I737" s="7"/>
      <c r="J737" s="7"/>
      <c r="K737" s="7"/>
      <c r="L737" s="6"/>
      <c r="M737" s="10"/>
      <c r="N737" s="10"/>
      <c r="O737" s="10"/>
      <c r="P737" s="6"/>
      <c r="Q737" s="10"/>
      <c r="R737" s="6"/>
      <c r="S737" s="6"/>
      <c r="T737" s="6"/>
      <c r="U737" s="10"/>
      <c r="V737" s="6"/>
      <c r="W737" s="10"/>
      <c r="X737" s="10"/>
      <c r="Y737" s="4"/>
      <c r="Z737" s="4"/>
    </row>
    <row r="738" spans="1:26" ht="15.75">
      <c r="A738" s="7"/>
      <c r="B738" s="7"/>
      <c r="C738" s="6"/>
      <c r="D738" s="6"/>
      <c r="E738" s="6"/>
      <c r="F738" s="6"/>
      <c r="G738" s="7"/>
      <c r="H738" s="7"/>
      <c r="I738" s="7"/>
      <c r="J738" s="7"/>
      <c r="K738" s="7"/>
      <c r="L738" s="6"/>
      <c r="M738" s="10"/>
      <c r="N738" s="10"/>
      <c r="O738" s="10"/>
      <c r="P738" s="6"/>
      <c r="Q738" s="10"/>
      <c r="R738" s="6"/>
      <c r="S738" s="6"/>
      <c r="T738" s="6"/>
      <c r="U738" s="10"/>
      <c r="V738" s="6"/>
      <c r="W738" s="10"/>
      <c r="X738" s="10"/>
      <c r="Y738" s="4"/>
      <c r="Z738" s="4"/>
    </row>
    <row r="739" spans="1:26" ht="15.75">
      <c r="A739" s="7"/>
      <c r="B739" s="7"/>
      <c r="C739" s="6"/>
      <c r="D739" s="6"/>
      <c r="E739" s="6"/>
      <c r="F739" s="6"/>
      <c r="G739" s="7"/>
      <c r="H739" s="7"/>
      <c r="I739" s="7"/>
      <c r="J739" s="7"/>
      <c r="K739" s="7"/>
      <c r="L739" s="6"/>
      <c r="M739" s="10"/>
      <c r="N739" s="10"/>
      <c r="O739" s="10"/>
      <c r="P739" s="6"/>
      <c r="Q739" s="10"/>
      <c r="R739" s="6"/>
      <c r="S739" s="6"/>
      <c r="T739" s="6"/>
      <c r="U739" s="10"/>
      <c r="V739" s="6"/>
      <c r="W739" s="10"/>
      <c r="X739" s="10"/>
      <c r="Y739" s="4"/>
      <c r="Z739" s="4"/>
    </row>
    <row r="740" spans="1:26" ht="15.75">
      <c r="A740" s="7"/>
      <c r="B740" s="7"/>
      <c r="C740" s="6"/>
      <c r="D740" s="6"/>
      <c r="E740" s="6"/>
      <c r="F740" s="6"/>
      <c r="G740" s="7"/>
      <c r="H740" s="7"/>
      <c r="I740" s="7"/>
      <c r="J740" s="7"/>
      <c r="K740" s="7"/>
      <c r="L740" s="6"/>
      <c r="M740" s="10"/>
      <c r="N740" s="10"/>
      <c r="O740" s="10"/>
      <c r="P740" s="6"/>
      <c r="Q740" s="10"/>
      <c r="R740" s="6"/>
      <c r="S740" s="6"/>
      <c r="T740" s="6"/>
      <c r="U740" s="10"/>
      <c r="V740" s="6"/>
      <c r="W740" s="10"/>
      <c r="X740" s="10"/>
      <c r="Y740" s="4"/>
      <c r="Z740" s="4"/>
    </row>
    <row r="741" spans="1:26" ht="15.75">
      <c r="A741" s="7"/>
      <c r="B741" s="7"/>
      <c r="C741" s="6"/>
      <c r="D741" s="6"/>
      <c r="E741" s="6"/>
      <c r="F741" s="6"/>
      <c r="G741" s="7"/>
      <c r="H741" s="7"/>
      <c r="I741" s="7"/>
      <c r="J741" s="7"/>
      <c r="K741" s="7"/>
      <c r="L741" s="6"/>
      <c r="M741" s="10"/>
      <c r="N741" s="10"/>
      <c r="O741" s="10"/>
      <c r="P741" s="6"/>
      <c r="Q741" s="10"/>
      <c r="R741" s="6"/>
      <c r="S741" s="6"/>
      <c r="T741" s="6"/>
      <c r="U741" s="10"/>
      <c r="V741" s="6"/>
      <c r="W741" s="10"/>
      <c r="X741" s="10"/>
      <c r="Y741" s="4"/>
      <c r="Z741" s="4"/>
    </row>
    <row r="742" spans="1:26" ht="15.75">
      <c r="A742" s="7"/>
      <c r="B742" s="7"/>
      <c r="C742" s="6"/>
      <c r="D742" s="6"/>
      <c r="E742" s="6"/>
      <c r="F742" s="6"/>
      <c r="G742" s="7"/>
      <c r="H742" s="7"/>
      <c r="I742" s="7"/>
      <c r="J742" s="7"/>
      <c r="K742" s="7"/>
      <c r="L742" s="6"/>
      <c r="M742" s="10"/>
      <c r="N742" s="10"/>
      <c r="O742" s="10"/>
      <c r="P742" s="6"/>
      <c r="Q742" s="10"/>
      <c r="R742" s="6"/>
      <c r="S742" s="6"/>
      <c r="T742" s="6"/>
      <c r="U742" s="10"/>
      <c r="V742" s="6"/>
      <c r="W742" s="10"/>
      <c r="X742" s="10"/>
      <c r="Y742" s="4"/>
      <c r="Z742" s="4"/>
    </row>
    <row r="743" spans="1:26" ht="15.75">
      <c r="A743" s="7"/>
      <c r="B743" s="7"/>
      <c r="C743" s="6"/>
      <c r="D743" s="6"/>
      <c r="E743" s="6"/>
      <c r="F743" s="6"/>
      <c r="G743" s="7"/>
      <c r="H743" s="7"/>
      <c r="I743" s="7"/>
      <c r="J743" s="7"/>
      <c r="K743" s="7"/>
      <c r="L743" s="6"/>
      <c r="M743" s="10"/>
      <c r="N743" s="10"/>
      <c r="O743" s="10"/>
      <c r="P743" s="6"/>
      <c r="Q743" s="10"/>
      <c r="R743" s="6"/>
      <c r="S743" s="6"/>
      <c r="T743" s="6"/>
      <c r="U743" s="10"/>
      <c r="V743" s="6"/>
      <c r="W743" s="10"/>
      <c r="X743" s="10"/>
      <c r="Y743" s="4"/>
      <c r="Z743" s="4"/>
    </row>
    <row r="744" spans="1:26" ht="15.75">
      <c r="A744" s="7"/>
      <c r="B744" s="7"/>
      <c r="C744" s="6"/>
      <c r="D744" s="6"/>
      <c r="E744" s="6"/>
      <c r="F744" s="6"/>
      <c r="G744" s="7"/>
      <c r="H744" s="7"/>
      <c r="I744" s="7"/>
      <c r="J744" s="7"/>
      <c r="K744" s="7"/>
      <c r="L744" s="6"/>
      <c r="M744" s="10"/>
      <c r="N744" s="10"/>
      <c r="O744" s="10"/>
      <c r="P744" s="6"/>
      <c r="Q744" s="10"/>
      <c r="R744" s="6"/>
      <c r="S744" s="6"/>
      <c r="T744" s="6"/>
      <c r="U744" s="10"/>
      <c r="V744" s="6"/>
      <c r="W744" s="10"/>
      <c r="X744" s="10"/>
      <c r="Y744" s="4"/>
      <c r="Z744" s="4"/>
    </row>
    <row r="745" spans="1:26" ht="15.75">
      <c r="A745" s="7"/>
      <c r="B745" s="7"/>
      <c r="C745" s="6"/>
      <c r="D745" s="6"/>
      <c r="E745" s="6"/>
      <c r="F745" s="6"/>
      <c r="G745" s="7"/>
      <c r="H745" s="7"/>
      <c r="I745" s="7"/>
      <c r="J745" s="7"/>
      <c r="K745" s="7"/>
      <c r="L745" s="6"/>
      <c r="M745" s="10"/>
      <c r="N745" s="10"/>
      <c r="O745" s="10"/>
      <c r="P745" s="6"/>
      <c r="Q745" s="10"/>
      <c r="R745" s="6"/>
      <c r="S745" s="6"/>
      <c r="T745" s="6"/>
      <c r="U745" s="10"/>
      <c r="V745" s="6"/>
      <c r="W745" s="10"/>
      <c r="X745" s="10"/>
      <c r="Y745" s="4"/>
      <c r="Z745" s="4"/>
    </row>
    <row r="746" spans="1:26" ht="15.75">
      <c r="A746" s="7"/>
      <c r="B746" s="7"/>
      <c r="C746" s="6"/>
      <c r="D746" s="6"/>
      <c r="E746" s="6"/>
      <c r="F746" s="6"/>
      <c r="G746" s="7"/>
      <c r="H746" s="7"/>
      <c r="I746" s="7"/>
      <c r="J746" s="7"/>
      <c r="K746" s="7"/>
      <c r="L746" s="6"/>
      <c r="M746" s="10"/>
      <c r="N746" s="10"/>
      <c r="O746" s="10"/>
      <c r="P746" s="6"/>
      <c r="Q746" s="10"/>
      <c r="R746" s="6"/>
      <c r="S746" s="6"/>
      <c r="T746" s="6"/>
      <c r="U746" s="10"/>
      <c r="V746" s="6"/>
      <c r="W746" s="10"/>
      <c r="X746" s="10"/>
      <c r="Y746" s="4"/>
      <c r="Z746" s="4"/>
    </row>
    <row r="747" spans="1:26" ht="15.75">
      <c r="A747" s="7"/>
      <c r="B747" s="7"/>
      <c r="C747" s="6"/>
      <c r="D747" s="6"/>
      <c r="E747" s="6"/>
      <c r="F747" s="6"/>
      <c r="G747" s="7"/>
      <c r="H747" s="7"/>
      <c r="I747" s="7"/>
      <c r="J747" s="7"/>
      <c r="K747" s="7"/>
      <c r="L747" s="6"/>
      <c r="M747" s="10"/>
      <c r="N747" s="10"/>
      <c r="O747" s="10"/>
      <c r="P747" s="6"/>
      <c r="Q747" s="10"/>
      <c r="R747" s="6"/>
      <c r="S747" s="6"/>
      <c r="T747" s="6"/>
      <c r="U747" s="10"/>
      <c r="V747" s="6"/>
      <c r="W747" s="10"/>
      <c r="X747" s="10"/>
      <c r="Y747" s="4"/>
      <c r="Z747" s="4"/>
    </row>
    <row r="748" spans="1:26" ht="15.75">
      <c r="A748" s="7"/>
      <c r="B748" s="7"/>
      <c r="C748" s="6"/>
      <c r="D748" s="6"/>
      <c r="E748" s="6"/>
      <c r="F748" s="6"/>
      <c r="G748" s="7"/>
      <c r="H748" s="7"/>
      <c r="I748" s="7"/>
      <c r="J748" s="7"/>
      <c r="K748" s="7"/>
      <c r="L748" s="6"/>
      <c r="M748" s="10"/>
      <c r="N748" s="10"/>
      <c r="O748" s="10"/>
      <c r="P748" s="6"/>
      <c r="Q748" s="10"/>
      <c r="R748" s="6"/>
      <c r="S748" s="6"/>
      <c r="T748" s="6"/>
      <c r="U748" s="10"/>
      <c r="V748" s="6"/>
      <c r="W748" s="10"/>
      <c r="X748" s="10"/>
      <c r="Y748" s="4"/>
      <c r="Z748" s="4"/>
    </row>
    <row r="749" spans="1:26" ht="15.75">
      <c r="A749" s="7"/>
      <c r="B749" s="7"/>
      <c r="C749" s="6"/>
      <c r="D749" s="6"/>
      <c r="E749" s="6"/>
      <c r="F749" s="6"/>
      <c r="G749" s="7"/>
      <c r="H749" s="7"/>
      <c r="I749" s="7"/>
      <c r="J749" s="7"/>
      <c r="K749" s="7"/>
      <c r="L749" s="6"/>
      <c r="M749" s="10"/>
      <c r="N749" s="10"/>
      <c r="O749" s="10"/>
      <c r="P749" s="6"/>
      <c r="Q749" s="10"/>
      <c r="R749" s="6"/>
      <c r="S749" s="6"/>
      <c r="T749" s="6"/>
      <c r="U749" s="10"/>
      <c r="V749" s="6"/>
      <c r="W749" s="10"/>
      <c r="X749" s="10"/>
      <c r="Y749" s="4"/>
      <c r="Z749" s="4"/>
    </row>
    <row r="750" spans="1:26" ht="15.75">
      <c r="A750" s="7"/>
      <c r="B750" s="7"/>
      <c r="C750" s="6"/>
      <c r="D750" s="6"/>
      <c r="E750" s="6"/>
      <c r="F750" s="6"/>
      <c r="G750" s="7"/>
      <c r="H750" s="7"/>
      <c r="I750" s="7"/>
      <c r="J750" s="7"/>
      <c r="K750" s="7"/>
      <c r="L750" s="6"/>
      <c r="M750" s="10"/>
      <c r="N750" s="10"/>
      <c r="O750" s="10"/>
      <c r="P750" s="6"/>
      <c r="Q750" s="10"/>
      <c r="R750" s="6"/>
      <c r="S750" s="6"/>
      <c r="T750" s="6"/>
      <c r="U750" s="10"/>
      <c r="V750" s="6"/>
      <c r="W750" s="10"/>
      <c r="X750" s="10"/>
      <c r="Y750" s="4"/>
      <c r="Z750" s="4"/>
    </row>
    <row r="751" spans="1:26" ht="15.75">
      <c r="A751" s="7"/>
      <c r="B751" s="7"/>
      <c r="C751" s="6"/>
      <c r="D751" s="6"/>
      <c r="E751" s="6"/>
      <c r="F751" s="6"/>
      <c r="G751" s="7"/>
      <c r="H751" s="7"/>
      <c r="I751" s="7"/>
      <c r="J751" s="7"/>
      <c r="K751" s="7"/>
      <c r="L751" s="6"/>
      <c r="M751" s="10"/>
      <c r="N751" s="10"/>
      <c r="O751" s="10"/>
      <c r="P751" s="6"/>
      <c r="Q751" s="10"/>
      <c r="R751" s="6"/>
      <c r="S751" s="6"/>
      <c r="T751" s="6"/>
      <c r="U751" s="10"/>
      <c r="V751" s="6"/>
      <c r="W751" s="10"/>
      <c r="X751" s="10"/>
      <c r="Y751" s="4"/>
      <c r="Z751" s="4"/>
    </row>
    <row r="752" spans="1:26" ht="15.75">
      <c r="A752" s="7"/>
      <c r="B752" s="7"/>
      <c r="C752" s="6"/>
      <c r="D752" s="6"/>
      <c r="E752" s="6"/>
      <c r="F752" s="6"/>
      <c r="G752" s="7"/>
      <c r="H752" s="7"/>
      <c r="I752" s="7"/>
      <c r="J752" s="7"/>
      <c r="K752" s="7"/>
      <c r="L752" s="6"/>
      <c r="M752" s="10"/>
      <c r="N752" s="10"/>
      <c r="O752" s="10"/>
      <c r="P752" s="6"/>
      <c r="Q752" s="10"/>
      <c r="R752" s="6"/>
      <c r="S752" s="6"/>
      <c r="T752" s="6"/>
      <c r="U752" s="10"/>
      <c r="V752" s="6"/>
      <c r="W752" s="10"/>
      <c r="X752" s="10"/>
      <c r="Y752" s="4"/>
      <c r="Z752" s="4"/>
    </row>
    <row r="753" spans="1:26" ht="15.75">
      <c r="A753" s="7"/>
      <c r="B753" s="7"/>
      <c r="C753" s="6"/>
      <c r="D753" s="6"/>
      <c r="E753" s="6"/>
      <c r="F753" s="6"/>
      <c r="G753" s="7"/>
      <c r="H753" s="7"/>
      <c r="I753" s="7"/>
      <c r="J753" s="7"/>
      <c r="K753" s="7"/>
      <c r="L753" s="6"/>
      <c r="M753" s="10"/>
      <c r="N753" s="10"/>
      <c r="O753" s="10"/>
      <c r="P753" s="6"/>
      <c r="Q753" s="10"/>
      <c r="R753" s="6"/>
      <c r="S753" s="6"/>
      <c r="T753" s="6"/>
      <c r="U753" s="10"/>
      <c r="V753" s="6"/>
      <c r="W753" s="10"/>
      <c r="X753" s="10"/>
      <c r="Y753" s="4"/>
      <c r="Z753" s="4"/>
    </row>
    <row r="754" spans="1:26" ht="15.75">
      <c r="A754" s="7"/>
      <c r="B754" s="7"/>
      <c r="C754" s="6"/>
      <c r="D754" s="6"/>
      <c r="E754" s="6"/>
      <c r="F754" s="6"/>
      <c r="G754" s="7"/>
      <c r="H754" s="7"/>
      <c r="I754" s="7"/>
      <c r="J754" s="7"/>
      <c r="K754" s="7"/>
      <c r="L754" s="6"/>
      <c r="M754" s="10"/>
      <c r="N754" s="10"/>
      <c r="O754" s="10"/>
      <c r="P754" s="6"/>
      <c r="Q754" s="10"/>
      <c r="R754" s="6"/>
      <c r="S754" s="6"/>
      <c r="T754" s="6"/>
      <c r="U754" s="10"/>
      <c r="V754" s="6"/>
      <c r="W754" s="10"/>
      <c r="X754" s="10"/>
      <c r="Y754" s="4"/>
      <c r="Z754" s="4"/>
    </row>
    <row r="755" spans="1:26" ht="15.75">
      <c r="A755" s="7"/>
      <c r="B755" s="7"/>
      <c r="C755" s="6"/>
      <c r="D755" s="6"/>
      <c r="E755" s="6"/>
      <c r="F755" s="6"/>
      <c r="G755" s="7"/>
      <c r="H755" s="7"/>
      <c r="I755" s="7"/>
      <c r="J755" s="7"/>
      <c r="K755" s="7"/>
      <c r="L755" s="6"/>
      <c r="M755" s="10"/>
      <c r="N755" s="10"/>
      <c r="O755" s="10"/>
      <c r="P755" s="6"/>
      <c r="Q755" s="10"/>
      <c r="R755" s="6"/>
      <c r="S755" s="6"/>
      <c r="T755" s="6"/>
      <c r="U755" s="10"/>
      <c r="V755" s="6"/>
      <c r="W755" s="10"/>
      <c r="X755" s="10"/>
      <c r="Y755" s="4"/>
      <c r="Z755" s="4"/>
    </row>
    <row r="756" spans="1:26" ht="15.75">
      <c r="A756" s="7"/>
      <c r="B756" s="7"/>
      <c r="C756" s="6"/>
      <c r="D756" s="6"/>
      <c r="E756" s="6"/>
      <c r="F756" s="6"/>
      <c r="G756" s="7"/>
      <c r="H756" s="7"/>
      <c r="I756" s="7"/>
      <c r="J756" s="7"/>
      <c r="K756" s="7"/>
      <c r="L756" s="6"/>
      <c r="M756" s="10"/>
      <c r="N756" s="10"/>
      <c r="O756" s="10"/>
      <c r="P756" s="6"/>
      <c r="Q756" s="10"/>
      <c r="R756" s="6"/>
      <c r="S756" s="6"/>
      <c r="T756" s="6"/>
      <c r="U756" s="10"/>
      <c r="V756" s="6"/>
      <c r="W756" s="10"/>
      <c r="X756" s="10"/>
      <c r="Y756" s="4"/>
      <c r="Z756" s="4"/>
    </row>
    <row r="757" spans="1:26" ht="15.75">
      <c r="A757" s="7"/>
      <c r="B757" s="7"/>
      <c r="C757" s="6"/>
      <c r="D757" s="6"/>
      <c r="E757" s="6"/>
      <c r="F757" s="6"/>
      <c r="G757" s="7"/>
      <c r="H757" s="7"/>
      <c r="I757" s="7"/>
      <c r="J757" s="7"/>
      <c r="K757" s="7"/>
      <c r="L757" s="6"/>
      <c r="M757" s="10"/>
      <c r="N757" s="10"/>
      <c r="O757" s="10"/>
      <c r="P757" s="6"/>
      <c r="Q757" s="10"/>
      <c r="R757" s="6"/>
      <c r="S757" s="6"/>
      <c r="T757" s="6"/>
      <c r="U757" s="10"/>
      <c r="V757" s="6"/>
      <c r="W757" s="10"/>
      <c r="X757" s="10"/>
      <c r="Y757" s="4"/>
      <c r="Z757" s="4"/>
    </row>
    <row r="758" spans="1:26" ht="15.75">
      <c r="A758" s="7"/>
      <c r="B758" s="7"/>
      <c r="C758" s="6"/>
      <c r="D758" s="6"/>
      <c r="E758" s="6"/>
      <c r="F758" s="6"/>
      <c r="G758" s="7"/>
      <c r="H758" s="7"/>
      <c r="I758" s="7"/>
      <c r="J758" s="7"/>
      <c r="K758" s="7"/>
      <c r="L758" s="6"/>
      <c r="M758" s="10"/>
      <c r="N758" s="10"/>
      <c r="O758" s="10"/>
      <c r="P758" s="6"/>
      <c r="Q758" s="10"/>
      <c r="R758" s="6"/>
      <c r="S758" s="6"/>
      <c r="T758" s="6"/>
      <c r="U758" s="10"/>
      <c r="V758" s="6"/>
      <c r="W758" s="10"/>
      <c r="X758" s="10"/>
      <c r="Y758" s="4"/>
      <c r="Z758" s="4"/>
    </row>
    <row r="759" spans="1:26" ht="15.75">
      <c r="A759" s="7"/>
      <c r="B759" s="7"/>
      <c r="C759" s="6"/>
      <c r="D759" s="6"/>
      <c r="E759" s="6"/>
      <c r="F759" s="6"/>
      <c r="G759" s="7"/>
      <c r="H759" s="7"/>
      <c r="I759" s="7"/>
      <c r="J759" s="7"/>
      <c r="K759" s="7"/>
      <c r="L759" s="6"/>
      <c r="M759" s="10"/>
      <c r="N759" s="10"/>
      <c r="O759" s="10"/>
      <c r="P759" s="6"/>
      <c r="Q759" s="10"/>
      <c r="R759" s="6"/>
      <c r="S759" s="6"/>
      <c r="T759" s="6"/>
      <c r="U759" s="10"/>
      <c r="V759" s="6"/>
      <c r="W759" s="10"/>
      <c r="X759" s="10"/>
      <c r="Y759" s="4"/>
      <c r="Z759" s="4"/>
    </row>
    <row r="760" spans="1:26" ht="15.75">
      <c r="A760" s="7"/>
      <c r="B760" s="7"/>
      <c r="C760" s="6"/>
      <c r="D760" s="6"/>
      <c r="E760" s="6"/>
      <c r="F760" s="6"/>
      <c r="G760" s="7"/>
      <c r="H760" s="7"/>
      <c r="I760" s="7"/>
      <c r="J760" s="7"/>
      <c r="K760" s="7"/>
      <c r="L760" s="6"/>
      <c r="M760" s="10"/>
      <c r="N760" s="10"/>
      <c r="O760" s="10"/>
      <c r="P760" s="6"/>
      <c r="Q760" s="10"/>
      <c r="R760" s="6"/>
      <c r="S760" s="6"/>
      <c r="T760" s="6"/>
      <c r="U760" s="10"/>
      <c r="V760" s="6"/>
      <c r="W760" s="10"/>
      <c r="X760" s="10"/>
      <c r="Y760" s="4"/>
      <c r="Z760" s="4"/>
    </row>
    <row r="761" spans="1:26" ht="15.75">
      <c r="A761" s="7"/>
      <c r="B761" s="7"/>
      <c r="C761" s="6"/>
      <c r="D761" s="6"/>
      <c r="E761" s="6"/>
      <c r="F761" s="6"/>
      <c r="G761" s="7"/>
      <c r="H761" s="7"/>
      <c r="I761" s="7"/>
      <c r="J761" s="7"/>
      <c r="K761" s="7"/>
      <c r="L761" s="6"/>
      <c r="M761" s="10"/>
      <c r="N761" s="10"/>
      <c r="O761" s="10"/>
      <c r="P761" s="6"/>
      <c r="Q761" s="10"/>
      <c r="R761" s="6"/>
      <c r="S761" s="6"/>
      <c r="T761" s="6"/>
      <c r="U761" s="10"/>
      <c r="V761" s="6"/>
      <c r="W761" s="10"/>
      <c r="X761" s="10"/>
      <c r="Y761" s="4"/>
      <c r="Z761" s="4"/>
    </row>
    <row r="762" spans="1:26" ht="15.75">
      <c r="A762" s="7"/>
      <c r="B762" s="7"/>
      <c r="C762" s="6"/>
      <c r="D762" s="6"/>
      <c r="E762" s="6"/>
      <c r="F762" s="6"/>
      <c r="G762" s="7"/>
      <c r="H762" s="7"/>
      <c r="I762" s="7"/>
      <c r="J762" s="7"/>
      <c r="K762" s="7"/>
      <c r="L762" s="6"/>
      <c r="M762" s="10"/>
      <c r="N762" s="10"/>
      <c r="O762" s="10"/>
      <c r="P762" s="6"/>
      <c r="Q762" s="10"/>
      <c r="R762" s="6"/>
      <c r="S762" s="6"/>
      <c r="T762" s="6"/>
      <c r="U762" s="10"/>
      <c r="V762" s="6"/>
      <c r="W762" s="10"/>
      <c r="X762" s="10"/>
      <c r="Y762" s="4"/>
      <c r="Z762" s="4"/>
    </row>
    <row r="763" spans="1:26" ht="15.75">
      <c r="A763" s="7"/>
      <c r="B763" s="7"/>
      <c r="C763" s="6"/>
      <c r="D763" s="6"/>
      <c r="E763" s="6"/>
      <c r="F763" s="6"/>
      <c r="G763" s="7"/>
      <c r="H763" s="7"/>
      <c r="I763" s="7"/>
      <c r="J763" s="7"/>
      <c r="K763" s="7"/>
      <c r="L763" s="6"/>
      <c r="M763" s="10"/>
      <c r="N763" s="10"/>
      <c r="O763" s="10"/>
      <c r="P763" s="6"/>
      <c r="Q763" s="10"/>
      <c r="R763" s="6"/>
      <c r="S763" s="6"/>
      <c r="T763" s="6"/>
      <c r="U763" s="10"/>
      <c r="V763" s="6"/>
      <c r="W763" s="10"/>
      <c r="X763" s="10"/>
      <c r="Y763" s="4"/>
      <c r="Z763" s="4"/>
    </row>
    <row r="764" spans="1:26" ht="15.75">
      <c r="A764" s="7"/>
      <c r="B764" s="7"/>
      <c r="C764" s="6"/>
      <c r="D764" s="6"/>
      <c r="E764" s="6"/>
      <c r="F764" s="6"/>
      <c r="G764" s="7"/>
      <c r="H764" s="7"/>
      <c r="I764" s="7"/>
      <c r="J764" s="7"/>
      <c r="K764" s="7"/>
      <c r="L764" s="6"/>
      <c r="M764" s="10"/>
      <c r="N764" s="10"/>
      <c r="O764" s="10"/>
      <c r="P764" s="6"/>
      <c r="Q764" s="10"/>
      <c r="R764" s="6"/>
      <c r="S764" s="6"/>
      <c r="T764" s="6"/>
      <c r="U764" s="10"/>
      <c r="V764" s="6"/>
      <c r="W764" s="10"/>
      <c r="X764" s="10"/>
      <c r="Y764" s="4"/>
      <c r="Z764" s="4"/>
    </row>
    <row r="765" spans="1:26" ht="15.75">
      <c r="A765" s="7"/>
      <c r="B765" s="7"/>
      <c r="C765" s="6"/>
      <c r="D765" s="6"/>
      <c r="E765" s="6"/>
      <c r="F765" s="6"/>
      <c r="G765" s="7"/>
      <c r="H765" s="7"/>
      <c r="I765" s="7"/>
      <c r="J765" s="7"/>
      <c r="K765" s="7"/>
      <c r="L765" s="6"/>
      <c r="M765" s="10"/>
      <c r="N765" s="10"/>
      <c r="O765" s="10"/>
      <c r="P765" s="6"/>
      <c r="Q765" s="10"/>
      <c r="R765" s="6"/>
      <c r="S765" s="6"/>
      <c r="T765" s="6"/>
      <c r="U765" s="10"/>
      <c r="V765" s="6"/>
      <c r="W765" s="10"/>
      <c r="X765" s="10"/>
      <c r="Y765" s="4"/>
      <c r="Z765" s="4"/>
    </row>
    <row r="766" spans="1:26" ht="15.75">
      <c r="A766" s="7"/>
      <c r="B766" s="7"/>
      <c r="C766" s="6"/>
      <c r="D766" s="6"/>
      <c r="E766" s="6"/>
      <c r="F766" s="6"/>
      <c r="G766" s="7"/>
      <c r="H766" s="7"/>
      <c r="I766" s="7"/>
      <c r="J766" s="7"/>
      <c r="K766" s="7"/>
      <c r="L766" s="6"/>
      <c r="M766" s="10"/>
      <c r="N766" s="10"/>
      <c r="O766" s="10"/>
      <c r="P766" s="6"/>
      <c r="Q766" s="10"/>
      <c r="R766" s="6"/>
      <c r="S766" s="6"/>
      <c r="T766" s="6"/>
      <c r="U766" s="10"/>
      <c r="V766" s="6"/>
      <c r="W766" s="10"/>
      <c r="X766" s="10"/>
      <c r="Y766" s="4"/>
      <c r="Z766" s="4"/>
    </row>
    <row r="767" spans="1:26" ht="15.75">
      <c r="A767" s="7"/>
      <c r="B767" s="7"/>
      <c r="C767" s="6"/>
      <c r="D767" s="6"/>
      <c r="E767" s="6"/>
      <c r="F767" s="6"/>
      <c r="G767" s="7"/>
      <c r="H767" s="7"/>
      <c r="I767" s="7"/>
      <c r="J767" s="7"/>
      <c r="K767" s="7"/>
      <c r="L767" s="6"/>
      <c r="M767" s="10"/>
      <c r="N767" s="10"/>
      <c r="O767" s="10"/>
      <c r="P767" s="6"/>
      <c r="Q767" s="10"/>
      <c r="R767" s="6"/>
      <c r="S767" s="6"/>
      <c r="T767" s="6"/>
      <c r="U767" s="10"/>
      <c r="V767" s="6"/>
      <c r="W767" s="10"/>
      <c r="X767" s="10"/>
      <c r="Y767" s="4"/>
      <c r="Z767" s="4"/>
    </row>
    <row r="768" spans="1:26" ht="15.75">
      <c r="A768" s="7"/>
      <c r="B768" s="7"/>
      <c r="C768" s="6"/>
      <c r="D768" s="6"/>
      <c r="E768" s="6"/>
      <c r="F768" s="6"/>
      <c r="G768" s="7"/>
      <c r="H768" s="7"/>
      <c r="I768" s="7"/>
      <c r="J768" s="7"/>
      <c r="K768" s="7"/>
      <c r="L768" s="6"/>
      <c r="M768" s="10"/>
      <c r="N768" s="10"/>
      <c r="O768" s="10"/>
      <c r="P768" s="6"/>
      <c r="Q768" s="10"/>
      <c r="R768" s="6"/>
      <c r="S768" s="6"/>
      <c r="T768" s="6"/>
      <c r="U768" s="10"/>
      <c r="V768" s="6"/>
      <c r="W768" s="10"/>
      <c r="X768" s="10"/>
      <c r="Y768" s="4"/>
      <c r="Z768" s="4"/>
    </row>
    <row r="769" spans="1:26" ht="15.75">
      <c r="A769" s="7"/>
      <c r="B769" s="7"/>
      <c r="C769" s="6"/>
      <c r="D769" s="6"/>
      <c r="E769" s="6"/>
      <c r="F769" s="6"/>
      <c r="G769" s="7"/>
      <c r="H769" s="7"/>
      <c r="I769" s="7"/>
      <c r="J769" s="7"/>
      <c r="K769" s="7"/>
      <c r="L769" s="6"/>
      <c r="M769" s="10"/>
      <c r="N769" s="10"/>
      <c r="O769" s="10"/>
      <c r="P769" s="6"/>
      <c r="Q769" s="10"/>
      <c r="R769" s="6"/>
      <c r="S769" s="6"/>
      <c r="T769" s="6"/>
      <c r="U769" s="10"/>
      <c r="V769" s="6"/>
      <c r="W769" s="10"/>
      <c r="X769" s="10"/>
      <c r="Y769" s="4"/>
      <c r="Z769" s="4"/>
    </row>
    <row r="770" spans="1:26" ht="15.75">
      <c r="A770" s="7"/>
      <c r="B770" s="7"/>
      <c r="C770" s="6"/>
      <c r="D770" s="6"/>
      <c r="E770" s="6"/>
      <c r="F770" s="6"/>
      <c r="G770" s="7"/>
      <c r="H770" s="7"/>
      <c r="I770" s="7"/>
      <c r="J770" s="7"/>
      <c r="K770" s="7"/>
      <c r="L770" s="6"/>
      <c r="M770" s="10"/>
      <c r="N770" s="10"/>
      <c r="O770" s="10"/>
      <c r="P770" s="6"/>
      <c r="Q770" s="10"/>
      <c r="R770" s="6"/>
      <c r="S770" s="6"/>
      <c r="T770" s="6"/>
      <c r="U770" s="10"/>
      <c r="V770" s="6"/>
      <c r="W770" s="10"/>
      <c r="X770" s="10"/>
      <c r="Y770" s="4"/>
      <c r="Z770" s="4"/>
    </row>
    <row r="771" spans="1:26" ht="15.75">
      <c r="A771" s="7"/>
      <c r="B771" s="7"/>
      <c r="C771" s="6"/>
      <c r="D771" s="6"/>
      <c r="E771" s="6"/>
      <c r="F771" s="6"/>
      <c r="G771" s="7"/>
      <c r="H771" s="7"/>
      <c r="I771" s="7"/>
      <c r="J771" s="7"/>
      <c r="K771" s="7"/>
      <c r="L771" s="6"/>
      <c r="M771" s="10"/>
      <c r="N771" s="10"/>
      <c r="O771" s="10"/>
      <c r="P771" s="6"/>
      <c r="Q771" s="10"/>
      <c r="R771" s="6"/>
      <c r="S771" s="6"/>
      <c r="T771" s="6"/>
      <c r="U771" s="10"/>
      <c r="V771" s="6"/>
      <c r="W771" s="10"/>
      <c r="X771" s="10"/>
      <c r="Y771" s="4"/>
      <c r="Z771" s="4"/>
    </row>
    <row r="772" spans="1:26" ht="15.75">
      <c r="A772" s="7"/>
      <c r="B772" s="7"/>
      <c r="C772" s="6"/>
      <c r="D772" s="6"/>
      <c r="E772" s="6"/>
      <c r="F772" s="6"/>
      <c r="G772" s="7"/>
      <c r="H772" s="7"/>
      <c r="I772" s="7"/>
      <c r="J772" s="7"/>
      <c r="K772" s="7"/>
      <c r="L772" s="6"/>
      <c r="M772" s="10"/>
      <c r="N772" s="10"/>
      <c r="O772" s="10"/>
      <c r="P772" s="6"/>
      <c r="Q772" s="10"/>
      <c r="R772" s="6"/>
      <c r="S772" s="6"/>
      <c r="T772" s="6"/>
      <c r="U772" s="10"/>
      <c r="V772" s="6"/>
      <c r="W772" s="10"/>
      <c r="X772" s="10"/>
      <c r="Y772" s="4"/>
      <c r="Z772" s="4"/>
    </row>
    <row r="773" spans="1:26" ht="15.75">
      <c r="A773" s="7"/>
      <c r="B773" s="7"/>
      <c r="C773" s="6"/>
      <c r="D773" s="6"/>
      <c r="E773" s="6"/>
      <c r="F773" s="6"/>
      <c r="G773" s="7"/>
      <c r="H773" s="7"/>
      <c r="I773" s="7"/>
      <c r="J773" s="7"/>
      <c r="K773" s="7"/>
      <c r="L773" s="6"/>
      <c r="M773" s="10"/>
      <c r="N773" s="10"/>
      <c r="O773" s="10"/>
      <c r="P773" s="6"/>
      <c r="Q773" s="10"/>
      <c r="R773" s="6"/>
      <c r="S773" s="6"/>
      <c r="T773" s="6"/>
      <c r="U773" s="10"/>
      <c r="V773" s="6"/>
      <c r="W773" s="10"/>
      <c r="X773" s="10"/>
      <c r="Y773" s="4"/>
      <c r="Z773" s="4"/>
    </row>
    <row r="774" spans="1:26" ht="15.75">
      <c r="A774" s="7"/>
      <c r="B774" s="7"/>
      <c r="C774" s="6"/>
      <c r="D774" s="6"/>
      <c r="E774" s="6"/>
      <c r="F774" s="6"/>
      <c r="G774" s="7"/>
      <c r="H774" s="7"/>
      <c r="I774" s="7"/>
      <c r="J774" s="7"/>
      <c r="K774" s="7"/>
      <c r="L774" s="6"/>
      <c r="M774" s="10"/>
      <c r="N774" s="10"/>
      <c r="O774" s="10"/>
      <c r="P774" s="6"/>
      <c r="Q774" s="10"/>
      <c r="R774" s="6"/>
      <c r="S774" s="6"/>
      <c r="T774" s="6"/>
      <c r="U774" s="10"/>
      <c r="V774" s="6"/>
      <c r="W774" s="10"/>
      <c r="X774" s="10"/>
      <c r="Y774" s="4"/>
      <c r="Z774" s="4"/>
    </row>
    <row r="775" spans="1:26" ht="15.75">
      <c r="A775" s="7"/>
      <c r="B775" s="7"/>
      <c r="C775" s="6"/>
      <c r="D775" s="6"/>
      <c r="E775" s="6"/>
      <c r="F775" s="6"/>
      <c r="G775" s="7"/>
      <c r="H775" s="7"/>
      <c r="I775" s="7"/>
      <c r="J775" s="7"/>
      <c r="K775" s="7"/>
      <c r="L775" s="6"/>
      <c r="M775" s="10"/>
      <c r="N775" s="10"/>
      <c r="O775" s="10"/>
      <c r="P775" s="6"/>
      <c r="Q775" s="10"/>
      <c r="R775" s="6"/>
      <c r="S775" s="6"/>
      <c r="T775" s="6"/>
      <c r="U775" s="10"/>
      <c r="V775" s="6"/>
      <c r="W775" s="10"/>
      <c r="X775" s="10"/>
      <c r="Y775" s="4"/>
      <c r="Z775" s="4"/>
    </row>
    <row r="776" spans="1:26" ht="15.75">
      <c r="A776" s="7"/>
      <c r="B776" s="7"/>
      <c r="C776" s="6"/>
      <c r="D776" s="6"/>
      <c r="E776" s="6"/>
      <c r="F776" s="6"/>
      <c r="G776" s="7"/>
      <c r="H776" s="7"/>
      <c r="I776" s="7"/>
      <c r="J776" s="7"/>
      <c r="K776" s="7"/>
      <c r="L776" s="6"/>
      <c r="M776" s="10"/>
      <c r="N776" s="10"/>
      <c r="O776" s="10"/>
      <c r="P776" s="6"/>
      <c r="Q776" s="10"/>
      <c r="R776" s="6"/>
      <c r="S776" s="6"/>
      <c r="T776" s="6"/>
      <c r="U776" s="10"/>
      <c r="V776" s="6"/>
      <c r="W776" s="10"/>
      <c r="X776" s="10"/>
      <c r="Y776" s="4"/>
      <c r="Z776" s="4"/>
    </row>
    <row r="777" spans="1:26" ht="15.75">
      <c r="A777" s="7"/>
      <c r="B777" s="7"/>
      <c r="C777" s="6"/>
      <c r="D777" s="6"/>
      <c r="E777" s="6"/>
      <c r="F777" s="6"/>
      <c r="G777" s="7"/>
      <c r="H777" s="7"/>
      <c r="I777" s="7"/>
      <c r="J777" s="7"/>
      <c r="K777" s="7"/>
      <c r="L777" s="6"/>
      <c r="M777" s="10"/>
      <c r="N777" s="10"/>
      <c r="O777" s="10"/>
      <c r="P777" s="6"/>
      <c r="Q777" s="10"/>
      <c r="R777" s="6"/>
      <c r="S777" s="6"/>
      <c r="T777" s="6"/>
      <c r="U777" s="10"/>
      <c r="V777" s="6"/>
      <c r="W777" s="10"/>
      <c r="X777" s="10"/>
      <c r="Y777" s="4"/>
      <c r="Z777" s="4"/>
    </row>
    <row r="778" spans="1:26" ht="15.75">
      <c r="A778" s="7"/>
      <c r="B778" s="7"/>
      <c r="C778" s="6"/>
      <c r="D778" s="6"/>
      <c r="E778" s="6"/>
      <c r="F778" s="6"/>
      <c r="G778" s="7"/>
      <c r="H778" s="7"/>
      <c r="I778" s="7"/>
      <c r="J778" s="7"/>
      <c r="K778" s="7"/>
      <c r="L778" s="6"/>
      <c r="M778" s="10"/>
      <c r="N778" s="10"/>
      <c r="O778" s="10"/>
      <c r="P778" s="6"/>
      <c r="Q778" s="10"/>
      <c r="R778" s="6"/>
      <c r="S778" s="6"/>
      <c r="T778" s="6"/>
      <c r="U778" s="10"/>
      <c r="V778" s="6"/>
      <c r="W778" s="10"/>
      <c r="X778" s="10"/>
      <c r="Y778" s="4"/>
      <c r="Z778" s="4"/>
    </row>
    <row r="779" spans="1:26" ht="15.75">
      <c r="A779" s="7"/>
      <c r="B779" s="7"/>
      <c r="C779" s="6"/>
      <c r="D779" s="6"/>
      <c r="E779" s="6"/>
      <c r="F779" s="6"/>
      <c r="G779" s="7"/>
      <c r="H779" s="7"/>
      <c r="I779" s="7"/>
      <c r="J779" s="7"/>
      <c r="K779" s="7"/>
      <c r="L779" s="6"/>
      <c r="M779" s="10"/>
      <c r="N779" s="10"/>
      <c r="O779" s="10"/>
      <c r="P779" s="6"/>
      <c r="Q779" s="10"/>
      <c r="R779" s="6"/>
      <c r="S779" s="6"/>
      <c r="T779" s="6"/>
      <c r="U779" s="10"/>
      <c r="V779" s="6"/>
      <c r="W779" s="10"/>
      <c r="X779" s="10"/>
      <c r="Y779" s="4"/>
      <c r="Z779" s="4"/>
    </row>
    <row r="780" spans="1:26" ht="15.75">
      <c r="A780" s="7"/>
      <c r="B780" s="7"/>
      <c r="C780" s="6"/>
      <c r="D780" s="6"/>
      <c r="E780" s="6"/>
      <c r="F780" s="6"/>
      <c r="G780" s="7"/>
      <c r="H780" s="7"/>
      <c r="I780" s="7"/>
      <c r="J780" s="7"/>
      <c r="K780" s="7"/>
      <c r="L780" s="6"/>
      <c r="M780" s="10"/>
      <c r="N780" s="10"/>
      <c r="O780" s="10"/>
      <c r="P780" s="6"/>
      <c r="Q780" s="10"/>
      <c r="R780" s="6"/>
      <c r="S780" s="6"/>
      <c r="T780" s="6"/>
      <c r="U780" s="10"/>
      <c r="V780" s="6"/>
      <c r="W780" s="10"/>
      <c r="X780" s="10"/>
      <c r="Y780" s="4"/>
      <c r="Z780" s="4"/>
    </row>
    <row r="781" spans="1:26" ht="15.75">
      <c r="A781" s="7"/>
      <c r="B781" s="7"/>
      <c r="C781" s="6"/>
      <c r="D781" s="6"/>
      <c r="E781" s="6"/>
      <c r="F781" s="6"/>
      <c r="G781" s="7"/>
      <c r="H781" s="7"/>
      <c r="I781" s="7"/>
      <c r="J781" s="7"/>
      <c r="K781" s="7"/>
      <c r="L781" s="6"/>
      <c r="M781" s="10"/>
      <c r="N781" s="10"/>
      <c r="O781" s="10"/>
      <c r="P781" s="6"/>
      <c r="Q781" s="10"/>
      <c r="R781" s="6"/>
      <c r="S781" s="6"/>
      <c r="T781" s="6"/>
      <c r="U781" s="10"/>
      <c r="V781" s="6"/>
      <c r="W781" s="10"/>
      <c r="X781" s="10"/>
      <c r="Y781" s="4"/>
      <c r="Z781" s="4"/>
    </row>
    <row r="782" spans="1:26" ht="15.75">
      <c r="A782" s="7"/>
      <c r="B782" s="7"/>
      <c r="C782" s="6"/>
      <c r="D782" s="6"/>
      <c r="E782" s="6"/>
      <c r="F782" s="6"/>
      <c r="G782" s="7"/>
      <c r="H782" s="7"/>
      <c r="I782" s="7"/>
      <c r="J782" s="7"/>
      <c r="K782" s="7"/>
      <c r="L782" s="6"/>
      <c r="M782" s="10"/>
      <c r="N782" s="10"/>
      <c r="O782" s="10"/>
      <c r="P782" s="6"/>
      <c r="Q782" s="10"/>
      <c r="R782" s="6"/>
      <c r="S782" s="6"/>
      <c r="T782" s="6"/>
      <c r="U782" s="10"/>
      <c r="V782" s="6"/>
      <c r="W782" s="10"/>
      <c r="X782" s="10"/>
      <c r="Y782" s="4"/>
      <c r="Z782" s="4"/>
    </row>
    <row r="783" spans="1:26" ht="15.75">
      <c r="A783" s="7"/>
      <c r="B783" s="7"/>
      <c r="C783" s="6"/>
      <c r="D783" s="6"/>
      <c r="E783" s="6"/>
      <c r="F783" s="6"/>
      <c r="G783" s="7"/>
      <c r="H783" s="7"/>
      <c r="I783" s="7"/>
      <c r="J783" s="7"/>
      <c r="K783" s="7"/>
      <c r="L783" s="6"/>
      <c r="M783" s="10"/>
      <c r="N783" s="10"/>
      <c r="O783" s="10"/>
      <c r="P783" s="6"/>
      <c r="Q783" s="10"/>
      <c r="R783" s="6"/>
      <c r="S783" s="6"/>
      <c r="T783" s="6"/>
      <c r="U783" s="10"/>
      <c r="V783" s="6"/>
      <c r="W783" s="10"/>
      <c r="X783" s="10"/>
      <c r="Y783" s="4"/>
      <c r="Z783" s="4"/>
    </row>
    <row r="784" spans="1:26" ht="15.75">
      <c r="A784" s="7"/>
      <c r="B784" s="7"/>
      <c r="C784" s="6"/>
      <c r="D784" s="6"/>
      <c r="E784" s="6"/>
      <c r="F784" s="6"/>
      <c r="G784" s="7"/>
      <c r="H784" s="7"/>
      <c r="I784" s="7"/>
      <c r="J784" s="7"/>
      <c r="K784" s="7"/>
      <c r="L784" s="6"/>
      <c r="M784" s="10"/>
      <c r="N784" s="10"/>
      <c r="O784" s="10"/>
      <c r="P784" s="6"/>
      <c r="Q784" s="10"/>
      <c r="R784" s="6"/>
      <c r="S784" s="6"/>
      <c r="T784" s="6"/>
      <c r="U784" s="10"/>
      <c r="V784" s="6"/>
      <c r="W784" s="10"/>
      <c r="X784" s="10"/>
      <c r="Y784" s="4"/>
      <c r="Z784" s="4"/>
    </row>
    <row r="785" spans="1:26" ht="15.75">
      <c r="A785" s="7"/>
      <c r="B785" s="7"/>
      <c r="C785" s="6"/>
      <c r="D785" s="6"/>
      <c r="E785" s="6"/>
      <c r="F785" s="6"/>
      <c r="G785" s="7"/>
      <c r="H785" s="7"/>
      <c r="I785" s="7"/>
      <c r="J785" s="7"/>
      <c r="K785" s="7"/>
      <c r="L785" s="6"/>
      <c r="M785" s="10"/>
      <c r="N785" s="10"/>
      <c r="O785" s="10"/>
      <c r="P785" s="6"/>
      <c r="Q785" s="10"/>
      <c r="R785" s="6"/>
      <c r="S785" s="6"/>
      <c r="T785" s="6"/>
      <c r="U785" s="10"/>
      <c r="V785" s="6"/>
      <c r="W785" s="10"/>
      <c r="X785" s="10"/>
      <c r="Y785" s="4"/>
      <c r="Z785" s="4"/>
    </row>
    <row r="786" spans="1:26" ht="15.75">
      <c r="A786" s="7"/>
      <c r="B786" s="7"/>
      <c r="C786" s="6"/>
      <c r="D786" s="6"/>
      <c r="E786" s="6"/>
      <c r="F786" s="6"/>
      <c r="G786" s="7"/>
      <c r="H786" s="7"/>
      <c r="I786" s="7"/>
      <c r="J786" s="7"/>
      <c r="K786" s="7"/>
      <c r="L786" s="6"/>
      <c r="M786" s="10"/>
      <c r="N786" s="10"/>
      <c r="O786" s="10"/>
      <c r="P786" s="6"/>
      <c r="Q786" s="10"/>
      <c r="R786" s="6"/>
      <c r="S786" s="6"/>
      <c r="T786" s="6"/>
      <c r="U786" s="10"/>
      <c r="V786" s="6"/>
      <c r="W786" s="10"/>
      <c r="X786" s="10"/>
      <c r="Y786" s="4"/>
      <c r="Z786" s="4"/>
    </row>
    <row r="787" spans="1:26" ht="15.75">
      <c r="A787" s="7"/>
      <c r="B787" s="7"/>
      <c r="C787" s="6"/>
      <c r="D787" s="6"/>
      <c r="E787" s="6"/>
      <c r="F787" s="6"/>
      <c r="G787" s="7"/>
      <c r="H787" s="7"/>
      <c r="I787" s="7"/>
      <c r="J787" s="7"/>
      <c r="K787" s="7"/>
      <c r="L787" s="6"/>
      <c r="M787" s="10"/>
      <c r="N787" s="10"/>
      <c r="O787" s="10"/>
      <c r="P787" s="6"/>
      <c r="Q787" s="10"/>
      <c r="R787" s="6"/>
      <c r="S787" s="6"/>
      <c r="T787" s="6"/>
      <c r="U787" s="10"/>
      <c r="V787" s="6"/>
      <c r="W787" s="10"/>
      <c r="X787" s="10"/>
      <c r="Y787" s="4"/>
      <c r="Z787" s="4"/>
    </row>
    <row r="788" spans="1:26" ht="15.75">
      <c r="A788" s="7"/>
      <c r="B788" s="7"/>
      <c r="C788" s="6"/>
      <c r="D788" s="6"/>
      <c r="E788" s="6"/>
      <c r="F788" s="6"/>
      <c r="G788" s="7"/>
      <c r="H788" s="7"/>
      <c r="I788" s="7"/>
      <c r="J788" s="7"/>
      <c r="K788" s="7"/>
      <c r="L788" s="6"/>
      <c r="M788" s="10"/>
      <c r="N788" s="10"/>
      <c r="O788" s="10"/>
      <c r="P788" s="6"/>
      <c r="Q788" s="10"/>
      <c r="R788" s="6"/>
      <c r="S788" s="6"/>
      <c r="T788" s="6"/>
      <c r="U788" s="10"/>
      <c r="V788" s="6"/>
      <c r="W788" s="10"/>
      <c r="X788" s="10"/>
      <c r="Y788" s="4"/>
      <c r="Z788" s="4"/>
    </row>
    <row r="789" spans="1:26" ht="15.75">
      <c r="A789" s="7"/>
      <c r="B789" s="7"/>
      <c r="C789" s="6"/>
      <c r="D789" s="6"/>
      <c r="E789" s="6"/>
      <c r="F789" s="6"/>
      <c r="G789" s="7"/>
      <c r="H789" s="7"/>
      <c r="I789" s="7"/>
      <c r="J789" s="7"/>
      <c r="K789" s="7"/>
      <c r="L789" s="6"/>
      <c r="M789" s="10"/>
      <c r="N789" s="10"/>
      <c r="O789" s="10"/>
      <c r="P789" s="6"/>
      <c r="Q789" s="10"/>
      <c r="R789" s="6"/>
      <c r="S789" s="6"/>
      <c r="T789" s="6"/>
      <c r="U789" s="10"/>
      <c r="V789" s="6"/>
      <c r="W789" s="10"/>
      <c r="X789" s="10"/>
      <c r="Y789" s="4"/>
      <c r="Z789" s="4"/>
    </row>
    <row r="790" spans="1:26" ht="15.75">
      <c r="A790" s="7"/>
      <c r="B790" s="7"/>
      <c r="C790" s="6"/>
      <c r="D790" s="6"/>
      <c r="E790" s="6"/>
      <c r="F790" s="6"/>
      <c r="G790" s="7"/>
      <c r="H790" s="7"/>
      <c r="I790" s="7"/>
      <c r="J790" s="7"/>
      <c r="K790" s="7"/>
      <c r="L790" s="6"/>
      <c r="M790" s="10"/>
      <c r="N790" s="10"/>
      <c r="O790" s="10"/>
      <c r="P790" s="6"/>
      <c r="Q790" s="10"/>
      <c r="R790" s="6"/>
      <c r="S790" s="6"/>
      <c r="T790" s="6"/>
      <c r="U790" s="10"/>
      <c r="V790" s="6"/>
      <c r="W790" s="10"/>
      <c r="X790" s="10"/>
      <c r="Y790" s="4"/>
      <c r="Z790" s="4"/>
    </row>
    <row r="791" spans="1:26" ht="15.75">
      <c r="A791" s="7"/>
      <c r="B791" s="7"/>
      <c r="C791" s="6"/>
      <c r="D791" s="6"/>
      <c r="E791" s="6"/>
      <c r="F791" s="6"/>
      <c r="G791" s="7"/>
      <c r="H791" s="7"/>
      <c r="I791" s="7"/>
      <c r="J791" s="7"/>
      <c r="K791" s="7"/>
      <c r="L791" s="6"/>
      <c r="M791" s="10"/>
      <c r="N791" s="10"/>
      <c r="O791" s="10"/>
      <c r="P791" s="6"/>
      <c r="Q791" s="10"/>
      <c r="R791" s="6"/>
      <c r="S791" s="6"/>
      <c r="T791" s="6"/>
      <c r="U791" s="10"/>
      <c r="V791" s="6"/>
      <c r="W791" s="10"/>
      <c r="X791" s="10"/>
      <c r="Y791" s="4"/>
      <c r="Z791" s="4"/>
    </row>
    <row r="792" spans="1:26" ht="15.75">
      <c r="A792" s="7"/>
      <c r="B792" s="7"/>
      <c r="C792" s="6"/>
      <c r="D792" s="6"/>
      <c r="E792" s="6"/>
      <c r="F792" s="6"/>
      <c r="G792" s="7"/>
      <c r="H792" s="7"/>
      <c r="I792" s="7"/>
      <c r="J792" s="7"/>
      <c r="K792" s="7"/>
      <c r="L792" s="6"/>
      <c r="M792" s="10"/>
      <c r="N792" s="10"/>
      <c r="O792" s="10"/>
      <c r="P792" s="6"/>
      <c r="Q792" s="10"/>
      <c r="R792" s="6"/>
      <c r="S792" s="6"/>
      <c r="T792" s="6"/>
      <c r="U792" s="10"/>
      <c r="V792" s="6"/>
      <c r="W792" s="10"/>
      <c r="X792" s="10"/>
      <c r="Y792" s="4"/>
      <c r="Z792" s="4"/>
    </row>
    <row r="793" spans="1:26" ht="15.75">
      <c r="A793" s="7"/>
      <c r="B793" s="7"/>
      <c r="C793" s="6"/>
      <c r="D793" s="6"/>
      <c r="E793" s="6"/>
      <c r="F793" s="6"/>
      <c r="G793" s="7"/>
      <c r="H793" s="7"/>
      <c r="I793" s="7"/>
      <c r="J793" s="7"/>
      <c r="K793" s="7"/>
      <c r="L793" s="6"/>
      <c r="M793" s="10"/>
      <c r="N793" s="10"/>
      <c r="O793" s="10"/>
      <c r="P793" s="6"/>
      <c r="Q793" s="10"/>
      <c r="R793" s="6"/>
      <c r="S793" s="6"/>
      <c r="T793" s="6"/>
      <c r="U793" s="10"/>
      <c r="V793" s="6"/>
      <c r="W793" s="10"/>
      <c r="X793" s="10"/>
      <c r="Y793" s="4"/>
      <c r="Z793" s="4"/>
    </row>
    <row r="794" spans="1:26" ht="15.75">
      <c r="A794" s="7"/>
      <c r="B794" s="7"/>
      <c r="C794" s="6"/>
      <c r="D794" s="6"/>
      <c r="E794" s="6"/>
      <c r="F794" s="6"/>
      <c r="G794" s="7"/>
      <c r="H794" s="7"/>
      <c r="I794" s="7"/>
      <c r="J794" s="7"/>
      <c r="K794" s="7"/>
      <c r="L794" s="6"/>
      <c r="M794" s="10"/>
      <c r="N794" s="10"/>
      <c r="O794" s="10"/>
      <c r="P794" s="6"/>
      <c r="Q794" s="10"/>
      <c r="R794" s="6"/>
      <c r="S794" s="6"/>
      <c r="T794" s="6"/>
      <c r="U794" s="10"/>
      <c r="V794" s="6"/>
      <c r="W794" s="10"/>
      <c r="X794" s="10"/>
      <c r="Y794" s="4"/>
      <c r="Z794" s="4"/>
    </row>
    <row r="795" spans="1:26" ht="15.75">
      <c r="A795" s="7"/>
      <c r="B795" s="7"/>
      <c r="C795" s="6"/>
      <c r="D795" s="6"/>
      <c r="E795" s="6"/>
      <c r="F795" s="6"/>
      <c r="G795" s="7"/>
      <c r="H795" s="7"/>
      <c r="I795" s="7"/>
      <c r="J795" s="7"/>
      <c r="K795" s="7"/>
      <c r="L795" s="6"/>
      <c r="M795" s="10"/>
      <c r="N795" s="10"/>
      <c r="O795" s="10"/>
      <c r="P795" s="6"/>
      <c r="Q795" s="10"/>
      <c r="R795" s="6"/>
      <c r="S795" s="6"/>
      <c r="T795" s="6"/>
      <c r="U795" s="10"/>
      <c r="V795" s="6"/>
      <c r="W795" s="10"/>
      <c r="X795" s="10"/>
      <c r="Y795" s="4"/>
      <c r="Z795" s="4"/>
    </row>
    <row r="796" spans="1:26" ht="15.75">
      <c r="A796" s="7"/>
      <c r="B796" s="7"/>
      <c r="C796" s="6"/>
      <c r="D796" s="6"/>
      <c r="E796" s="6"/>
      <c r="F796" s="6"/>
      <c r="G796" s="7"/>
      <c r="H796" s="7"/>
      <c r="I796" s="7"/>
      <c r="J796" s="7"/>
      <c r="K796" s="7"/>
      <c r="L796" s="6"/>
      <c r="M796" s="10"/>
      <c r="N796" s="10"/>
      <c r="O796" s="10"/>
      <c r="P796" s="6"/>
      <c r="Q796" s="10"/>
      <c r="R796" s="6"/>
      <c r="S796" s="6"/>
      <c r="T796" s="6"/>
      <c r="U796" s="10"/>
      <c r="V796" s="6"/>
      <c r="W796" s="10"/>
      <c r="X796" s="10"/>
      <c r="Y796" s="4"/>
      <c r="Z796" s="4"/>
    </row>
    <row r="797" spans="1:26" ht="15.75">
      <c r="A797" s="7"/>
      <c r="B797" s="7"/>
      <c r="C797" s="6"/>
      <c r="D797" s="6"/>
      <c r="E797" s="6"/>
      <c r="F797" s="6"/>
      <c r="G797" s="7"/>
      <c r="H797" s="7"/>
      <c r="I797" s="7"/>
      <c r="J797" s="7"/>
      <c r="K797" s="7"/>
      <c r="L797" s="6"/>
      <c r="M797" s="10"/>
      <c r="N797" s="10"/>
      <c r="O797" s="10"/>
      <c r="P797" s="6"/>
      <c r="Q797" s="10"/>
      <c r="R797" s="6"/>
      <c r="S797" s="6"/>
      <c r="T797" s="6"/>
      <c r="U797" s="10"/>
      <c r="V797" s="6"/>
      <c r="W797" s="10"/>
      <c r="X797" s="10"/>
      <c r="Y797" s="4"/>
      <c r="Z797" s="4"/>
    </row>
    <row r="798" spans="1:26" ht="15.75">
      <c r="A798" s="7"/>
      <c r="B798" s="7"/>
      <c r="C798" s="6"/>
      <c r="D798" s="6"/>
      <c r="E798" s="6"/>
      <c r="F798" s="6"/>
      <c r="G798" s="7"/>
      <c r="H798" s="7"/>
      <c r="I798" s="7"/>
      <c r="J798" s="7"/>
      <c r="K798" s="7"/>
      <c r="L798" s="6"/>
      <c r="M798" s="10"/>
      <c r="N798" s="10"/>
      <c r="O798" s="10"/>
      <c r="P798" s="6"/>
      <c r="Q798" s="10"/>
      <c r="R798" s="6"/>
      <c r="S798" s="6"/>
      <c r="T798" s="6"/>
      <c r="U798" s="10"/>
      <c r="V798" s="6"/>
      <c r="W798" s="10"/>
      <c r="X798" s="10"/>
      <c r="Y798" s="4"/>
      <c r="Z798" s="4"/>
    </row>
    <row r="799" spans="1:26" ht="15.75">
      <c r="A799" s="7"/>
      <c r="B799" s="7"/>
      <c r="C799" s="6"/>
      <c r="D799" s="6"/>
      <c r="E799" s="6"/>
      <c r="F799" s="6"/>
      <c r="G799" s="7"/>
      <c r="H799" s="7"/>
      <c r="I799" s="7"/>
      <c r="J799" s="7"/>
      <c r="K799" s="7"/>
      <c r="L799" s="6"/>
      <c r="M799" s="10"/>
      <c r="N799" s="10"/>
      <c r="O799" s="10"/>
      <c r="P799" s="6"/>
      <c r="Q799" s="10"/>
      <c r="R799" s="6"/>
      <c r="S799" s="6"/>
      <c r="T799" s="6"/>
      <c r="U799" s="10"/>
      <c r="V799" s="6"/>
      <c r="W799" s="10"/>
      <c r="X799" s="10"/>
      <c r="Y799" s="4"/>
      <c r="Z799" s="4"/>
    </row>
    <row r="800" spans="1:26" ht="15.75">
      <c r="A800" s="7"/>
      <c r="B800" s="7"/>
      <c r="C800" s="6"/>
      <c r="D800" s="6"/>
      <c r="E800" s="6"/>
      <c r="F800" s="6"/>
      <c r="G800" s="7"/>
      <c r="H800" s="7"/>
      <c r="I800" s="7"/>
      <c r="J800" s="7"/>
      <c r="K800" s="7"/>
      <c r="L800" s="6"/>
      <c r="M800" s="10"/>
      <c r="N800" s="10"/>
      <c r="O800" s="10"/>
      <c r="P800" s="6"/>
      <c r="Q800" s="10"/>
      <c r="R800" s="6"/>
      <c r="S800" s="6"/>
      <c r="T800" s="6"/>
      <c r="U800" s="10"/>
      <c r="V800" s="6"/>
      <c r="W800" s="10"/>
      <c r="X800" s="10"/>
      <c r="Y800" s="4"/>
      <c r="Z800" s="4"/>
    </row>
    <row r="801" spans="1:26" ht="15.75">
      <c r="A801" s="7"/>
      <c r="B801" s="7"/>
      <c r="C801" s="6"/>
      <c r="D801" s="6"/>
      <c r="E801" s="6"/>
      <c r="F801" s="6"/>
      <c r="G801" s="7"/>
      <c r="H801" s="7"/>
      <c r="I801" s="7"/>
      <c r="J801" s="7"/>
      <c r="K801" s="7"/>
      <c r="L801" s="6"/>
      <c r="M801" s="10"/>
      <c r="N801" s="10"/>
      <c r="O801" s="10"/>
      <c r="P801" s="6"/>
      <c r="Q801" s="10"/>
      <c r="R801" s="6"/>
      <c r="S801" s="6"/>
      <c r="T801" s="6"/>
      <c r="U801" s="10"/>
      <c r="V801" s="6"/>
      <c r="W801" s="10"/>
      <c r="X801" s="10"/>
      <c r="Y801" s="4"/>
      <c r="Z801" s="4"/>
    </row>
    <row r="802" spans="1:26" ht="15.75">
      <c r="A802" s="7"/>
      <c r="B802" s="7"/>
      <c r="C802" s="6"/>
      <c r="D802" s="6"/>
      <c r="E802" s="6"/>
      <c r="F802" s="6"/>
      <c r="G802" s="7"/>
      <c r="H802" s="7"/>
      <c r="I802" s="7"/>
      <c r="J802" s="7"/>
      <c r="K802" s="7"/>
      <c r="L802" s="6"/>
      <c r="M802" s="10"/>
      <c r="N802" s="10"/>
      <c r="O802" s="10"/>
      <c r="P802" s="6"/>
      <c r="Q802" s="10"/>
      <c r="R802" s="6"/>
      <c r="S802" s="6"/>
      <c r="T802" s="6"/>
      <c r="U802" s="10"/>
      <c r="V802" s="6"/>
      <c r="W802" s="10"/>
      <c r="X802" s="10"/>
      <c r="Y802" s="4"/>
      <c r="Z802" s="4"/>
    </row>
    <row r="803" spans="1:26" ht="15.75">
      <c r="A803" s="7"/>
      <c r="B803" s="7"/>
      <c r="C803" s="6"/>
      <c r="D803" s="6"/>
      <c r="E803" s="6"/>
      <c r="F803" s="6"/>
      <c r="G803" s="7"/>
      <c r="H803" s="7"/>
      <c r="I803" s="7"/>
      <c r="J803" s="7"/>
      <c r="K803" s="7"/>
      <c r="L803" s="6"/>
      <c r="M803" s="10"/>
      <c r="N803" s="10"/>
      <c r="O803" s="10"/>
      <c r="P803" s="6"/>
      <c r="Q803" s="10"/>
      <c r="R803" s="6"/>
      <c r="S803" s="6"/>
      <c r="T803" s="6"/>
      <c r="U803" s="10"/>
      <c r="V803" s="6"/>
      <c r="W803" s="10"/>
      <c r="X803" s="10"/>
      <c r="Y803" s="4"/>
      <c r="Z803" s="4"/>
    </row>
    <row r="804" spans="1:26" ht="15.75">
      <c r="A804" s="7"/>
      <c r="B804" s="7"/>
      <c r="C804" s="6"/>
      <c r="D804" s="6"/>
      <c r="E804" s="6"/>
      <c r="F804" s="6"/>
      <c r="G804" s="7"/>
      <c r="H804" s="7"/>
      <c r="I804" s="7"/>
      <c r="J804" s="7"/>
      <c r="K804" s="7"/>
      <c r="L804" s="6"/>
      <c r="M804" s="10"/>
      <c r="N804" s="10"/>
      <c r="O804" s="10"/>
      <c r="P804" s="6"/>
      <c r="Q804" s="10"/>
      <c r="R804" s="6"/>
      <c r="S804" s="6"/>
      <c r="T804" s="6"/>
      <c r="U804" s="10"/>
      <c r="V804" s="6"/>
      <c r="W804" s="10"/>
      <c r="X804" s="10"/>
      <c r="Y804" s="4"/>
      <c r="Z804" s="4"/>
    </row>
    <row r="805" spans="1:26" ht="15.75">
      <c r="A805" s="7"/>
      <c r="B805" s="7"/>
      <c r="C805" s="6"/>
      <c r="D805" s="6"/>
      <c r="E805" s="6"/>
      <c r="F805" s="6"/>
      <c r="G805" s="7"/>
      <c r="H805" s="7"/>
      <c r="I805" s="7"/>
      <c r="J805" s="7"/>
      <c r="K805" s="7"/>
      <c r="L805" s="6"/>
      <c r="M805" s="10"/>
      <c r="N805" s="10"/>
      <c r="O805" s="10"/>
      <c r="P805" s="6"/>
      <c r="Q805" s="10"/>
      <c r="R805" s="6"/>
      <c r="S805" s="6"/>
      <c r="T805" s="6"/>
      <c r="U805" s="10"/>
      <c r="V805" s="6"/>
      <c r="W805" s="10"/>
      <c r="X805" s="10"/>
      <c r="Y805" s="4"/>
      <c r="Z805" s="4"/>
    </row>
    <row r="806" spans="1:26" ht="15.75">
      <c r="A806" s="7"/>
      <c r="B806" s="7"/>
      <c r="C806" s="6"/>
      <c r="D806" s="6"/>
      <c r="E806" s="6"/>
      <c r="F806" s="6"/>
      <c r="G806" s="7"/>
      <c r="H806" s="7"/>
      <c r="I806" s="7"/>
      <c r="J806" s="7"/>
      <c r="K806" s="7"/>
      <c r="L806" s="6"/>
      <c r="M806" s="10"/>
      <c r="N806" s="10"/>
      <c r="O806" s="10"/>
      <c r="P806" s="6"/>
      <c r="Q806" s="10"/>
      <c r="R806" s="6"/>
      <c r="S806" s="6"/>
      <c r="T806" s="6"/>
      <c r="U806" s="10"/>
      <c r="V806" s="6"/>
      <c r="W806" s="10"/>
      <c r="X806" s="10"/>
      <c r="Y806" s="4"/>
      <c r="Z806" s="4"/>
    </row>
    <row r="807" spans="1:26" ht="15.75">
      <c r="A807" s="7"/>
      <c r="B807" s="7"/>
      <c r="C807" s="6"/>
      <c r="D807" s="6"/>
      <c r="E807" s="6"/>
      <c r="F807" s="6"/>
      <c r="G807" s="7"/>
      <c r="H807" s="7"/>
      <c r="I807" s="7"/>
      <c r="J807" s="7"/>
      <c r="K807" s="7"/>
      <c r="L807" s="6"/>
      <c r="M807" s="10"/>
      <c r="N807" s="10"/>
      <c r="O807" s="10"/>
      <c r="P807" s="6"/>
      <c r="Q807" s="10"/>
      <c r="R807" s="6"/>
      <c r="S807" s="6"/>
      <c r="T807" s="6"/>
      <c r="U807" s="10"/>
      <c r="V807" s="6"/>
      <c r="W807" s="10"/>
      <c r="X807" s="10"/>
      <c r="Y807" s="4"/>
      <c r="Z807" s="4"/>
    </row>
    <row r="808" spans="1:26" ht="15.75">
      <c r="A808" s="7"/>
      <c r="B808" s="7"/>
      <c r="C808" s="6"/>
      <c r="D808" s="6"/>
      <c r="E808" s="6"/>
      <c r="F808" s="6"/>
      <c r="G808" s="7"/>
      <c r="H808" s="7"/>
      <c r="I808" s="7"/>
      <c r="J808" s="7"/>
      <c r="K808" s="7"/>
      <c r="L808" s="6"/>
      <c r="M808" s="10"/>
      <c r="N808" s="10"/>
      <c r="O808" s="10"/>
      <c r="P808" s="6"/>
      <c r="Q808" s="10"/>
      <c r="R808" s="6"/>
      <c r="S808" s="6"/>
      <c r="T808" s="6"/>
      <c r="U808" s="10"/>
      <c r="V808" s="6"/>
      <c r="W808" s="10"/>
      <c r="X808" s="10"/>
      <c r="Y808" s="4"/>
      <c r="Z808" s="4"/>
    </row>
    <row r="809" spans="1:26" ht="15.75">
      <c r="A809" s="7"/>
      <c r="B809" s="7"/>
      <c r="C809" s="6"/>
      <c r="D809" s="6"/>
      <c r="E809" s="6"/>
      <c r="F809" s="6"/>
      <c r="G809" s="7"/>
      <c r="H809" s="7"/>
      <c r="I809" s="7"/>
      <c r="J809" s="7"/>
      <c r="K809" s="7"/>
      <c r="L809" s="6"/>
      <c r="M809" s="10"/>
      <c r="N809" s="10"/>
      <c r="O809" s="10"/>
      <c r="P809" s="6"/>
      <c r="Q809" s="10"/>
      <c r="R809" s="6"/>
      <c r="S809" s="6"/>
      <c r="T809" s="6"/>
      <c r="U809" s="10"/>
      <c r="V809" s="6"/>
      <c r="W809" s="10"/>
      <c r="X809" s="10"/>
      <c r="Y809" s="4"/>
      <c r="Z809" s="4"/>
    </row>
    <row r="810" spans="1:26" ht="15.75">
      <c r="A810" s="7"/>
      <c r="B810" s="7"/>
      <c r="C810" s="6"/>
      <c r="D810" s="6"/>
      <c r="E810" s="6"/>
      <c r="F810" s="6"/>
      <c r="G810" s="7"/>
      <c r="H810" s="7"/>
      <c r="I810" s="7"/>
      <c r="J810" s="7"/>
      <c r="K810" s="7"/>
      <c r="L810" s="6"/>
      <c r="M810" s="10"/>
      <c r="N810" s="10"/>
      <c r="O810" s="10"/>
      <c r="P810" s="6"/>
      <c r="Q810" s="10"/>
      <c r="R810" s="6"/>
      <c r="S810" s="6"/>
      <c r="T810" s="6"/>
      <c r="U810" s="10"/>
      <c r="V810" s="6"/>
      <c r="W810" s="10"/>
      <c r="X810" s="10"/>
      <c r="Y810" s="4"/>
      <c r="Z810" s="4"/>
    </row>
    <row r="811" spans="1:26" ht="15.75">
      <c r="A811" s="7"/>
      <c r="B811" s="7"/>
      <c r="C811" s="6"/>
      <c r="D811" s="6"/>
      <c r="E811" s="6"/>
      <c r="F811" s="6"/>
      <c r="G811" s="7"/>
      <c r="H811" s="7"/>
      <c r="I811" s="7"/>
      <c r="J811" s="7"/>
      <c r="K811" s="7"/>
      <c r="L811" s="6"/>
      <c r="M811" s="10"/>
      <c r="N811" s="10"/>
      <c r="O811" s="10"/>
      <c r="P811" s="6"/>
      <c r="Q811" s="10"/>
      <c r="R811" s="6"/>
      <c r="S811" s="6"/>
      <c r="T811" s="6"/>
      <c r="U811" s="10"/>
      <c r="V811" s="6"/>
      <c r="W811" s="10"/>
      <c r="X811" s="10"/>
      <c r="Y811" s="4"/>
      <c r="Z811" s="4"/>
    </row>
    <row r="812" spans="1:26" ht="15.75">
      <c r="A812" s="7"/>
      <c r="B812" s="7"/>
      <c r="C812" s="6"/>
      <c r="D812" s="6"/>
      <c r="E812" s="6"/>
      <c r="F812" s="6"/>
      <c r="G812" s="7"/>
      <c r="H812" s="7"/>
      <c r="I812" s="7"/>
      <c r="J812" s="7"/>
      <c r="K812" s="7"/>
      <c r="L812" s="6"/>
      <c r="M812" s="10"/>
      <c r="N812" s="10"/>
      <c r="O812" s="10"/>
      <c r="P812" s="6"/>
      <c r="Q812" s="10"/>
      <c r="R812" s="6"/>
      <c r="S812" s="6"/>
      <c r="T812" s="6"/>
      <c r="U812" s="10"/>
      <c r="V812" s="6"/>
      <c r="W812" s="10"/>
      <c r="X812" s="10"/>
      <c r="Y812" s="4"/>
      <c r="Z812" s="4"/>
    </row>
    <row r="813" spans="1:26" ht="15.75">
      <c r="A813" s="7"/>
      <c r="B813" s="7"/>
      <c r="C813" s="6"/>
      <c r="D813" s="6"/>
      <c r="E813" s="6"/>
      <c r="F813" s="6"/>
      <c r="G813" s="7"/>
      <c r="H813" s="7"/>
      <c r="I813" s="7"/>
      <c r="J813" s="7"/>
      <c r="K813" s="7"/>
      <c r="L813" s="6"/>
      <c r="M813" s="10"/>
      <c r="N813" s="10"/>
      <c r="O813" s="10"/>
      <c r="P813" s="6"/>
      <c r="Q813" s="10"/>
      <c r="R813" s="6"/>
      <c r="S813" s="6"/>
      <c r="T813" s="6"/>
      <c r="U813" s="10"/>
      <c r="V813" s="6"/>
      <c r="W813" s="10"/>
      <c r="X813" s="10"/>
      <c r="Y813" s="4"/>
      <c r="Z813" s="4"/>
    </row>
    <row r="814" spans="1:26" ht="15.75">
      <c r="A814" s="7"/>
      <c r="B814" s="7"/>
      <c r="C814" s="6"/>
      <c r="D814" s="6"/>
      <c r="E814" s="6"/>
      <c r="F814" s="6"/>
      <c r="G814" s="7"/>
      <c r="H814" s="7"/>
      <c r="I814" s="7"/>
      <c r="J814" s="7"/>
      <c r="K814" s="7"/>
      <c r="L814" s="6"/>
      <c r="M814" s="10"/>
      <c r="N814" s="10"/>
      <c r="O814" s="10"/>
      <c r="P814" s="6"/>
      <c r="Q814" s="10"/>
      <c r="R814" s="6"/>
      <c r="S814" s="6"/>
      <c r="T814" s="6"/>
      <c r="U814" s="10"/>
      <c r="V814" s="6"/>
      <c r="W814" s="10"/>
      <c r="X814" s="10"/>
      <c r="Y814" s="4"/>
      <c r="Z814" s="4"/>
    </row>
    <row r="815" spans="1:26" ht="15.75">
      <c r="A815" s="7"/>
      <c r="B815" s="7"/>
      <c r="C815" s="6"/>
      <c r="D815" s="6"/>
      <c r="E815" s="6"/>
      <c r="F815" s="6"/>
      <c r="G815" s="7"/>
      <c r="H815" s="7"/>
      <c r="I815" s="7"/>
      <c r="J815" s="7"/>
      <c r="K815" s="7"/>
      <c r="L815" s="6"/>
      <c r="M815" s="10"/>
      <c r="N815" s="10"/>
      <c r="O815" s="10"/>
      <c r="P815" s="6"/>
      <c r="Q815" s="10"/>
      <c r="R815" s="6"/>
      <c r="S815" s="6"/>
      <c r="T815" s="6"/>
      <c r="U815" s="10"/>
      <c r="V815" s="6"/>
      <c r="W815" s="10"/>
      <c r="X815" s="10"/>
      <c r="Y815" s="4"/>
      <c r="Z815" s="4"/>
    </row>
    <row r="816" spans="1:26" ht="15.75">
      <c r="A816" s="7"/>
      <c r="B816" s="7"/>
      <c r="C816" s="6"/>
      <c r="D816" s="6"/>
      <c r="E816" s="6"/>
      <c r="F816" s="6"/>
      <c r="G816" s="7"/>
      <c r="H816" s="7"/>
      <c r="I816" s="7"/>
      <c r="J816" s="7"/>
      <c r="K816" s="7"/>
      <c r="L816" s="6"/>
      <c r="M816" s="10"/>
      <c r="N816" s="10"/>
      <c r="O816" s="10"/>
      <c r="P816" s="6"/>
      <c r="Q816" s="10"/>
      <c r="R816" s="6"/>
      <c r="S816" s="6"/>
      <c r="T816" s="6"/>
      <c r="U816" s="10"/>
      <c r="V816" s="6"/>
      <c r="W816" s="10"/>
      <c r="X816" s="10"/>
      <c r="Y816" s="4"/>
      <c r="Z816" s="4"/>
    </row>
    <row r="817" spans="1:26" ht="15.75">
      <c r="A817" s="7"/>
      <c r="B817" s="7"/>
      <c r="C817" s="6"/>
      <c r="D817" s="6"/>
      <c r="E817" s="6"/>
      <c r="F817" s="6"/>
      <c r="G817" s="7"/>
      <c r="H817" s="7"/>
      <c r="I817" s="7"/>
      <c r="J817" s="7"/>
      <c r="K817" s="7"/>
      <c r="L817" s="6"/>
      <c r="M817" s="10"/>
      <c r="N817" s="10"/>
      <c r="O817" s="10"/>
      <c r="P817" s="6"/>
      <c r="Q817" s="10"/>
      <c r="R817" s="6"/>
      <c r="S817" s="6"/>
      <c r="T817" s="6"/>
      <c r="U817" s="10"/>
      <c r="V817" s="6"/>
      <c r="W817" s="10"/>
      <c r="X817" s="10"/>
      <c r="Y817" s="4"/>
      <c r="Z817" s="4"/>
    </row>
    <row r="818" spans="1:26" ht="15.75">
      <c r="A818" s="7"/>
      <c r="B818" s="7"/>
      <c r="C818" s="6"/>
      <c r="D818" s="6"/>
      <c r="E818" s="6"/>
      <c r="F818" s="6"/>
      <c r="G818" s="7"/>
      <c r="H818" s="7"/>
      <c r="I818" s="7"/>
      <c r="J818" s="7"/>
      <c r="K818" s="7"/>
      <c r="L818" s="6"/>
      <c r="M818" s="10"/>
      <c r="N818" s="10"/>
      <c r="O818" s="10"/>
      <c r="P818" s="6"/>
      <c r="Q818" s="10"/>
      <c r="R818" s="6"/>
      <c r="S818" s="6"/>
      <c r="T818" s="6"/>
      <c r="U818" s="10"/>
      <c r="V818" s="6"/>
      <c r="W818" s="10"/>
      <c r="X818" s="10"/>
      <c r="Y818" s="4"/>
      <c r="Z818" s="4"/>
    </row>
    <row r="819" spans="1:26" ht="15.75">
      <c r="A819" s="7"/>
      <c r="B819" s="7"/>
      <c r="C819" s="6"/>
      <c r="D819" s="6"/>
      <c r="E819" s="6"/>
      <c r="F819" s="6"/>
      <c r="G819" s="7"/>
      <c r="H819" s="7"/>
      <c r="I819" s="7"/>
      <c r="J819" s="7"/>
      <c r="K819" s="7"/>
      <c r="L819" s="6"/>
      <c r="M819" s="10"/>
      <c r="N819" s="10"/>
      <c r="O819" s="10"/>
      <c r="P819" s="6"/>
      <c r="Q819" s="10"/>
      <c r="R819" s="6"/>
      <c r="S819" s="6"/>
      <c r="T819" s="6"/>
      <c r="U819" s="10"/>
      <c r="V819" s="6"/>
      <c r="W819" s="10"/>
      <c r="X819" s="10"/>
      <c r="Y819" s="4"/>
      <c r="Z819" s="4"/>
    </row>
    <row r="820" spans="1:26" ht="15.75">
      <c r="A820" s="7"/>
      <c r="B820" s="7"/>
      <c r="C820" s="6"/>
      <c r="D820" s="6"/>
      <c r="E820" s="6"/>
      <c r="F820" s="6"/>
      <c r="G820" s="7"/>
      <c r="H820" s="7"/>
      <c r="I820" s="7"/>
      <c r="J820" s="7"/>
      <c r="K820" s="7"/>
      <c r="L820" s="6"/>
      <c r="M820" s="10"/>
      <c r="N820" s="10"/>
      <c r="O820" s="10"/>
      <c r="P820" s="6"/>
      <c r="Q820" s="10"/>
      <c r="R820" s="6"/>
      <c r="S820" s="6"/>
      <c r="T820" s="6"/>
      <c r="U820" s="10"/>
      <c r="V820" s="6"/>
      <c r="W820" s="10"/>
      <c r="X820" s="10"/>
      <c r="Y820" s="4"/>
      <c r="Z820" s="4"/>
    </row>
    <row r="821" spans="1:26" ht="15.75">
      <c r="A821" s="7"/>
      <c r="B821" s="7"/>
      <c r="C821" s="6"/>
      <c r="D821" s="6"/>
      <c r="E821" s="6"/>
      <c r="F821" s="6"/>
      <c r="G821" s="7"/>
      <c r="H821" s="7"/>
      <c r="I821" s="7"/>
      <c r="J821" s="7"/>
      <c r="K821" s="7"/>
      <c r="L821" s="6"/>
      <c r="M821" s="10"/>
      <c r="N821" s="10"/>
      <c r="O821" s="10"/>
      <c r="P821" s="6"/>
      <c r="Q821" s="10"/>
      <c r="R821" s="6"/>
      <c r="S821" s="6"/>
      <c r="T821" s="6"/>
      <c r="U821" s="10"/>
      <c r="V821" s="6"/>
      <c r="W821" s="10"/>
      <c r="X821" s="10"/>
      <c r="Y821" s="4"/>
      <c r="Z821" s="4"/>
    </row>
    <row r="822" spans="1:26" ht="15.75">
      <c r="A822" s="7"/>
      <c r="B822" s="7"/>
      <c r="C822" s="6"/>
      <c r="D822" s="6"/>
      <c r="E822" s="6"/>
      <c r="F822" s="6"/>
      <c r="G822" s="7"/>
      <c r="H822" s="7"/>
      <c r="I822" s="7"/>
      <c r="J822" s="7"/>
      <c r="K822" s="7"/>
      <c r="L822" s="6"/>
      <c r="M822" s="10"/>
      <c r="N822" s="10"/>
      <c r="O822" s="10"/>
      <c r="P822" s="6"/>
      <c r="Q822" s="10"/>
      <c r="R822" s="6"/>
      <c r="S822" s="6"/>
      <c r="T822" s="6"/>
      <c r="U822" s="10"/>
      <c r="V822" s="6"/>
      <c r="W822" s="10"/>
      <c r="X822" s="10"/>
      <c r="Y822" s="4"/>
      <c r="Z822" s="4"/>
    </row>
    <row r="823" spans="1:26" ht="15.75">
      <c r="A823" s="7"/>
      <c r="B823" s="7"/>
      <c r="C823" s="6"/>
      <c r="D823" s="6"/>
      <c r="E823" s="6"/>
      <c r="F823" s="6"/>
      <c r="G823" s="7"/>
      <c r="H823" s="7"/>
      <c r="I823" s="7"/>
      <c r="J823" s="7"/>
      <c r="K823" s="7"/>
      <c r="L823" s="6"/>
      <c r="M823" s="10"/>
      <c r="N823" s="10"/>
      <c r="O823" s="10"/>
      <c r="P823" s="6"/>
      <c r="Q823" s="10"/>
      <c r="R823" s="6"/>
      <c r="S823" s="6"/>
      <c r="T823" s="6"/>
      <c r="U823" s="10"/>
      <c r="V823" s="6"/>
      <c r="W823" s="10"/>
      <c r="X823" s="10"/>
      <c r="Y823" s="4"/>
      <c r="Z823" s="4"/>
    </row>
    <row r="824" spans="1:26" ht="15.75">
      <c r="A824" s="7"/>
      <c r="B824" s="7"/>
      <c r="C824" s="6"/>
      <c r="D824" s="6"/>
      <c r="E824" s="6"/>
      <c r="F824" s="6"/>
      <c r="G824" s="7"/>
      <c r="H824" s="7"/>
      <c r="I824" s="7"/>
      <c r="J824" s="7"/>
      <c r="K824" s="7"/>
      <c r="L824" s="6"/>
      <c r="M824" s="10"/>
      <c r="N824" s="10"/>
      <c r="O824" s="10"/>
      <c r="P824" s="6"/>
      <c r="Q824" s="10"/>
      <c r="R824" s="6"/>
      <c r="S824" s="6"/>
      <c r="T824" s="6"/>
      <c r="U824" s="10"/>
      <c r="V824" s="6"/>
      <c r="W824" s="10"/>
      <c r="X824" s="10"/>
      <c r="Y824" s="4"/>
      <c r="Z824" s="4"/>
    </row>
    <row r="825" spans="1:26" ht="15.75">
      <c r="A825" s="7"/>
      <c r="B825" s="7"/>
      <c r="C825" s="6"/>
      <c r="D825" s="6"/>
      <c r="E825" s="6"/>
      <c r="F825" s="6"/>
      <c r="G825" s="7"/>
      <c r="H825" s="7"/>
      <c r="I825" s="7"/>
      <c r="J825" s="7"/>
      <c r="K825" s="7"/>
      <c r="L825" s="6"/>
      <c r="M825" s="10"/>
      <c r="N825" s="10"/>
      <c r="O825" s="10"/>
      <c r="P825" s="6"/>
      <c r="Q825" s="10"/>
      <c r="R825" s="6"/>
      <c r="S825" s="6"/>
      <c r="T825" s="6"/>
      <c r="U825" s="10"/>
      <c r="V825" s="6"/>
      <c r="W825" s="10"/>
      <c r="X825" s="10"/>
      <c r="Y825" s="4"/>
      <c r="Z825" s="4"/>
    </row>
    <row r="826" spans="1:26" ht="15.75">
      <c r="A826" s="7"/>
      <c r="B826" s="7"/>
      <c r="C826" s="6"/>
      <c r="D826" s="6"/>
      <c r="E826" s="6"/>
      <c r="F826" s="6"/>
      <c r="G826" s="7"/>
      <c r="H826" s="7"/>
      <c r="I826" s="7"/>
      <c r="J826" s="7"/>
      <c r="K826" s="7"/>
      <c r="L826" s="6"/>
      <c r="M826" s="10"/>
      <c r="N826" s="10"/>
      <c r="O826" s="10"/>
      <c r="P826" s="6"/>
      <c r="Q826" s="10"/>
      <c r="R826" s="6"/>
      <c r="S826" s="6"/>
      <c r="T826" s="6"/>
      <c r="U826" s="10"/>
      <c r="V826" s="6"/>
      <c r="W826" s="10"/>
      <c r="X826" s="10"/>
      <c r="Y826" s="4"/>
      <c r="Z826" s="4"/>
    </row>
    <row r="827" spans="1:26" ht="15.75">
      <c r="A827" s="7"/>
      <c r="B827" s="7"/>
      <c r="C827" s="6"/>
      <c r="D827" s="6"/>
      <c r="E827" s="6"/>
      <c r="F827" s="6"/>
      <c r="G827" s="7"/>
      <c r="H827" s="7"/>
      <c r="I827" s="7"/>
      <c r="J827" s="7"/>
      <c r="K827" s="7"/>
      <c r="L827" s="6"/>
      <c r="M827" s="10"/>
      <c r="N827" s="10"/>
      <c r="O827" s="10"/>
      <c r="P827" s="6"/>
      <c r="Q827" s="10"/>
      <c r="R827" s="6"/>
      <c r="S827" s="6"/>
      <c r="T827" s="6"/>
      <c r="U827" s="10"/>
      <c r="V827" s="6"/>
      <c r="W827" s="10"/>
      <c r="X827" s="10"/>
      <c r="Y827" s="4"/>
      <c r="Z827" s="4"/>
    </row>
    <row r="828" spans="1:26" ht="15.75">
      <c r="A828" s="7"/>
      <c r="B828" s="7"/>
      <c r="C828" s="6"/>
      <c r="D828" s="6"/>
      <c r="E828" s="6"/>
      <c r="F828" s="6"/>
      <c r="G828" s="7"/>
      <c r="H828" s="7"/>
      <c r="I828" s="7"/>
      <c r="J828" s="7"/>
      <c r="K828" s="7"/>
      <c r="L828" s="6"/>
      <c r="M828" s="10"/>
      <c r="N828" s="10"/>
      <c r="O828" s="10"/>
      <c r="P828" s="6"/>
      <c r="Q828" s="10"/>
      <c r="R828" s="6"/>
      <c r="S828" s="6"/>
      <c r="T828" s="6"/>
      <c r="U828" s="10"/>
      <c r="V828" s="6"/>
      <c r="W828" s="10"/>
      <c r="X828" s="10"/>
      <c r="Y828" s="4"/>
      <c r="Z828" s="4"/>
    </row>
    <row r="829" spans="1:26" ht="15.75">
      <c r="A829" s="7"/>
      <c r="B829" s="7"/>
      <c r="C829" s="6"/>
      <c r="D829" s="6"/>
      <c r="E829" s="6"/>
      <c r="F829" s="6"/>
      <c r="G829" s="7"/>
      <c r="H829" s="7"/>
      <c r="I829" s="7"/>
      <c r="J829" s="7"/>
      <c r="K829" s="7"/>
      <c r="L829" s="6"/>
      <c r="M829" s="10"/>
      <c r="N829" s="10"/>
      <c r="O829" s="10"/>
      <c r="P829" s="6"/>
      <c r="Q829" s="10"/>
      <c r="R829" s="6"/>
      <c r="S829" s="6"/>
      <c r="T829" s="6"/>
      <c r="U829" s="10"/>
      <c r="V829" s="6"/>
      <c r="W829" s="10"/>
      <c r="X829" s="10"/>
      <c r="Y829" s="4"/>
      <c r="Z829" s="4"/>
    </row>
    <row r="830" spans="1:26" ht="15.75">
      <c r="A830" s="7"/>
      <c r="B830" s="7"/>
      <c r="C830" s="6"/>
      <c r="D830" s="6"/>
      <c r="E830" s="6"/>
      <c r="F830" s="6"/>
      <c r="G830" s="7"/>
      <c r="H830" s="7"/>
      <c r="I830" s="7"/>
      <c r="J830" s="7"/>
      <c r="K830" s="7"/>
      <c r="L830" s="6"/>
      <c r="M830" s="10"/>
      <c r="N830" s="10"/>
      <c r="O830" s="10"/>
      <c r="P830" s="6"/>
      <c r="Q830" s="10"/>
      <c r="R830" s="6"/>
      <c r="S830" s="6"/>
      <c r="T830" s="6"/>
      <c r="U830" s="10"/>
      <c r="V830" s="6"/>
      <c r="W830" s="10"/>
      <c r="X830" s="10"/>
      <c r="Y830" s="4"/>
      <c r="Z830" s="4"/>
    </row>
    <row r="831" spans="1:26" ht="15.75">
      <c r="A831" s="7"/>
      <c r="B831" s="7"/>
      <c r="C831" s="6"/>
      <c r="D831" s="6"/>
      <c r="E831" s="6"/>
      <c r="F831" s="6"/>
      <c r="G831" s="7"/>
      <c r="H831" s="7"/>
      <c r="I831" s="7"/>
      <c r="J831" s="7"/>
      <c r="K831" s="7"/>
      <c r="L831" s="6"/>
      <c r="M831" s="10"/>
      <c r="N831" s="10"/>
      <c r="O831" s="10"/>
      <c r="P831" s="6"/>
      <c r="Q831" s="10"/>
      <c r="R831" s="6"/>
      <c r="S831" s="6"/>
      <c r="T831" s="6"/>
      <c r="U831" s="10"/>
      <c r="V831" s="6"/>
      <c r="W831" s="10"/>
      <c r="X831" s="10"/>
      <c r="Y831" s="4"/>
      <c r="Z831" s="4"/>
    </row>
    <row r="832" spans="1:26" ht="15.75">
      <c r="A832" s="7"/>
      <c r="B832" s="7"/>
      <c r="C832" s="6"/>
      <c r="D832" s="6"/>
      <c r="E832" s="6"/>
      <c r="F832" s="6"/>
      <c r="G832" s="7"/>
      <c r="H832" s="7"/>
      <c r="I832" s="7"/>
      <c r="J832" s="7"/>
      <c r="K832" s="7"/>
      <c r="L832" s="6"/>
      <c r="M832" s="10"/>
      <c r="N832" s="10"/>
      <c r="O832" s="10"/>
      <c r="P832" s="6"/>
      <c r="Q832" s="10"/>
      <c r="R832" s="6"/>
      <c r="S832" s="6"/>
      <c r="T832" s="6"/>
      <c r="U832" s="10"/>
      <c r="V832" s="6"/>
      <c r="W832" s="10"/>
      <c r="X832" s="10"/>
      <c r="Y832" s="4"/>
      <c r="Z832" s="4"/>
    </row>
    <row r="833" spans="1:26" ht="15.75">
      <c r="A833" s="7"/>
      <c r="B833" s="7"/>
      <c r="C833" s="6"/>
      <c r="D833" s="6"/>
      <c r="E833" s="6"/>
      <c r="F833" s="6"/>
      <c r="G833" s="7"/>
      <c r="H833" s="7"/>
      <c r="I833" s="7"/>
      <c r="J833" s="7"/>
      <c r="K833" s="7"/>
      <c r="L833" s="6"/>
      <c r="M833" s="10"/>
      <c r="N833" s="10"/>
      <c r="O833" s="10"/>
      <c r="P833" s="6"/>
      <c r="Q833" s="10"/>
      <c r="R833" s="6"/>
      <c r="S833" s="6"/>
      <c r="T833" s="6"/>
      <c r="U833" s="10"/>
      <c r="V833" s="6"/>
      <c r="W833" s="10"/>
      <c r="X833" s="10"/>
      <c r="Y833" s="4"/>
      <c r="Z833" s="4"/>
    </row>
    <row r="834" spans="1:26" ht="15.75">
      <c r="A834" s="7"/>
      <c r="B834" s="7"/>
      <c r="C834" s="6"/>
      <c r="D834" s="6"/>
      <c r="E834" s="6"/>
      <c r="F834" s="6"/>
      <c r="G834" s="7"/>
      <c r="H834" s="7"/>
      <c r="I834" s="7"/>
      <c r="J834" s="7"/>
      <c r="K834" s="7"/>
      <c r="L834" s="6"/>
      <c r="M834" s="10"/>
      <c r="N834" s="10"/>
      <c r="O834" s="10"/>
      <c r="P834" s="6"/>
      <c r="Q834" s="10"/>
      <c r="R834" s="6"/>
      <c r="S834" s="6"/>
      <c r="T834" s="6"/>
      <c r="U834" s="10"/>
      <c r="V834" s="6"/>
      <c r="W834" s="10"/>
      <c r="X834" s="10"/>
      <c r="Y834" s="4"/>
      <c r="Z834" s="4"/>
    </row>
    <row r="835" spans="1:26" ht="15.75">
      <c r="A835" s="7"/>
      <c r="B835" s="7"/>
      <c r="C835" s="6"/>
      <c r="D835" s="6"/>
      <c r="E835" s="6"/>
      <c r="F835" s="6"/>
      <c r="G835" s="7"/>
      <c r="H835" s="7"/>
      <c r="I835" s="7"/>
      <c r="J835" s="7"/>
      <c r="K835" s="7"/>
      <c r="L835" s="6"/>
      <c r="M835" s="10"/>
      <c r="N835" s="10"/>
      <c r="O835" s="10"/>
      <c r="P835" s="6"/>
      <c r="Q835" s="10"/>
      <c r="R835" s="6"/>
      <c r="S835" s="6"/>
      <c r="T835" s="6"/>
      <c r="U835" s="10"/>
      <c r="V835" s="6"/>
      <c r="W835" s="10"/>
      <c r="X835" s="10"/>
      <c r="Y835" s="4"/>
      <c r="Z835" s="4"/>
    </row>
    <row r="836" spans="1:26" ht="15.75">
      <c r="A836" s="7"/>
      <c r="B836" s="7"/>
      <c r="C836" s="6"/>
      <c r="D836" s="6"/>
      <c r="E836" s="6"/>
      <c r="F836" s="6"/>
      <c r="G836" s="7"/>
      <c r="H836" s="7"/>
      <c r="I836" s="7"/>
      <c r="J836" s="7"/>
      <c r="K836" s="7"/>
      <c r="L836" s="6"/>
      <c r="M836" s="10"/>
      <c r="N836" s="10"/>
      <c r="O836" s="10"/>
      <c r="P836" s="6"/>
      <c r="Q836" s="10"/>
      <c r="R836" s="6"/>
      <c r="S836" s="6"/>
      <c r="T836" s="6"/>
      <c r="U836" s="10"/>
      <c r="V836" s="6"/>
      <c r="W836" s="10"/>
      <c r="X836" s="10"/>
      <c r="Y836" s="4"/>
      <c r="Z836" s="4"/>
    </row>
    <row r="837" spans="1:26" ht="15.75">
      <c r="A837" s="7"/>
      <c r="B837" s="7"/>
      <c r="C837" s="6"/>
      <c r="D837" s="6"/>
      <c r="E837" s="6"/>
      <c r="F837" s="6"/>
      <c r="G837" s="7"/>
      <c r="H837" s="7"/>
      <c r="I837" s="7"/>
      <c r="J837" s="7"/>
      <c r="K837" s="7"/>
      <c r="L837" s="6"/>
      <c r="M837" s="10"/>
      <c r="N837" s="10"/>
      <c r="O837" s="10"/>
      <c r="P837" s="6"/>
      <c r="Q837" s="10"/>
      <c r="R837" s="6"/>
      <c r="S837" s="6"/>
      <c r="T837" s="6"/>
      <c r="U837" s="10"/>
      <c r="V837" s="6"/>
      <c r="W837" s="10"/>
      <c r="X837" s="10"/>
      <c r="Y837" s="4"/>
      <c r="Z837" s="4"/>
    </row>
    <row r="838" spans="1:26" ht="15.75">
      <c r="A838" s="7"/>
      <c r="B838" s="7"/>
      <c r="C838" s="6"/>
      <c r="D838" s="6"/>
      <c r="E838" s="6"/>
      <c r="F838" s="6"/>
      <c r="G838" s="7"/>
      <c r="H838" s="7"/>
      <c r="I838" s="7"/>
      <c r="J838" s="7"/>
      <c r="K838" s="7"/>
      <c r="L838" s="6"/>
      <c r="M838" s="10"/>
      <c r="N838" s="10"/>
      <c r="O838" s="10"/>
      <c r="P838" s="6"/>
      <c r="Q838" s="10"/>
      <c r="R838" s="6"/>
      <c r="S838" s="6"/>
      <c r="T838" s="6"/>
      <c r="U838" s="10"/>
      <c r="V838" s="6"/>
      <c r="W838" s="10"/>
      <c r="X838" s="10"/>
      <c r="Y838" s="4"/>
      <c r="Z838" s="4"/>
    </row>
    <row r="839" spans="1:26" ht="15.75">
      <c r="A839" s="7"/>
      <c r="B839" s="7"/>
      <c r="C839" s="6"/>
      <c r="D839" s="6"/>
      <c r="E839" s="6"/>
      <c r="F839" s="6"/>
      <c r="G839" s="7"/>
      <c r="H839" s="7"/>
      <c r="I839" s="7"/>
      <c r="J839" s="7"/>
      <c r="K839" s="7"/>
      <c r="L839" s="6"/>
      <c r="M839" s="10"/>
      <c r="N839" s="10"/>
      <c r="O839" s="10"/>
      <c r="P839" s="6"/>
      <c r="Q839" s="10"/>
      <c r="R839" s="6"/>
      <c r="S839" s="6"/>
      <c r="T839" s="6"/>
      <c r="U839" s="10"/>
      <c r="V839" s="6"/>
      <c r="W839" s="10"/>
      <c r="X839" s="10"/>
      <c r="Y839" s="4"/>
      <c r="Z839" s="4"/>
    </row>
    <row r="840" spans="1:26" ht="15.75">
      <c r="A840" s="7"/>
      <c r="B840" s="7"/>
      <c r="C840" s="6"/>
      <c r="D840" s="6"/>
      <c r="E840" s="6"/>
      <c r="F840" s="6"/>
      <c r="G840" s="7"/>
      <c r="H840" s="7"/>
      <c r="I840" s="7"/>
      <c r="J840" s="7"/>
      <c r="K840" s="7"/>
      <c r="L840" s="6"/>
      <c r="M840" s="10"/>
      <c r="N840" s="10"/>
      <c r="O840" s="10"/>
      <c r="P840" s="6"/>
      <c r="Q840" s="10"/>
      <c r="R840" s="6"/>
      <c r="S840" s="6"/>
      <c r="T840" s="6"/>
      <c r="U840" s="10"/>
      <c r="V840" s="6"/>
      <c r="W840" s="10"/>
      <c r="X840" s="10"/>
      <c r="Y840" s="4"/>
      <c r="Z840" s="4"/>
    </row>
    <row r="841" spans="1:26" ht="15.75">
      <c r="A841" s="7"/>
      <c r="B841" s="7"/>
      <c r="C841" s="6"/>
      <c r="D841" s="6"/>
      <c r="E841" s="6"/>
      <c r="F841" s="6"/>
      <c r="G841" s="7"/>
      <c r="H841" s="7"/>
      <c r="I841" s="7"/>
      <c r="J841" s="7"/>
      <c r="K841" s="7"/>
      <c r="L841" s="6"/>
      <c r="M841" s="10"/>
      <c r="N841" s="10"/>
      <c r="O841" s="10"/>
      <c r="P841" s="6"/>
      <c r="Q841" s="10"/>
      <c r="R841" s="6"/>
      <c r="S841" s="6"/>
      <c r="T841" s="6"/>
      <c r="U841" s="10"/>
      <c r="V841" s="6"/>
      <c r="W841" s="10"/>
      <c r="X841" s="10"/>
      <c r="Y841" s="4"/>
      <c r="Z841" s="4"/>
    </row>
    <row r="842" spans="1:26" ht="15.75">
      <c r="A842" s="7"/>
      <c r="B842" s="7"/>
      <c r="C842" s="6"/>
      <c r="D842" s="6"/>
      <c r="E842" s="6"/>
      <c r="F842" s="6"/>
      <c r="G842" s="7"/>
      <c r="H842" s="7"/>
      <c r="I842" s="7"/>
      <c r="J842" s="7"/>
      <c r="K842" s="7"/>
      <c r="L842" s="6"/>
      <c r="M842" s="10"/>
      <c r="N842" s="10"/>
      <c r="O842" s="10"/>
      <c r="P842" s="6"/>
      <c r="Q842" s="10"/>
      <c r="R842" s="6"/>
      <c r="S842" s="6"/>
      <c r="T842" s="6"/>
      <c r="U842" s="10"/>
      <c r="V842" s="6"/>
      <c r="W842" s="10"/>
      <c r="X842" s="10"/>
      <c r="Y842" s="4"/>
      <c r="Z842" s="4"/>
    </row>
    <row r="843" spans="1:26" ht="15.75">
      <c r="A843" s="7"/>
      <c r="B843" s="7"/>
      <c r="C843" s="6"/>
      <c r="D843" s="6"/>
      <c r="E843" s="6"/>
      <c r="F843" s="6"/>
      <c r="G843" s="7"/>
      <c r="H843" s="7"/>
      <c r="I843" s="7"/>
      <c r="J843" s="7"/>
      <c r="K843" s="7"/>
      <c r="L843" s="6"/>
      <c r="M843" s="10"/>
      <c r="N843" s="10"/>
      <c r="O843" s="10"/>
      <c r="P843" s="6"/>
      <c r="Q843" s="10"/>
      <c r="R843" s="6"/>
      <c r="S843" s="6"/>
      <c r="T843" s="6"/>
      <c r="U843" s="10"/>
      <c r="V843" s="6"/>
      <c r="W843" s="10"/>
      <c r="X843" s="10"/>
      <c r="Y843" s="4"/>
      <c r="Z843" s="4"/>
    </row>
    <row r="844" spans="1:26" ht="15.75">
      <c r="A844" s="7"/>
      <c r="B844" s="7"/>
      <c r="C844" s="6"/>
      <c r="D844" s="6"/>
      <c r="E844" s="6"/>
      <c r="F844" s="6"/>
      <c r="G844" s="7"/>
      <c r="H844" s="7"/>
      <c r="I844" s="7"/>
      <c r="J844" s="7"/>
      <c r="K844" s="7"/>
      <c r="L844" s="6"/>
      <c r="M844" s="10"/>
      <c r="N844" s="10"/>
      <c r="O844" s="10"/>
      <c r="P844" s="6"/>
      <c r="Q844" s="10"/>
      <c r="R844" s="6"/>
      <c r="S844" s="6"/>
      <c r="T844" s="6"/>
      <c r="U844" s="10"/>
      <c r="V844" s="6"/>
      <c r="W844" s="10"/>
      <c r="X844" s="10"/>
      <c r="Y844" s="4"/>
      <c r="Z844" s="4"/>
    </row>
    <row r="845" spans="1:26" ht="15.75">
      <c r="A845" s="7"/>
      <c r="B845" s="7"/>
      <c r="C845" s="6"/>
      <c r="D845" s="6"/>
      <c r="E845" s="6"/>
      <c r="F845" s="6"/>
      <c r="G845" s="7"/>
      <c r="H845" s="7"/>
      <c r="I845" s="7"/>
      <c r="J845" s="7"/>
      <c r="K845" s="7"/>
      <c r="L845" s="6"/>
      <c r="M845" s="10"/>
      <c r="N845" s="10"/>
      <c r="O845" s="10"/>
      <c r="P845" s="6"/>
      <c r="Q845" s="10"/>
      <c r="R845" s="6"/>
      <c r="S845" s="6"/>
      <c r="T845" s="6"/>
      <c r="U845" s="10"/>
      <c r="V845" s="6"/>
      <c r="W845" s="10"/>
      <c r="X845" s="10"/>
      <c r="Y845" s="4"/>
      <c r="Z845" s="4"/>
    </row>
    <row r="846" spans="1:26" ht="15.75">
      <c r="A846" s="7"/>
      <c r="B846" s="7"/>
      <c r="C846" s="6"/>
      <c r="D846" s="6"/>
      <c r="E846" s="6"/>
      <c r="F846" s="6"/>
      <c r="G846" s="7"/>
      <c r="H846" s="7"/>
      <c r="I846" s="7"/>
      <c r="J846" s="7"/>
      <c r="K846" s="7"/>
      <c r="L846" s="6"/>
      <c r="M846" s="10"/>
      <c r="N846" s="10"/>
      <c r="O846" s="10"/>
      <c r="P846" s="6"/>
      <c r="Q846" s="10"/>
      <c r="R846" s="6"/>
      <c r="S846" s="6"/>
      <c r="T846" s="6"/>
      <c r="U846" s="10"/>
      <c r="V846" s="6"/>
      <c r="W846" s="10"/>
      <c r="X846" s="10"/>
      <c r="Y846" s="4"/>
      <c r="Z846" s="4"/>
    </row>
    <row r="847" spans="1:26" ht="15.75">
      <c r="A847" s="7"/>
      <c r="B847" s="7"/>
      <c r="C847" s="6"/>
      <c r="D847" s="6"/>
      <c r="E847" s="6"/>
      <c r="F847" s="6"/>
      <c r="G847" s="7"/>
      <c r="H847" s="7"/>
      <c r="I847" s="7"/>
      <c r="J847" s="7"/>
      <c r="K847" s="7"/>
      <c r="L847" s="6"/>
      <c r="M847" s="10"/>
      <c r="N847" s="10"/>
      <c r="O847" s="10"/>
      <c r="P847" s="6"/>
      <c r="Q847" s="10"/>
      <c r="R847" s="6"/>
      <c r="S847" s="6"/>
      <c r="T847" s="6"/>
      <c r="U847" s="10"/>
      <c r="V847" s="6"/>
      <c r="W847" s="10"/>
      <c r="X847" s="10"/>
      <c r="Y847" s="4"/>
      <c r="Z847" s="4"/>
    </row>
    <row r="848" spans="1:26" ht="15.75">
      <c r="A848" s="7"/>
      <c r="B848" s="7"/>
      <c r="C848" s="6"/>
      <c r="D848" s="6"/>
      <c r="E848" s="6"/>
      <c r="F848" s="6"/>
      <c r="G848" s="7"/>
      <c r="H848" s="7"/>
      <c r="I848" s="7"/>
      <c r="J848" s="7"/>
      <c r="K848" s="7"/>
      <c r="L848" s="6"/>
      <c r="M848" s="10"/>
      <c r="N848" s="10"/>
      <c r="O848" s="10"/>
      <c r="P848" s="6"/>
      <c r="Q848" s="10"/>
      <c r="R848" s="6"/>
      <c r="S848" s="6"/>
      <c r="T848" s="6"/>
      <c r="U848" s="10"/>
      <c r="V848" s="6"/>
      <c r="W848" s="10"/>
      <c r="X848" s="10"/>
      <c r="Y848" s="4"/>
      <c r="Z848" s="4"/>
    </row>
    <row r="849" spans="1:26" ht="15.75">
      <c r="A849" s="7"/>
      <c r="B849" s="7"/>
      <c r="C849" s="6"/>
      <c r="D849" s="6"/>
      <c r="E849" s="6"/>
      <c r="F849" s="6"/>
      <c r="G849" s="7"/>
      <c r="H849" s="7"/>
      <c r="I849" s="7"/>
      <c r="J849" s="7"/>
      <c r="K849" s="7"/>
      <c r="L849" s="6"/>
      <c r="M849" s="10"/>
      <c r="N849" s="10"/>
      <c r="O849" s="10"/>
      <c r="P849" s="6"/>
      <c r="Q849" s="10"/>
      <c r="R849" s="6"/>
      <c r="S849" s="6"/>
      <c r="T849" s="6"/>
      <c r="U849" s="10"/>
      <c r="V849" s="6"/>
      <c r="W849" s="10"/>
      <c r="X849" s="10"/>
      <c r="Y849" s="4"/>
      <c r="Z849" s="4"/>
    </row>
    <row r="850" spans="1:26" ht="15.75">
      <c r="A850" s="7"/>
      <c r="B850" s="7"/>
      <c r="C850" s="6"/>
      <c r="D850" s="6"/>
      <c r="E850" s="6"/>
      <c r="F850" s="6"/>
      <c r="G850" s="7"/>
      <c r="H850" s="7"/>
      <c r="I850" s="7"/>
      <c r="J850" s="7"/>
      <c r="K850" s="7"/>
      <c r="L850" s="6"/>
      <c r="M850" s="10"/>
      <c r="N850" s="10"/>
      <c r="O850" s="10"/>
      <c r="P850" s="6"/>
      <c r="Q850" s="10"/>
      <c r="R850" s="6"/>
      <c r="S850" s="6"/>
      <c r="T850" s="6"/>
      <c r="U850" s="10"/>
      <c r="V850" s="6"/>
      <c r="W850" s="10"/>
      <c r="X850" s="10"/>
      <c r="Y850" s="4"/>
      <c r="Z850" s="4"/>
    </row>
    <row r="851" spans="1:26" ht="15.75">
      <c r="A851" s="7"/>
      <c r="B851" s="7"/>
      <c r="C851" s="6"/>
      <c r="D851" s="6"/>
      <c r="E851" s="6"/>
      <c r="F851" s="6"/>
      <c r="G851" s="7"/>
      <c r="H851" s="7"/>
      <c r="I851" s="7"/>
      <c r="J851" s="7"/>
      <c r="K851" s="7"/>
      <c r="L851" s="6"/>
      <c r="M851" s="10"/>
      <c r="N851" s="10"/>
      <c r="O851" s="10"/>
      <c r="P851" s="6"/>
      <c r="Q851" s="10"/>
      <c r="R851" s="6"/>
      <c r="S851" s="6"/>
      <c r="T851" s="6"/>
      <c r="U851" s="10"/>
      <c r="V851" s="6"/>
      <c r="W851" s="10"/>
      <c r="X851" s="10"/>
      <c r="Y851" s="4"/>
      <c r="Z851" s="4"/>
    </row>
    <row r="852" spans="1:26" ht="15.75">
      <c r="A852" s="7"/>
      <c r="B852" s="7"/>
      <c r="C852" s="6"/>
      <c r="D852" s="6"/>
      <c r="E852" s="6"/>
      <c r="F852" s="6"/>
      <c r="G852" s="7"/>
      <c r="H852" s="7"/>
      <c r="I852" s="7"/>
      <c r="J852" s="7"/>
      <c r="K852" s="7"/>
      <c r="L852" s="6"/>
      <c r="M852" s="10"/>
      <c r="N852" s="10"/>
      <c r="O852" s="10"/>
      <c r="P852" s="6"/>
      <c r="Q852" s="10"/>
      <c r="R852" s="6"/>
      <c r="S852" s="6"/>
      <c r="T852" s="6"/>
      <c r="U852" s="10"/>
      <c r="V852" s="6"/>
      <c r="W852" s="10"/>
      <c r="X852" s="10"/>
      <c r="Y852" s="4"/>
      <c r="Z852" s="4"/>
    </row>
    <row r="853" spans="1:26" ht="15.75">
      <c r="A853" s="7"/>
      <c r="B853" s="7"/>
      <c r="C853" s="6"/>
      <c r="D853" s="6"/>
      <c r="E853" s="6"/>
      <c r="F853" s="6"/>
      <c r="G853" s="7"/>
      <c r="H853" s="7"/>
      <c r="I853" s="7"/>
      <c r="J853" s="7"/>
      <c r="K853" s="7"/>
      <c r="L853" s="6"/>
      <c r="M853" s="10"/>
      <c r="N853" s="10"/>
      <c r="O853" s="10"/>
      <c r="P853" s="6"/>
      <c r="Q853" s="10"/>
      <c r="R853" s="6"/>
      <c r="S853" s="6"/>
      <c r="T853" s="6"/>
      <c r="U853" s="10"/>
      <c r="V853" s="6"/>
      <c r="W853" s="10"/>
      <c r="X853" s="10"/>
      <c r="Y853" s="4"/>
      <c r="Z853" s="4"/>
    </row>
    <row r="854" spans="1:26" ht="15.75">
      <c r="A854" s="7"/>
      <c r="B854" s="7"/>
      <c r="C854" s="6"/>
      <c r="D854" s="6"/>
      <c r="E854" s="6"/>
      <c r="F854" s="6"/>
      <c r="G854" s="7"/>
      <c r="H854" s="7"/>
      <c r="I854" s="7"/>
      <c r="J854" s="7"/>
      <c r="K854" s="7"/>
      <c r="L854" s="6"/>
      <c r="M854" s="10"/>
      <c r="N854" s="10"/>
      <c r="O854" s="10"/>
      <c r="P854" s="6"/>
      <c r="Q854" s="10"/>
      <c r="R854" s="6"/>
      <c r="S854" s="6"/>
      <c r="T854" s="6"/>
      <c r="U854" s="10"/>
      <c r="V854" s="6"/>
      <c r="W854" s="10"/>
      <c r="X854" s="10"/>
      <c r="Y854" s="4"/>
      <c r="Z854" s="4"/>
    </row>
    <row r="855" spans="1:26" ht="15.75">
      <c r="A855" s="7"/>
      <c r="B855" s="7"/>
      <c r="C855" s="6"/>
      <c r="D855" s="6"/>
      <c r="E855" s="6"/>
      <c r="F855" s="6"/>
      <c r="G855" s="7"/>
      <c r="H855" s="7"/>
      <c r="I855" s="7"/>
      <c r="J855" s="7"/>
      <c r="K855" s="7"/>
      <c r="L855" s="6"/>
      <c r="M855" s="10"/>
      <c r="N855" s="10"/>
      <c r="O855" s="10"/>
      <c r="P855" s="6"/>
      <c r="Q855" s="10"/>
      <c r="R855" s="6"/>
      <c r="S855" s="6"/>
      <c r="T855" s="6"/>
      <c r="U855" s="10"/>
      <c r="V855" s="6"/>
      <c r="W855" s="10"/>
      <c r="X855" s="10"/>
      <c r="Y855" s="4"/>
      <c r="Z855" s="4"/>
    </row>
    <row r="856" spans="1:26" ht="15.75">
      <c r="A856" s="7"/>
      <c r="B856" s="7"/>
      <c r="C856" s="6"/>
      <c r="D856" s="6"/>
      <c r="E856" s="6"/>
      <c r="F856" s="6"/>
      <c r="G856" s="7"/>
      <c r="H856" s="7"/>
      <c r="I856" s="7"/>
      <c r="J856" s="7"/>
      <c r="K856" s="7"/>
      <c r="L856" s="6"/>
      <c r="M856" s="10"/>
      <c r="N856" s="10"/>
      <c r="O856" s="10"/>
      <c r="P856" s="6"/>
      <c r="Q856" s="10"/>
      <c r="R856" s="6"/>
      <c r="S856" s="6"/>
      <c r="T856" s="6"/>
      <c r="U856" s="10"/>
      <c r="V856" s="6"/>
      <c r="W856" s="10"/>
      <c r="X856" s="10"/>
      <c r="Y856" s="4"/>
      <c r="Z856" s="4"/>
    </row>
    <row r="857" spans="1:26" ht="15.75">
      <c r="A857" s="7"/>
      <c r="B857" s="7"/>
      <c r="C857" s="6"/>
      <c r="D857" s="6"/>
      <c r="E857" s="6"/>
      <c r="F857" s="6"/>
      <c r="G857" s="7"/>
      <c r="H857" s="7"/>
      <c r="I857" s="7"/>
      <c r="J857" s="7"/>
      <c r="K857" s="7"/>
      <c r="L857" s="6"/>
      <c r="M857" s="10"/>
      <c r="N857" s="10"/>
      <c r="O857" s="10"/>
      <c r="P857" s="6"/>
      <c r="Q857" s="10"/>
      <c r="R857" s="6"/>
      <c r="S857" s="6"/>
      <c r="T857" s="6"/>
      <c r="U857" s="10"/>
      <c r="V857" s="6"/>
      <c r="W857" s="10"/>
      <c r="X857" s="10"/>
      <c r="Y857" s="4"/>
      <c r="Z857" s="4"/>
    </row>
    <row r="858" spans="1:26" ht="15.75">
      <c r="A858" s="7"/>
      <c r="B858" s="7"/>
      <c r="C858" s="6"/>
      <c r="D858" s="6"/>
      <c r="E858" s="6"/>
      <c r="F858" s="6"/>
      <c r="G858" s="7"/>
      <c r="H858" s="7"/>
      <c r="I858" s="7"/>
      <c r="J858" s="7"/>
      <c r="K858" s="7"/>
      <c r="L858" s="6"/>
      <c r="M858" s="10"/>
      <c r="N858" s="10"/>
      <c r="O858" s="10"/>
      <c r="P858" s="6"/>
      <c r="Q858" s="10"/>
      <c r="R858" s="6"/>
      <c r="S858" s="6"/>
      <c r="T858" s="6"/>
      <c r="U858" s="10"/>
      <c r="V858" s="6"/>
      <c r="W858" s="10"/>
      <c r="X858" s="10"/>
      <c r="Y858" s="4"/>
      <c r="Z858" s="4"/>
    </row>
    <row r="859" spans="1:26" ht="15.75">
      <c r="A859" s="7"/>
      <c r="B859" s="7"/>
      <c r="C859" s="6"/>
      <c r="D859" s="6"/>
      <c r="E859" s="6"/>
      <c r="F859" s="6"/>
      <c r="G859" s="7"/>
      <c r="H859" s="7"/>
      <c r="I859" s="7"/>
      <c r="J859" s="7"/>
      <c r="K859" s="7"/>
      <c r="L859" s="6"/>
      <c r="M859" s="10"/>
      <c r="N859" s="10"/>
      <c r="O859" s="10"/>
      <c r="P859" s="6"/>
      <c r="Q859" s="10"/>
      <c r="R859" s="6"/>
      <c r="S859" s="6"/>
      <c r="T859" s="6"/>
      <c r="U859" s="10"/>
      <c r="V859" s="6"/>
      <c r="W859" s="10"/>
      <c r="X859" s="10"/>
      <c r="Y859" s="4"/>
      <c r="Z859" s="4"/>
    </row>
    <row r="860" spans="1:26" ht="15.75">
      <c r="A860" s="7"/>
      <c r="B860" s="7"/>
      <c r="C860" s="6"/>
      <c r="D860" s="6"/>
      <c r="E860" s="6"/>
      <c r="F860" s="6"/>
      <c r="G860" s="7"/>
      <c r="H860" s="7"/>
      <c r="I860" s="7"/>
      <c r="J860" s="7"/>
      <c r="K860" s="7"/>
      <c r="L860" s="6"/>
      <c r="M860" s="10"/>
      <c r="N860" s="10"/>
      <c r="O860" s="10"/>
      <c r="P860" s="6"/>
      <c r="Q860" s="10"/>
      <c r="R860" s="6"/>
      <c r="S860" s="6"/>
      <c r="T860" s="6"/>
      <c r="U860" s="10"/>
      <c r="V860" s="6"/>
      <c r="W860" s="10"/>
      <c r="X860" s="10"/>
      <c r="Y860" s="4"/>
      <c r="Z860" s="4"/>
    </row>
    <row r="861" spans="1:26" ht="15.75">
      <c r="A861" s="7"/>
      <c r="B861" s="7"/>
      <c r="C861" s="6"/>
      <c r="D861" s="6"/>
      <c r="E861" s="6"/>
      <c r="F861" s="6"/>
      <c r="G861" s="7"/>
      <c r="H861" s="7"/>
      <c r="I861" s="7"/>
      <c r="J861" s="7"/>
      <c r="K861" s="7"/>
      <c r="L861" s="6"/>
      <c r="M861" s="10"/>
      <c r="N861" s="10"/>
      <c r="O861" s="10"/>
      <c r="P861" s="6"/>
      <c r="Q861" s="10"/>
      <c r="R861" s="6"/>
      <c r="S861" s="6"/>
      <c r="T861" s="6"/>
      <c r="U861" s="10"/>
      <c r="V861" s="6"/>
      <c r="W861" s="10"/>
      <c r="X861" s="10"/>
      <c r="Y861" s="4"/>
      <c r="Z861" s="4"/>
    </row>
    <row r="862" spans="1:26" ht="15.75">
      <c r="A862" s="7"/>
      <c r="B862" s="7"/>
      <c r="C862" s="6"/>
      <c r="D862" s="6"/>
      <c r="E862" s="6"/>
      <c r="F862" s="6"/>
      <c r="G862" s="7"/>
      <c r="H862" s="7"/>
      <c r="I862" s="7"/>
      <c r="J862" s="7"/>
      <c r="K862" s="7"/>
      <c r="L862" s="6"/>
      <c r="M862" s="10"/>
      <c r="N862" s="10"/>
      <c r="O862" s="10"/>
      <c r="P862" s="6"/>
      <c r="Q862" s="10"/>
      <c r="R862" s="6"/>
      <c r="S862" s="6"/>
      <c r="T862" s="6"/>
      <c r="U862" s="10"/>
      <c r="V862" s="6"/>
      <c r="W862" s="10"/>
      <c r="X862" s="10"/>
      <c r="Y862" s="4"/>
      <c r="Z862" s="4"/>
    </row>
    <row r="863" spans="1:26" ht="15.75">
      <c r="A863" s="7"/>
      <c r="B863" s="7"/>
      <c r="C863" s="6"/>
      <c r="D863" s="6"/>
      <c r="E863" s="6"/>
      <c r="F863" s="6"/>
      <c r="G863" s="7"/>
      <c r="H863" s="7"/>
      <c r="I863" s="7"/>
      <c r="J863" s="7"/>
      <c r="K863" s="7"/>
      <c r="L863" s="6"/>
      <c r="M863" s="10"/>
      <c r="N863" s="10"/>
      <c r="O863" s="10"/>
      <c r="P863" s="6"/>
      <c r="Q863" s="10"/>
      <c r="R863" s="6"/>
      <c r="S863" s="6"/>
      <c r="T863" s="6"/>
      <c r="U863" s="10"/>
      <c r="V863" s="6"/>
      <c r="W863" s="10"/>
      <c r="X863" s="10"/>
      <c r="Y863" s="4"/>
      <c r="Z863" s="4"/>
    </row>
    <row r="864" spans="1:26" ht="15.75">
      <c r="A864" s="7"/>
      <c r="B864" s="7"/>
      <c r="C864" s="6"/>
      <c r="D864" s="6"/>
      <c r="E864" s="6"/>
      <c r="F864" s="6"/>
      <c r="G864" s="7"/>
      <c r="H864" s="7"/>
      <c r="I864" s="7"/>
      <c r="J864" s="7"/>
      <c r="K864" s="7"/>
      <c r="L864" s="6"/>
      <c r="M864" s="10"/>
      <c r="N864" s="10"/>
      <c r="O864" s="10"/>
      <c r="P864" s="6"/>
      <c r="Q864" s="10"/>
      <c r="R864" s="6"/>
      <c r="S864" s="6"/>
      <c r="T864" s="6"/>
      <c r="U864" s="10"/>
      <c r="V864" s="6"/>
      <c r="W864" s="10"/>
      <c r="X864" s="10"/>
      <c r="Y864" s="4"/>
      <c r="Z864" s="4"/>
    </row>
    <row r="865" spans="1:26" ht="15.75">
      <c r="A865" s="7"/>
      <c r="B865" s="7"/>
      <c r="C865" s="6"/>
      <c r="D865" s="6"/>
      <c r="E865" s="6"/>
      <c r="F865" s="6"/>
      <c r="G865" s="7"/>
      <c r="H865" s="7"/>
      <c r="I865" s="7"/>
      <c r="J865" s="7"/>
      <c r="K865" s="7"/>
      <c r="L865" s="6"/>
      <c r="M865" s="10"/>
      <c r="N865" s="10"/>
      <c r="O865" s="10"/>
      <c r="P865" s="6"/>
      <c r="Q865" s="10"/>
      <c r="R865" s="6"/>
      <c r="S865" s="6"/>
      <c r="T865" s="6"/>
      <c r="U865" s="10"/>
      <c r="V865" s="6"/>
      <c r="W865" s="10"/>
      <c r="X865" s="10"/>
      <c r="Y865" s="4"/>
      <c r="Z865" s="4"/>
    </row>
    <row r="866" spans="1:26" ht="15.75">
      <c r="A866" s="7"/>
      <c r="B866" s="7"/>
      <c r="C866" s="6"/>
      <c r="D866" s="6"/>
      <c r="E866" s="6"/>
      <c r="F866" s="6"/>
      <c r="G866" s="7"/>
      <c r="H866" s="7"/>
      <c r="I866" s="7"/>
      <c r="J866" s="7"/>
      <c r="K866" s="7"/>
      <c r="L866" s="6"/>
      <c r="M866" s="10"/>
      <c r="N866" s="10"/>
      <c r="O866" s="10"/>
      <c r="P866" s="6"/>
      <c r="Q866" s="10"/>
      <c r="R866" s="6"/>
      <c r="S866" s="6"/>
      <c r="T866" s="6"/>
      <c r="U866" s="10"/>
      <c r="V866" s="6"/>
      <c r="W866" s="10"/>
      <c r="X866" s="10"/>
      <c r="Y866" s="4"/>
      <c r="Z866" s="4"/>
    </row>
    <row r="867" spans="1:26" ht="15.75">
      <c r="A867" s="7"/>
      <c r="B867" s="7"/>
      <c r="C867" s="6"/>
      <c r="D867" s="6"/>
      <c r="E867" s="6"/>
      <c r="F867" s="6"/>
      <c r="G867" s="7"/>
      <c r="H867" s="7"/>
      <c r="I867" s="7"/>
      <c r="J867" s="7"/>
      <c r="K867" s="7"/>
      <c r="L867" s="6"/>
      <c r="M867" s="10"/>
      <c r="N867" s="10"/>
      <c r="O867" s="10"/>
      <c r="P867" s="6"/>
      <c r="Q867" s="10"/>
      <c r="R867" s="6"/>
      <c r="S867" s="6"/>
      <c r="T867" s="6"/>
      <c r="U867" s="10"/>
      <c r="V867" s="6"/>
      <c r="W867" s="10"/>
      <c r="X867" s="10"/>
      <c r="Y867" s="4"/>
      <c r="Z867" s="4"/>
    </row>
    <row r="868" spans="1:26" ht="15.75">
      <c r="A868" s="7"/>
      <c r="B868" s="7"/>
      <c r="C868" s="6"/>
      <c r="D868" s="6"/>
      <c r="E868" s="6"/>
      <c r="F868" s="6"/>
      <c r="G868" s="7"/>
      <c r="H868" s="7"/>
      <c r="I868" s="7"/>
      <c r="J868" s="7"/>
      <c r="K868" s="7"/>
      <c r="L868" s="6"/>
      <c r="M868" s="10"/>
      <c r="N868" s="10"/>
      <c r="O868" s="10"/>
      <c r="P868" s="6"/>
      <c r="Q868" s="10"/>
      <c r="R868" s="6"/>
      <c r="S868" s="6"/>
      <c r="T868" s="6"/>
      <c r="U868" s="10"/>
      <c r="V868" s="6"/>
      <c r="W868" s="10"/>
      <c r="X868" s="10"/>
      <c r="Y868" s="4"/>
      <c r="Z868" s="4"/>
    </row>
    <row r="869" spans="1:26" ht="15.75">
      <c r="A869" s="7"/>
      <c r="B869" s="7"/>
      <c r="C869" s="6"/>
      <c r="D869" s="6"/>
      <c r="E869" s="6"/>
      <c r="F869" s="6"/>
      <c r="G869" s="7"/>
      <c r="H869" s="7"/>
      <c r="I869" s="7"/>
      <c r="J869" s="7"/>
      <c r="K869" s="7"/>
      <c r="L869" s="6"/>
      <c r="M869" s="10"/>
      <c r="N869" s="10"/>
      <c r="O869" s="10"/>
      <c r="P869" s="6"/>
      <c r="Q869" s="10"/>
      <c r="R869" s="6"/>
      <c r="S869" s="6"/>
      <c r="T869" s="6"/>
      <c r="U869" s="10"/>
      <c r="V869" s="6"/>
      <c r="W869" s="10"/>
      <c r="X869" s="10"/>
      <c r="Y869" s="4"/>
      <c r="Z869" s="4"/>
    </row>
    <row r="870" spans="1:26" ht="15.75">
      <c r="A870" s="7"/>
      <c r="B870" s="7"/>
      <c r="C870" s="6"/>
      <c r="D870" s="6"/>
      <c r="E870" s="6"/>
      <c r="F870" s="6"/>
      <c r="G870" s="7"/>
      <c r="H870" s="7"/>
      <c r="I870" s="7"/>
      <c r="J870" s="7"/>
      <c r="K870" s="7"/>
      <c r="L870" s="6"/>
      <c r="M870" s="10"/>
      <c r="N870" s="10"/>
      <c r="O870" s="10"/>
      <c r="P870" s="6"/>
      <c r="Q870" s="10"/>
      <c r="R870" s="6"/>
      <c r="S870" s="6"/>
      <c r="T870" s="6"/>
      <c r="U870" s="10"/>
      <c r="V870" s="6"/>
      <c r="W870" s="10"/>
      <c r="X870" s="10"/>
      <c r="Y870" s="4"/>
      <c r="Z870" s="4"/>
    </row>
    <row r="871" spans="1:26" ht="15.75">
      <c r="A871" s="7"/>
      <c r="B871" s="7"/>
      <c r="C871" s="6"/>
      <c r="D871" s="6"/>
      <c r="E871" s="6"/>
      <c r="F871" s="6"/>
      <c r="G871" s="7"/>
      <c r="H871" s="7"/>
      <c r="I871" s="7"/>
      <c r="J871" s="7"/>
      <c r="K871" s="7"/>
      <c r="L871" s="6"/>
      <c r="M871" s="10"/>
      <c r="N871" s="10"/>
      <c r="O871" s="10"/>
      <c r="P871" s="6"/>
      <c r="Q871" s="10"/>
      <c r="R871" s="6"/>
      <c r="S871" s="6"/>
      <c r="T871" s="6"/>
      <c r="U871" s="10"/>
      <c r="V871" s="6"/>
      <c r="W871" s="10"/>
      <c r="X871" s="10"/>
      <c r="Y871" s="4"/>
      <c r="Z871" s="4"/>
    </row>
    <row r="872" spans="1:26" ht="15.75">
      <c r="A872" s="7"/>
      <c r="B872" s="7"/>
      <c r="C872" s="6"/>
      <c r="D872" s="6"/>
      <c r="E872" s="6"/>
      <c r="F872" s="6"/>
      <c r="G872" s="7"/>
      <c r="H872" s="7"/>
      <c r="I872" s="7"/>
      <c r="J872" s="7"/>
      <c r="K872" s="7"/>
      <c r="L872" s="6"/>
      <c r="M872" s="10"/>
      <c r="N872" s="10"/>
      <c r="O872" s="10"/>
      <c r="P872" s="6"/>
      <c r="Q872" s="10"/>
      <c r="R872" s="6"/>
      <c r="S872" s="6"/>
      <c r="T872" s="6"/>
      <c r="U872" s="10"/>
      <c r="V872" s="6"/>
      <c r="W872" s="10"/>
      <c r="X872" s="10"/>
      <c r="Y872" s="4"/>
      <c r="Z872" s="4"/>
    </row>
    <row r="873" spans="1:26" ht="15.75">
      <c r="A873" s="7"/>
      <c r="B873" s="7"/>
      <c r="C873" s="6"/>
      <c r="D873" s="6"/>
      <c r="E873" s="6"/>
      <c r="F873" s="6"/>
      <c r="G873" s="7"/>
      <c r="H873" s="7"/>
      <c r="I873" s="7"/>
      <c r="J873" s="7"/>
      <c r="K873" s="7"/>
      <c r="L873" s="6"/>
      <c r="M873" s="10"/>
      <c r="N873" s="10"/>
      <c r="O873" s="10"/>
      <c r="P873" s="6"/>
      <c r="Q873" s="10"/>
      <c r="R873" s="6"/>
      <c r="S873" s="6"/>
      <c r="T873" s="6"/>
      <c r="U873" s="10"/>
      <c r="V873" s="6"/>
      <c r="W873" s="10"/>
      <c r="X873" s="10"/>
      <c r="Y873" s="4"/>
      <c r="Z873" s="4"/>
    </row>
    <row r="874" spans="1:26" ht="15.75">
      <c r="A874" s="7"/>
      <c r="B874" s="7"/>
      <c r="C874" s="6"/>
      <c r="D874" s="6"/>
      <c r="E874" s="6"/>
      <c r="F874" s="6"/>
      <c r="G874" s="7"/>
      <c r="H874" s="7"/>
      <c r="I874" s="7"/>
      <c r="J874" s="7"/>
      <c r="K874" s="7"/>
      <c r="L874" s="6"/>
      <c r="M874" s="10"/>
      <c r="N874" s="10"/>
      <c r="O874" s="10"/>
      <c r="P874" s="6"/>
      <c r="Q874" s="10"/>
      <c r="R874" s="6"/>
      <c r="S874" s="6"/>
      <c r="T874" s="6"/>
      <c r="U874" s="10"/>
      <c r="V874" s="6"/>
      <c r="W874" s="10"/>
      <c r="X874" s="10"/>
      <c r="Y874" s="4"/>
      <c r="Z874" s="4"/>
    </row>
    <row r="875" spans="1:26" ht="15.75">
      <c r="A875" s="7"/>
      <c r="B875" s="7"/>
      <c r="C875" s="6"/>
      <c r="D875" s="6"/>
      <c r="E875" s="6"/>
      <c r="F875" s="6"/>
      <c r="G875" s="7"/>
      <c r="H875" s="7"/>
      <c r="I875" s="7"/>
      <c r="J875" s="7"/>
      <c r="K875" s="7"/>
      <c r="L875" s="6"/>
      <c r="M875" s="10"/>
      <c r="N875" s="10"/>
      <c r="O875" s="10"/>
      <c r="P875" s="6"/>
      <c r="Q875" s="10"/>
      <c r="R875" s="6"/>
      <c r="S875" s="6"/>
      <c r="T875" s="6"/>
      <c r="U875" s="10"/>
      <c r="V875" s="6"/>
      <c r="W875" s="10"/>
      <c r="X875" s="10"/>
      <c r="Y875" s="4"/>
      <c r="Z875" s="4"/>
    </row>
    <row r="876" spans="1:26" ht="15.75">
      <c r="A876" s="7"/>
      <c r="B876" s="7"/>
      <c r="C876" s="6"/>
      <c r="D876" s="6"/>
      <c r="E876" s="6"/>
      <c r="F876" s="6"/>
      <c r="G876" s="7"/>
      <c r="H876" s="7"/>
      <c r="I876" s="7"/>
      <c r="J876" s="7"/>
      <c r="K876" s="7"/>
      <c r="L876" s="6"/>
      <c r="M876" s="10"/>
      <c r="N876" s="10"/>
      <c r="O876" s="10"/>
      <c r="P876" s="6"/>
      <c r="Q876" s="10"/>
      <c r="R876" s="6"/>
      <c r="S876" s="6"/>
      <c r="T876" s="6"/>
      <c r="U876" s="10"/>
      <c r="V876" s="6"/>
      <c r="W876" s="10"/>
      <c r="X876" s="10"/>
      <c r="Y876" s="4"/>
      <c r="Z876" s="4"/>
    </row>
    <row r="877" spans="1:26" ht="15.75">
      <c r="A877" s="7"/>
      <c r="B877" s="7"/>
      <c r="C877" s="6"/>
      <c r="D877" s="6"/>
      <c r="E877" s="6"/>
      <c r="F877" s="6"/>
      <c r="G877" s="7"/>
      <c r="H877" s="7"/>
      <c r="I877" s="7"/>
      <c r="J877" s="7"/>
      <c r="K877" s="7"/>
      <c r="L877" s="6"/>
      <c r="M877" s="10"/>
      <c r="N877" s="10"/>
      <c r="O877" s="10"/>
      <c r="P877" s="6"/>
      <c r="Q877" s="10"/>
      <c r="R877" s="6"/>
      <c r="S877" s="6"/>
      <c r="T877" s="6"/>
      <c r="U877" s="10"/>
      <c r="V877" s="6"/>
      <c r="W877" s="10"/>
      <c r="X877" s="10"/>
      <c r="Y877" s="4"/>
      <c r="Z877" s="4"/>
    </row>
    <row r="878" spans="1:26" ht="15.75">
      <c r="A878" s="7"/>
      <c r="B878" s="7"/>
      <c r="C878" s="6"/>
      <c r="D878" s="6"/>
      <c r="E878" s="6"/>
      <c r="F878" s="6"/>
      <c r="G878" s="7"/>
      <c r="H878" s="7"/>
      <c r="I878" s="7"/>
      <c r="J878" s="7"/>
      <c r="K878" s="7"/>
      <c r="L878" s="6"/>
      <c r="M878" s="10"/>
      <c r="N878" s="10"/>
      <c r="O878" s="10"/>
      <c r="P878" s="6"/>
      <c r="Q878" s="10"/>
      <c r="R878" s="6"/>
      <c r="S878" s="6"/>
      <c r="T878" s="6"/>
      <c r="U878" s="10"/>
      <c r="V878" s="6"/>
      <c r="W878" s="10"/>
      <c r="X878" s="10"/>
      <c r="Y878" s="4"/>
      <c r="Z878" s="4"/>
    </row>
    <row r="879" spans="1:26" ht="15.75">
      <c r="A879" s="7"/>
      <c r="B879" s="7"/>
      <c r="C879" s="6"/>
      <c r="D879" s="6"/>
      <c r="E879" s="6"/>
      <c r="F879" s="6"/>
      <c r="G879" s="7"/>
      <c r="H879" s="7"/>
      <c r="I879" s="7"/>
      <c r="J879" s="7"/>
      <c r="K879" s="7"/>
      <c r="L879" s="6"/>
      <c r="M879" s="10"/>
      <c r="N879" s="10"/>
      <c r="O879" s="10"/>
      <c r="P879" s="6"/>
      <c r="Q879" s="10"/>
      <c r="R879" s="6"/>
      <c r="S879" s="6"/>
      <c r="T879" s="6"/>
      <c r="U879" s="10"/>
      <c r="V879" s="6"/>
      <c r="W879" s="10"/>
      <c r="X879" s="10"/>
      <c r="Y879" s="4"/>
      <c r="Z879" s="4"/>
    </row>
    <row r="880" spans="1:26" ht="15.75">
      <c r="A880" s="7"/>
      <c r="B880" s="7"/>
      <c r="C880" s="6"/>
      <c r="D880" s="6"/>
      <c r="E880" s="6"/>
      <c r="F880" s="6"/>
      <c r="G880" s="7"/>
      <c r="H880" s="7"/>
      <c r="I880" s="7"/>
      <c r="J880" s="7"/>
      <c r="K880" s="7"/>
      <c r="L880" s="6"/>
      <c r="M880" s="10"/>
      <c r="N880" s="10"/>
      <c r="O880" s="10"/>
      <c r="P880" s="6"/>
      <c r="Q880" s="10"/>
      <c r="R880" s="6"/>
      <c r="S880" s="6"/>
      <c r="T880" s="6"/>
      <c r="U880" s="10"/>
      <c r="V880" s="6"/>
      <c r="W880" s="10"/>
      <c r="X880" s="10"/>
      <c r="Y880" s="4"/>
      <c r="Z880" s="4"/>
    </row>
    <row r="881" spans="1:26" ht="15.75">
      <c r="A881" s="7"/>
      <c r="B881" s="7"/>
      <c r="C881" s="6"/>
      <c r="D881" s="6"/>
      <c r="E881" s="6"/>
      <c r="F881" s="6"/>
      <c r="G881" s="7"/>
      <c r="H881" s="7"/>
      <c r="I881" s="7"/>
      <c r="J881" s="7"/>
      <c r="K881" s="7"/>
      <c r="L881" s="6"/>
      <c r="M881" s="10"/>
      <c r="N881" s="10"/>
      <c r="O881" s="10"/>
      <c r="P881" s="6"/>
      <c r="Q881" s="10"/>
      <c r="R881" s="6"/>
      <c r="S881" s="6"/>
      <c r="T881" s="6"/>
      <c r="U881" s="10"/>
      <c r="V881" s="6"/>
      <c r="W881" s="10"/>
      <c r="X881" s="10"/>
      <c r="Y881" s="4"/>
      <c r="Z881" s="4"/>
    </row>
    <row r="882" spans="1:26" ht="15.75">
      <c r="A882" s="7"/>
      <c r="B882" s="7"/>
      <c r="C882" s="6"/>
      <c r="D882" s="6"/>
      <c r="E882" s="6"/>
      <c r="F882" s="6"/>
      <c r="G882" s="7"/>
      <c r="H882" s="7"/>
      <c r="I882" s="7"/>
      <c r="J882" s="7"/>
      <c r="K882" s="7"/>
      <c r="L882" s="6"/>
      <c r="M882" s="10"/>
      <c r="N882" s="10"/>
      <c r="O882" s="10"/>
      <c r="P882" s="6"/>
      <c r="Q882" s="10"/>
      <c r="R882" s="6"/>
      <c r="S882" s="6"/>
      <c r="T882" s="6"/>
      <c r="U882" s="10"/>
      <c r="V882" s="6"/>
      <c r="W882" s="10"/>
      <c r="X882" s="10"/>
      <c r="Y882" s="4"/>
      <c r="Z882" s="4"/>
    </row>
    <row r="883" spans="1:26" ht="15.75">
      <c r="A883" s="7"/>
      <c r="B883" s="7"/>
      <c r="C883" s="6"/>
      <c r="D883" s="6"/>
      <c r="E883" s="6"/>
      <c r="F883" s="6"/>
      <c r="G883" s="7"/>
      <c r="H883" s="7"/>
      <c r="I883" s="7"/>
      <c r="J883" s="7"/>
      <c r="K883" s="7"/>
      <c r="L883" s="6"/>
      <c r="M883" s="10"/>
      <c r="N883" s="10"/>
      <c r="O883" s="10"/>
      <c r="P883" s="6"/>
      <c r="Q883" s="10"/>
      <c r="R883" s="6"/>
      <c r="S883" s="6"/>
      <c r="T883" s="6"/>
      <c r="U883" s="10"/>
      <c r="V883" s="6"/>
      <c r="W883" s="10"/>
      <c r="X883" s="10"/>
      <c r="Y883" s="4"/>
      <c r="Z883" s="4"/>
    </row>
    <row r="884" spans="1:26" ht="15.75">
      <c r="A884" s="7"/>
      <c r="B884" s="7"/>
      <c r="C884" s="6"/>
      <c r="D884" s="6"/>
      <c r="E884" s="6"/>
      <c r="F884" s="6"/>
      <c r="G884" s="7"/>
      <c r="H884" s="7"/>
      <c r="I884" s="7"/>
      <c r="J884" s="7"/>
      <c r="K884" s="7"/>
      <c r="L884" s="6"/>
      <c r="M884" s="10"/>
      <c r="N884" s="10"/>
      <c r="O884" s="10"/>
      <c r="P884" s="6"/>
      <c r="Q884" s="10"/>
      <c r="R884" s="6"/>
      <c r="S884" s="6"/>
      <c r="T884" s="6"/>
      <c r="U884" s="10"/>
      <c r="V884" s="6"/>
      <c r="W884" s="10"/>
      <c r="X884" s="10"/>
      <c r="Y884" s="4"/>
      <c r="Z884" s="4"/>
    </row>
    <row r="885" spans="1:26" ht="15.75">
      <c r="A885" s="7"/>
      <c r="B885" s="7"/>
      <c r="C885" s="6"/>
      <c r="D885" s="6"/>
      <c r="E885" s="6"/>
      <c r="F885" s="6"/>
      <c r="G885" s="7"/>
      <c r="H885" s="7"/>
      <c r="I885" s="7"/>
      <c r="J885" s="7"/>
      <c r="K885" s="7"/>
      <c r="L885" s="6"/>
      <c r="M885" s="10"/>
      <c r="N885" s="10"/>
      <c r="O885" s="10"/>
      <c r="P885" s="6"/>
      <c r="Q885" s="10"/>
      <c r="R885" s="6"/>
      <c r="S885" s="6"/>
      <c r="T885" s="6"/>
      <c r="U885" s="10"/>
      <c r="V885" s="6"/>
      <c r="W885" s="10"/>
      <c r="X885" s="10"/>
      <c r="Y885" s="4"/>
      <c r="Z885" s="4"/>
    </row>
    <row r="886" spans="1:26" ht="15.75">
      <c r="A886" s="7"/>
      <c r="B886" s="7"/>
      <c r="C886" s="6"/>
      <c r="D886" s="6"/>
      <c r="E886" s="6"/>
      <c r="F886" s="6"/>
      <c r="G886" s="7"/>
      <c r="H886" s="7"/>
      <c r="I886" s="7"/>
      <c r="J886" s="7"/>
      <c r="K886" s="7"/>
      <c r="L886" s="6"/>
      <c r="M886" s="10"/>
      <c r="N886" s="10"/>
      <c r="O886" s="10"/>
      <c r="P886" s="6"/>
      <c r="Q886" s="10"/>
      <c r="R886" s="6"/>
      <c r="S886" s="6"/>
      <c r="T886" s="6"/>
      <c r="U886" s="10"/>
      <c r="V886" s="6"/>
      <c r="W886" s="10"/>
      <c r="X886" s="10"/>
      <c r="Y886" s="4"/>
      <c r="Z886" s="4"/>
    </row>
    <row r="887" spans="1:26" ht="15.75">
      <c r="A887" s="7"/>
      <c r="B887" s="7"/>
      <c r="C887" s="6"/>
      <c r="D887" s="6"/>
      <c r="E887" s="6"/>
      <c r="F887" s="6"/>
      <c r="G887" s="7"/>
      <c r="H887" s="7"/>
      <c r="I887" s="7"/>
      <c r="J887" s="7"/>
      <c r="K887" s="7"/>
      <c r="L887" s="6"/>
      <c r="M887" s="10"/>
      <c r="N887" s="10"/>
      <c r="O887" s="10"/>
      <c r="P887" s="6"/>
      <c r="Q887" s="10"/>
      <c r="R887" s="6"/>
      <c r="S887" s="6"/>
      <c r="T887" s="6"/>
      <c r="U887" s="10"/>
      <c r="V887" s="6"/>
      <c r="W887" s="10"/>
      <c r="X887" s="10"/>
      <c r="Y887" s="4"/>
      <c r="Z887" s="4"/>
    </row>
    <row r="888" spans="1:26" ht="15.75">
      <c r="A888" s="7"/>
      <c r="B888" s="7"/>
      <c r="C888" s="6"/>
      <c r="D888" s="6"/>
      <c r="E888" s="6"/>
      <c r="F888" s="6"/>
      <c r="G888" s="7"/>
      <c r="H888" s="7"/>
      <c r="I888" s="7"/>
      <c r="J888" s="7"/>
      <c r="K888" s="7"/>
      <c r="L888" s="6"/>
      <c r="M888" s="10"/>
      <c r="N888" s="10"/>
      <c r="O888" s="10"/>
      <c r="P888" s="6"/>
      <c r="Q888" s="10"/>
      <c r="R888" s="6"/>
      <c r="S888" s="6"/>
      <c r="T888" s="6"/>
      <c r="U888" s="10"/>
      <c r="V888" s="6"/>
      <c r="W888" s="10"/>
      <c r="X888" s="10"/>
      <c r="Y888" s="4"/>
      <c r="Z888" s="4"/>
    </row>
    <row r="889" spans="1:26" ht="15.75">
      <c r="A889" s="7"/>
      <c r="B889" s="7"/>
      <c r="C889" s="6"/>
      <c r="D889" s="6"/>
      <c r="E889" s="6"/>
      <c r="F889" s="6"/>
      <c r="G889" s="7"/>
      <c r="H889" s="7"/>
      <c r="I889" s="7"/>
      <c r="J889" s="7"/>
      <c r="K889" s="7"/>
      <c r="L889" s="6"/>
      <c r="M889" s="10"/>
      <c r="N889" s="10"/>
      <c r="O889" s="10"/>
      <c r="P889" s="6"/>
      <c r="Q889" s="10"/>
      <c r="R889" s="6"/>
      <c r="S889" s="6"/>
      <c r="T889" s="6"/>
      <c r="U889" s="10"/>
      <c r="V889" s="6"/>
      <c r="W889" s="10"/>
      <c r="X889" s="10"/>
      <c r="Y889" s="4"/>
      <c r="Z889" s="4"/>
    </row>
    <row r="890" spans="1:26" ht="15.75">
      <c r="A890" s="7"/>
      <c r="B890" s="7"/>
      <c r="C890" s="6"/>
      <c r="D890" s="6"/>
      <c r="E890" s="6"/>
      <c r="F890" s="6"/>
      <c r="G890" s="7"/>
      <c r="H890" s="7"/>
      <c r="I890" s="7"/>
      <c r="J890" s="7"/>
      <c r="K890" s="7"/>
      <c r="L890" s="6"/>
      <c r="M890" s="10"/>
      <c r="N890" s="10"/>
      <c r="O890" s="10"/>
      <c r="P890" s="6"/>
      <c r="Q890" s="10"/>
      <c r="R890" s="6"/>
      <c r="S890" s="6"/>
      <c r="T890" s="6"/>
      <c r="U890" s="10"/>
      <c r="V890" s="6"/>
      <c r="W890" s="10"/>
      <c r="X890" s="10"/>
      <c r="Y890" s="4"/>
      <c r="Z890" s="4"/>
    </row>
    <row r="891" spans="1:26" ht="15.75">
      <c r="A891" s="7"/>
      <c r="B891" s="7"/>
      <c r="C891" s="6"/>
      <c r="D891" s="6"/>
      <c r="E891" s="6"/>
      <c r="F891" s="6"/>
      <c r="G891" s="7"/>
      <c r="H891" s="7"/>
      <c r="I891" s="7"/>
      <c r="J891" s="7"/>
      <c r="K891" s="7"/>
      <c r="L891" s="6"/>
      <c r="M891" s="10"/>
      <c r="N891" s="10"/>
      <c r="O891" s="10"/>
      <c r="P891" s="6"/>
      <c r="Q891" s="10"/>
      <c r="R891" s="6"/>
      <c r="S891" s="6"/>
      <c r="T891" s="6"/>
      <c r="U891" s="10"/>
      <c r="V891" s="6"/>
      <c r="W891" s="10"/>
      <c r="X891" s="10"/>
      <c r="Y891" s="4"/>
      <c r="Z891" s="4"/>
    </row>
    <row r="892" spans="1:26" ht="15.75">
      <c r="A892" s="7"/>
      <c r="B892" s="7"/>
      <c r="C892" s="6"/>
      <c r="D892" s="6"/>
      <c r="E892" s="6"/>
      <c r="F892" s="6"/>
      <c r="G892" s="7"/>
      <c r="H892" s="7"/>
      <c r="I892" s="7"/>
      <c r="J892" s="7"/>
      <c r="K892" s="7"/>
      <c r="L892" s="6"/>
      <c r="M892" s="10"/>
      <c r="N892" s="10"/>
      <c r="O892" s="10"/>
      <c r="P892" s="6"/>
      <c r="Q892" s="10"/>
      <c r="R892" s="6"/>
      <c r="S892" s="6"/>
      <c r="T892" s="6"/>
      <c r="U892" s="10"/>
      <c r="V892" s="6"/>
      <c r="W892" s="10"/>
      <c r="X892" s="10"/>
      <c r="Y892" s="4"/>
      <c r="Z892" s="4"/>
    </row>
    <row r="893" spans="1:26" ht="15.75">
      <c r="A893" s="7"/>
      <c r="B893" s="7"/>
      <c r="C893" s="6"/>
      <c r="D893" s="6"/>
      <c r="E893" s="6"/>
      <c r="F893" s="6"/>
      <c r="G893" s="7"/>
      <c r="H893" s="7"/>
      <c r="I893" s="7"/>
      <c r="J893" s="7"/>
      <c r="K893" s="7"/>
      <c r="L893" s="6"/>
      <c r="M893" s="10"/>
      <c r="N893" s="10"/>
      <c r="O893" s="10"/>
      <c r="P893" s="6"/>
      <c r="Q893" s="10"/>
      <c r="R893" s="6"/>
      <c r="S893" s="6"/>
      <c r="T893" s="6"/>
      <c r="U893" s="10"/>
      <c r="V893" s="6"/>
      <c r="W893" s="10"/>
      <c r="X893" s="10"/>
      <c r="Y893" s="4"/>
      <c r="Z893" s="4"/>
    </row>
    <row r="894" spans="1:26" ht="15.75">
      <c r="A894" s="7"/>
      <c r="B894" s="7"/>
      <c r="C894" s="6"/>
      <c r="D894" s="6"/>
      <c r="E894" s="6"/>
      <c r="F894" s="6"/>
      <c r="G894" s="7"/>
      <c r="H894" s="7"/>
      <c r="I894" s="7"/>
      <c r="J894" s="7"/>
      <c r="K894" s="7"/>
      <c r="L894" s="6"/>
      <c r="M894" s="10"/>
      <c r="N894" s="10"/>
      <c r="O894" s="10"/>
      <c r="P894" s="6"/>
      <c r="Q894" s="10"/>
      <c r="R894" s="6"/>
      <c r="S894" s="6"/>
      <c r="T894" s="6"/>
      <c r="U894" s="10"/>
      <c r="V894" s="6"/>
      <c r="W894" s="10"/>
      <c r="X894" s="10"/>
      <c r="Y894" s="4"/>
      <c r="Z894" s="4"/>
    </row>
    <row r="895" spans="1:26" ht="15.75">
      <c r="A895" s="7"/>
      <c r="B895" s="7"/>
      <c r="C895" s="6"/>
      <c r="D895" s="6"/>
      <c r="E895" s="6"/>
      <c r="F895" s="6"/>
      <c r="G895" s="7"/>
      <c r="H895" s="7"/>
      <c r="I895" s="7"/>
      <c r="J895" s="7"/>
      <c r="K895" s="7"/>
      <c r="L895" s="6"/>
      <c r="M895" s="10"/>
      <c r="N895" s="10"/>
      <c r="O895" s="10"/>
      <c r="P895" s="6"/>
      <c r="Q895" s="10"/>
      <c r="R895" s="6"/>
      <c r="S895" s="6"/>
      <c r="T895" s="6"/>
      <c r="U895" s="10"/>
      <c r="V895" s="6"/>
      <c r="W895" s="10"/>
      <c r="X895" s="10"/>
      <c r="Y895" s="4"/>
      <c r="Z895" s="4"/>
    </row>
    <row r="896" spans="1:26" ht="15.75">
      <c r="A896" s="7"/>
      <c r="B896" s="7"/>
      <c r="C896" s="6"/>
      <c r="D896" s="6"/>
      <c r="E896" s="6"/>
      <c r="F896" s="6"/>
      <c r="G896" s="7"/>
      <c r="H896" s="7"/>
      <c r="I896" s="7"/>
      <c r="J896" s="7"/>
      <c r="K896" s="7"/>
      <c r="L896" s="6"/>
      <c r="M896" s="10"/>
      <c r="N896" s="10"/>
      <c r="O896" s="10"/>
      <c r="P896" s="6"/>
      <c r="Q896" s="10"/>
      <c r="R896" s="6"/>
      <c r="S896" s="6"/>
      <c r="T896" s="6"/>
      <c r="U896" s="10"/>
      <c r="V896" s="6"/>
      <c r="W896" s="10"/>
      <c r="X896" s="10"/>
      <c r="Y896" s="4"/>
      <c r="Z896" s="4"/>
    </row>
    <row r="897" spans="1:26" ht="15.75">
      <c r="A897" s="7"/>
      <c r="B897" s="7"/>
      <c r="C897" s="6"/>
      <c r="D897" s="6"/>
      <c r="E897" s="6"/>
      <c r="F897" s="6"/>
      <c r="G897" s="7"/>
      <c r="H897" s="7"/>
      <c r="I897" s="7"/>
      <c r="J897" s="7"/>
      <c r="K897" s="7"/>
      <c r="L897" s="6"/>
      <c r="M897" s="10"/>
      <c r="N897" s="10"/>
      <c r="O897" s="10"/>
      <c r="P897" s="6"/>
      <c r="Q897" s="10"/>
      <c r="R897" s="6"/>
      <c r="S897" s="6"/>
      <c r="T897" s="6"/>
      <c r="U897" s="10"/>
      <c r="V897" s="6"/>
      <c r="W897" s="10"/>
      <c r="X897" s="10"/>
      <c r="Y897" s="4"/>
      <c r="Z897" s="4"/>
    </row>
    <row r="898" spans="1:26" ht="15.75">
      <c r="A898" s="7"/>
      <c r="B898" s="7"/>
      <c r="C898" s="6"/>
      <c r="D898" s="6"/>
      <c r="E898" s="6"/>
      <c r="F898" s="6"/>
      <c r="G898" s="7"/>
      <c r="H898" s="7"/>
      <c r="I898" s="7"/>
      <c r="J898" s="7"/>
      <c r="K898" s="7"/>
      <c r="L898" s="6"/>
      <c r="M898" s="10"/>
      <c r="N898" s="10"/>
      <c r="O898" s="10"/>
      <c r="P898" s="6"/>
      <c r="Q898" s="10"/>
      <c r="R898" s="6"/>
      <c r="S898" s="6"/>
      <c r="T898" s="6"/>
      <c r="U898" s="10"/>
      <c r="V898" s="6"/>
      <c r="W898" s="10"/>
      <c r="X898" s="10"/>
      <c r="Y898" s="4"/>
      <c r="Z898" s="4"/>
    </row>
    <row r="899" spans="1:26" ht="15.75">
      <c r="A899" s="7"/>
      <c r="B899" s="7"/>
      <c r="C899" s="6"/>
      <c r="D899" s="6"/>
      <c r="E899" s="6"/>
      <c r="F899" s="6"/>
      <c r="G899" s="7"/>
      <c r="H899" s="7"/>
      <c r="I899" s="7"/>
      <c r="J899" s="7"/>
      <c r="K899" s="7"/>
      <c r="L899" s="6"/>
      <c r="M899" s="10"/>
      <c r="N899" s="10"/>
      <c r="O899" s="10"/>
      <c r="P899" s="6"/>
      <c r="Q899" s="10"/>
      <c r="R899" s="6"/>
      <c r="S899" s="6"/>
      <c r="T899" s="6"/>
      <c r="U899" s="10"/>
      <c r="V899" s="6"/>
      <c r="W899" s="10"/>
      <c r="X899" s="10"/>
      <c r="Y899" s="4"/>
      <c r="Z899" s="4"/>
    </row>
    <row r="900" spans="1:26" ht="15.75">
      <c r="A900" s="7"/>
      <c r="B900" s="7"/>
      <c r="C900" s="6"/>
      <c r="D900" s="6"/>
      <c r="E900" s="6"/>
      <c r="F900" s="6"/>
      <c r="G900" s="7"/>
      <c r="H900" s="7"/>
      <c r="I900" s="7"/>
      <c r="J900" s="7"/>
      <c r="K900" s="7"/>
      <c r="L900" s="6"/>
      <c r="M900" s="10"/>
      <c r="N900" s="10"/>
      <c r="O900" s="10"/>
      <c r="P900" s="6"/>
      <c r="Q900" s="10"/>
      <c r="R900" s="6"/>
      <c r="S900" s="6"/>
      <c r="T900" s="6"/>
      <c r="U900" s="10"/>
      <c r="V900" s="6"/>
      <c r="W900" s="10"/>
      <c r="X900" s="10"/>
      <c r="Y900" s="4"/>
      <c r="Z900" s="4"/>
    </row>
    <row r="901" spans="1:26" ht="15.75">
      <c r="A901" s="7"/>
      <c r="B901" s="7"/>
      <c r="C901" s="6"/>
      <c r="D901" s="6"/>
      <c r="E901" s="6"/>
      <c r="F901" s="6"/>
      <c r="G901" s="7"/>
      <c r="H901" s="7"/>
      <c r="I901" s="7"/>
      <c r="J901" s="7"/>
      <c r="K901" s="7"/>
      <c r="L901" s="6"/>
      <c r="M901" s="10"/>
      <c r="N901" s="10"/>
      <c r="O901" s="10"/>
      <c r="P901" s="6"/>
      <c r="Q901" s="10"/>
      <c r="R901" s="6"/>
      <c r="S901" s="6"/>
      <c r="T901" s="6"/>
      <c r="U901" s="10"/>
      <c r="V901" s="6"/>
      <c r="W901" s="10"/>
      <c r="X901" s="10"/>
      <c r="Y901" s="4"/>
      <c r="Z901" s="4"/>
    </row>
    <row r="902" spans="1:26" ht="15.75">
      <c r="A902" s="7"/>
      <c r="B902" s="7"/>
      <c r="C902" s="6"/>
      <c r="D902" s="6"/>
      <c r="E902" s="6"/>
      <c r="F902" s="6"/>
      <c r="G902" s="7"/>
      <c r="H902" s="7"/>
      <c r="I902" s="7"/>
      <c r="J902" s="7"/>
      <c r="K902" s="7"/>
      <c r="L902" s="6"/>
      <c r="M902" s="10"/>
      <c r="N902" s="10"/>
      <c r="O902" s="10"/>
      <c r="P902" s="6"/>
      <c r="Q902" s="10"/>
      <c r="R902" s="6"/>
      <c r="S902" s="6"/>
      <c r="T902" s="6"/>
      <c r="U902" s="10"/>
      <c r="V902" s="6"/>
      <c r="W902" s="10"/>
      <c r="X902" s="10"/>
      <c r="Y902" s="4"/>
      <c r="Z902" s="4"/>
    </row>
    <row r="903" spans="1:26" ht="15.75">
      <c r="A903" s="7"/>
      <c r="B903" s="7"/>
      <c r="C903" s="6"/>
      <c r="D903" s="6"/>
      <c r="E903" s="6"/>
      <c r="F903" s="6"/>
      <c r="G903" s="7"/>
      <c r="H903" s="7"/>
      <c r="I903" s="7"/>
      <c r="J903" s="7"/>
      <c r="K903" s="7"/>
      <c r="L903" s="6"/>
      <c r="M903" s="10"/>
      <c r="N903" s="10"/>
      <c r="O903" s="10"/>
      <c r="P903" s="6"/>
      <c r="Q903" s="10"/>
      <c r="R903" s="6"/>
      <c r="S903" s="6"/>
      <c r="T903" s="6"/>
      <c r="U903" s="10"/>
      <c r="V903" s="6"/>
      <c r="W903" s="10"/>
      <c r="X903" s="10"/>
      <c r="Y903" s="4"/>
      <c r="Z903" s="4"/>
    </row>
    <row r="904" spans="1:26" ht="15.75">
      <c r="A904" s="7"/>
      <c r="B904" s="7"/>
      <c r="C904" s="6"/>
      <c r="D904" s="6"/>
      <c r="E904" s="6"/>
      <c r="F904" s="6"/>
      <c r="G904" s="7"/>
      <c r="H904" s="7"/>
      <c r="I904" s="7"/>
      <c r="J904" s="7"/>
      <c r="K904" s="7"/>
      <c r="L904" s="6"/>
      <c r="M904" s="10"/>
      <c r="N904" s="10"/>
      <c r="O904" s="10"/>
      <c r="P904" s="6"/>
      <c r="Q904" s="10"/>
      <c r="R904" s="6"/>
      <c r="S904" s="6"/>
      <c r="T904" s="6"/>
      <c r="U904" s="10"/>
      <c r="V904" s="6"/>
      <c r="W904" s="10"/>
      <c r="X904" s="10"/>
      <c r="Y904" s="4"/>
      <c r="Z904" s="4"/>
    </row>
    <row r="905" spans="1:26" ht="15.75">
      <c r="A905" s="7"/>
      <c r="B905" s="7"/>
      <c r="C905" s="6"/>
      <c r="D905" s="6"/>
      <c r="E905" s="6"/>
      <c r="F905" s="6"/>
      <c r="G905" s="7"/>
      <c r="H905" s="7"/>
      <c r="I905" s="7"/>
      <c r="J905" s="7"/>
      <c r="K905" s="7"/>
      <c r="L905" s="6"/>
      <c r="M905" s="10"/>
      <c r="N905" s="10"/>
      <c r="O905" s="10"/>
      <c r="P905" s="6"/>
      <c r="Q905" s="10"/>
      <c r="R905" s="6"/>
      <c r="S905" s="6"/>
      <c r="T905" s="6"/>
      <c r="U905" s="10"/>
      <c r="V905" s="6"/>
      <c r="W905" s="10"/>
      <c r="X905" s="10"/>
      <c r="Y905" s="4"/>
      <c r="Z905" s="4"/>
    </row>
    <row r="906" spans="1:26" ht="15.75">
      <c r="A906" s="7"/>
      <c r="B906" s="7"/>
      <c r="C906" s="6"/>
      <c r="D906" s="6"/>
      <c r="E906" s="6"/>
      <c r="F906" s="6"/>
      <c r="G906" s="7"/>
      <c r="H906" s="7"/>
      <c r="I906" s="7"/>
      <c r="J906" s="7"/>
      <c r="K906" s="7"/>
      <c r="L906" s="6"/>
      <c r="M906" s="10"/>
      <c r="N906" s="10"/>
      <c r="O906" s="10"/>
      <c r="P906" s="6"/>
      <c r="Q906" s="10"/>
      <c r="R906" s="6"/>
      <c r="S906" s="6"/>
      <c r="T906" s="6"/>
      <c r="U906" s="10"/>
      <c r="V906" s="6"/>
      <c r="W906" s="10"/>
      <c r="X906" s="10"/>
      <c r="Y906" s="4"/>
      <c r="Z906" s="4"/>
    </row>
    <row r="907" spans="1:26" ht="15.75">
      <c r="A907" s="7"/>
      <c r="B907" s="7"/>
      <c r="C907" s="6"/>
      <c r="D907" s="6"/>
      <c r="E907" s="6"/>
      <c r="F907" s="6"/>
      <c r="G907" s="7"/>
      <c r="H907" s="7"/>
      <c r="I907" s="7"/>
      <c r="J907" s="7"/>
      <c r="K907" s="7"/>
      <c r="L907" s="6"/>
      <c r="M907" s="10"/>
      <c r="N907" s="10"/>
      <c r="O907" s="10"/>
      <c r="P907" s="6"/>
      <c r="Q907" s="10"/>
      <c r="R907" s="6"/>
      <c r="S907" s="6"/>
      <c r="T907" s="6"/>
      <c r="U907" s="10"/>
      <c r="V907" s="6"/>
      <c r="W907" s="10"/>
      <c r="X907" s="10"/>
      <c r="Y907" s="4"/>
      <c r="Z907" s="4"/>
    </row>
    <row r="908" spans="1:26" ht="15.75">
      <c r="A908" s="7"/>
      <c r="B908" s="7"/>
      <c r="C908" s="6"/>
      <c r="D908" s="6"/>
      <c r="E908" s="6"/>
      <c r="F908" s="6"/>
      <c r="G908" s="7"/>
      <c r="H908" s="7"/>
      <c r="I908" s="7"/>
      <c r="J908" s="7"/>
      <c r="K908" s="7"/>
      <c r="L908" s="6"/>
      <c r="M908" s="10"/>
      <c r="N908" s="10"/>
      <c r="O908" s="10"/>
      <c r="P908" s="6"/>
      <c r="Q908" s="10"/>
      <c r="R908" s="6"/>
      <c r="S908" s="6"/>
      <c r="T908" s="6"/>
      <c r="U908" s="10"/>
      <c r="V908" s="6"/>
      <c r="W908" s="10"/>
      <c r="X908" s="10"/>
      <c r="Y908" s="4"/>
      <c r="Z908" s="4"/>
    </row>
    <row r="909" spans="1:26" ht="15.75">
      <c r="A909" s="7"/>
      <c r="B909" s="7"/>
      <c r="C909" s="6"/>
      <c r="D909" s="6"/>
      <c r="E909" s="6"/>
      <c r="F909" s="6"/>
      <c r="G909" s="7"/>
      <c r="H909" s="7"/>
      <c r="I909" s="7"/>
      <c r="J909" s="7"/>
      <c r="K909" s="7"/>
      <c r="L909" s="6"/>
      <c r="M909" s="10"/>
      <c r="N909" s="10"/>
      <c r="O909" s="10"/>
      <c r="P909" s="6"/>
      <c r="Q909" s="10"/>
      <c r="R909" s="6"/>
      <c r="S909" s="6"/>
      <c r="T909" s="6"/>
      <c r="U909" s="10"/>
      <c r="V909" s="6"/>
      <c r="W909" s="10"/>
      <c r="X909" s="10"/>
      <c r="Y909" s="4"/>
      <c r="Z909" s="4"/>
    </row>
    <row r="910" spans="1:26" ht="15.75">
      <c r="A910" s="7"/>
      <c r="B910" s="7"/>
      <c r="C910" s="6"/>
      <c r="D910" s="6"/>
      <c r="E910" s="6"/>
      <c r="F910" s="6"/>
      <c r="G910" s="7"/>
      <c r="H910" s="7"/>
      <c r="I910" s="7"/>
      <c r="J910" s="7"/>
      <c r="K910" s="7"/>
      <c r="L910" s="6"/>
      <c r="M910" s="10"/>
      <c r="N910" s="10"/>
      <c r="O910" s="10"/>
      <c r="P910" s="6"/>
      <c r="Q910" s="10"/>
      <c r="R910" s="6"/>
      <c r="S910" s="6"/>
      <c r="T910" s="6"/>
      <c r="U910" s="10"/>
      <c r="V910" s="6"/>
      <c r="W910" s="10"/>
      <c r="X910" s="10"/>
      <c r="Y910" s="4"/>
      <c r="Z910" s="4"/>
    </row>
    <row r="911" spans="1:26" ht="15.75">
      <c r="A911" s="7"/>
      <c r="B911" s="7"/>
      <c r="C911" s="6"/>
      <c r="D911" s="6"/>
      <c r="E911" s="6"/>
      <c r="F911" s="6"/>
      <c r="G911" s="7"/>
      <c r="H911" s="7"/>
      <c r="I911" s="7"/>
      <c r="J911" s="7"/>
      <c r="K911" s="7"/>
      <c r="L911" s="6"/>
      <c r="M911" s="10"/>
      <c r="N911" s="10"/>
      <c r="O911" s="10"/>
      <c r="P911" s="6"/>
      <c r="Q911" s="10"/>
      <c r="R911" s="6"/>
      <c r="S911" s="6"/>
      <c r="T911" s="6"/>
      <c r="U911" s="10"/>
      <c r="V911" s="6"/>
      <c r="W911" s="10"/>
      <c r="X911" s="10"/>
      <c r="Y911" s="4"/>
      <c r="Z911" s="4"/>
    </row>
    <row r="912" spans="1:26" ht="15.75">
      <c r="A912" s="7"/>
      <c r="B912" s="7"/>
      <c r="C912" s="6"/>
      <c r="D912" s="6"/>
      <c r="E912" s="6"/>
      <c r="F912" s="6"/>
      <c r="G912" s="7"/>
      <c r="H912" s="7"/>
      <c r="I912" s="7"/>
      <c r="J912" s="7"/>
      <c r="K912" s="7"/>
      <c r="L912" s="6"/>
      <c r="M912" s="10"/>
      <c r="N912" s="10"/>
      <c r="O912" s="10"/>
      <c r="P912" s="6"/>
      <c r="Q912" s="10"/>
      <c r="R912" s="6"/>
      <c r="S912" s="6"/>
      <c r="T912" s="6"/>
      <c r="U912" s="10"/>
      <c r="V912" s="6"/>
      <c r="W912" s="10"/>
      <c r="X912" s="10"/>
      <c r="Y912" s="4"/>
      <c r="Z912" s="4"/>
    </row>
    <row r="913" spans="1:26" ht="15.75">
      <c r="A913" s="7"/>
      <c r="B913" s="7"/>
      <c r="C913" s="6"/>
      <c r="D913" s="6"/>
      <c r="E913" s="6"/>
      <c r="F913" s="6"/>
      <c r="G913" s="7"/>
      <c r="H913" s="7"/>
      <c r="I913" s="7"/>
      <c r="J913" s="7"/>
      <c r="K913" s="7"/>
      <c r="L913" s="6"/>
      <c r="M913" s="10"/>
      <c r="N913" s="10"/>
      <c r="O913" s="10"/>
      <c r="P913" s="6"/>
      <c r="Q913" s="10"/>
      <c r="R913" s="6"/>
      <c r="S913" s="6"/>
      <c r="T913" s="6"/>
      <c r="U913" s="10"/>
      <c r="V913" s="6"/>
      <c r="W913" s="10"/>
      <c r="X913" s="10"/>
      <c r="Y913" s="4"/>
      <c r="Z913" s="4"/>
    </row>
    <row r="914" spans="1:26" ht="15.75">
      <c r="A914" s="7"/>
      <c r="B914" s="7"/>
      <c r="C914" s="6"/>
      <c r="D914" s="6"/>
      <c r="E914" s="6"/>
      <c r="F914" s="6"/>
      <c r="G914" s="7"/>
      <c r="H914" s="7"/>
      <c r="I914" s="7"/>
      <c r="J914" s="7"/>
      <c r="K914" s="7"/>
      <c r="L914" s="6"/>
      <c r="M914" s="10"/>
      <c r="N914" s="10"/>
      <c r="O914" s="10"/>
      <c r="P914" s="6"/>
      <c r="Q914" s="10"/>
      <c r="R914" s="6"/>
      <c r="S914" s="6"/>
      <c r="T914" s="6"/>
      <c r="U914" s="10"/>
      <c r="V914" s="6"/>
      <c r="W914" s="10"/>
      <c r="X914" s="10"/>
      <c r="Y914" s="4"/>
      <c r="Z914" s="4"/>
    </row>
    <row r="915" spans="1:26" ht="15.75">
      <c r="A915" s="7"/>
      <c r="B915" s="7"/>
      <c r="C915" s="6"/>
      <c r="D915" s="6"/>
      <c r="E915" s="6"/>
      <c r="F915" s="6"/>
      <c r="G915" s="7"/>
      <c r="H915" s="7"/>
      <c r="I915" s="7"/>
      <c r="J915" s="7"/>
      <c r="K915" s="7"/>
      <c r="L915" s="6"/>
      <c r="M915" s="10"/>
      <c r="N915" s="10"/>
      <c r="O915" s="10"/>
      <c r="P915" s="6"/>
      <c r="Q915" s="10"/>
      <c r="R915" s="6"/>
      <c r="S915" s="6"/>
      <c r="T915" s="6"/>
      <c r="U915" s="10"/>
      <c r="V915" s="6"/>
      <c r="W915" s="10"/>
      <c r="X915" s="10"/>
      <c r="Y915" s="4"/>
      <c r="Z915" s="4"/>
    </row>
    <row r="916" spans="1:26" ht="15.75">
      <c r="A916" s="7"/>
      <c r="B916" s="7"/>
      <c r="C916" s="6"/>
      <c r="D916" s="6"/>
      <c r="E916" s="6"/>
      <c r="F916" s="6"/>
      <c r="G916" s="7"/>
      <c r="H916" s="7"/>
      <c r="I916" s="7"/>
      <c r="J916" s="7"/>
      <c r="K916" s="7"/>
      <c r="L916" s="6"/>
      <c r="M916" s="10"/>
      <c r="N916" s="10"/>
      <c r="O916" s="10"/>
      <c r="P916" s="6"/>
      <c r="Q916" s="10"/>
      <c r="R916" s="6"/>
      <c r="S916" s="6"/>
      <c r="T916" s="6"/>
      <c r="U916" s="10"/>
      <c r="V916" s="6"/>
      <c r="W916" s="10"/>
      <c r="X916" s="10"/>
      <c r="Y916" s="4"/>
      <c r="Z916" s="4"/>
    </row>
    <row r="917" spans="1:26" ht="15.75">
      <c r="A917" s="7"/>
      <c r="B917" s="7"/>
      <c r="C917" s="6"/>
      <c r="D917" s="6"/>
      <c r="E917" s="6"/>
      <c r="F917" s="6"/>
      <c r="G917" s="7"/>
      <c r="H917" s="7"/>
      <c r="I917" s="7"/>
      <c r="J917" s="7"/>
      <c r="K917" s="7"/>
      <c r="L917" s="6"/>
      <c r="M917" s="10"/>
      <c r="N917" s="10"/>
      <c r="O917" s="10"/>
      <c r="P917" s="6"/>
      <c r="Q917" s="10"/>
      <c r="R917" s="6"/>
      <c r="S917" s="6"/>
      <c r="T917" s="6"/>
      <c r="U917" s="10"/>
      <c r="V917" s="6"/>
      <c r="W917" s="10"/>
      <c r="X917" s="10"/>
      <c r="Y917" s="4"/>
      <c r="Z917" s="4"/>
    </row>
    <row r="918" spans="1:26" ht="15.75">
      <c r="A918" s="7"/>
      <c r="B918" s="7"/>
      <c r="C918" s="6"/>
      <c r="D918" s="6"/>
      <c r="E918" s="6"/>
      <c r="F918" s="6"/>
      <c r="G918" s="7"/>
      <c r="H918" s="7"/>
      <c r="I918" s="7"/>
      <c r="J918" s="7"/>
      <c r="K918" s="7"/>
      <c r="L918" s="6"/>
      <c r="M918" s="10"/>
      <c r="N918" s="10"/>
      <c r="O918" s="10"/>
      <c r="P918" s="6"/>
      <c r="Q918" s="10"/>
      <c r="R918" s="6"/>
      <c r="S918" s="6"/>
      <c r="T918" s="6"/>
      <c r="U918" s="10"/>
      <c r="V918" s="6"/>
      <c r="W918" s="10"/>
      <c r="X918" s="10"/>
      <c r="Y918" s="4"/>
      <c r="Z918" s="4"/>
    </row>
    <row r="919" spans="1:26" ht="15.75">
      <c r="A919" s="7"/>
      <c r="B919" s="7"/>
      <c r="C919" s="6"/>
      <c r="D919" s="6"/>
      <c r="E919" s="6"/>
      <c r="F919" s="6"/>
      <c r="G919" s="7"/>
      <c r="H919" s="7"/>
      <c r="I919" s="7"/>
      <c r="J919" s="7"/>
      <c r="K919" s="7"/>
      <c r="L919" s="6"/>
      <c r="M919" s="10"/>
      <c r="N919" s="10"/>
      <c r="O919" s="10"/>
      <c r="P919" s="6"/>
      <c r="Q919" s="10"/>
      <c r="R919" s="6"/>
      <c r="S919" s="6"/>
      <c r="T919" s="6"/>
      <c r="U919" s="10"/>
      <c r="V919" s="6"/>
      <c r="W919" s="10"/>
      <c r="X919" s="10"/>
      <c r="Y919" s="4"/>
      <c r="Z919" s="4"/>
    </row>
    <row r="920" spans="1:26" ht="15.75">
      <c r="A920" s="7"/>
      <c r="B920" s="7"/>
      <c r="C920" s="6"/>
      <c r="D920" s="6"/>
      <c r="E920" s="6"/>
      <c r="F920" s="6"/>
      <c r="G920" s="7"/>
      <c r="H920" s="7"/>
      <c r="I920" s="7"/>
      <c r="J920" s="7"/>
      <c r="K920" s="7"/>
      <c r="L920" s="6"/>
      <c r="M920" s="10"/>
      <c r="N920" s="10"/>
      <c r="O920" s="10"/>
      <c r="P920" s="6"/>
      <c r="Q920" s="10"/>
      <c r="R920" s="6"/>
      <c r="S920" s="6"/>
      <c r="T920" s="6"/>
      <c r="U920" s="10"/>
      <c r="V920" s="6"/>
      <c r="W920" s="10"/>
      <c r="X920" s="10"/>
      <c r="Y920" s="4"/>
      <c r="Z920" s="4"/>
    </row>
    <row r="921" spans="1:26" ht="15.75">
      <c r="A921" s="7"/>
      <c r="B921" s="7"/>
      <c r="C921" s="6"/>
      <c r="D921" s="6"/>
      <c r="E921" s="6"/>
      <c r="F921" s="6"/>
      <c r="G921" s="7"/>
      <c r="H921" s="7"/>
      <c r="I921" s="7"/>
      <c r="J921" s="7"/>
      <c r="K921" s="7"/>
      <c r="L921" s="6"/>
      <c r="M921" s="10"/>
      <c r="N921" s="10"/>
      <c r="O921" s="10"/>
      <c r="P921" s="6"/>
      <c r="Q921" s="10"/>
      <c r="R921" s="6"/>
      <c r="S921" s="6"/>
      <c r="T921" s="6"/>
      <c r="U921" s="10"/>
      <c r="V921" s="6"/>
      <c r="W921" s="10"/>
      <c r="X921" s="10"/>
      <c r="Y921" s="4"/>
      <c r="Z921" s="4"/>
    </row>
    <row r="922" spans="1:26" ht="15.75">
      <c r="A922" s="7"/>
      <c r="B922" s="7"/>
      <c r="C922" s="6"/>
      <c r="D922" s="6"/>
      <c r="E922" s="6"/>
      <c r="F922" s="6"/>
      <c r="G922" s="7"/>
      <c r="H922" s="7"/>
      <c r="I922" s="7"/>
      <c r="J922" s="7"/>
      <c r="K922" s="7"/>
      <c r="L922" s="6"/>
      <c r="M922" s="10"/>
      <c r="N922" s="10"/>
      <c r="O922" s="10"/>
      <c r="P922" s="6"/>
      <c r="Q922" s="10"/>
      <c r="R922" s="6"/>
      <c r="S922" s="6"/>
      <c r="T922" s="6"/>
      <c r="U922" s="10"/>
      <c r="V922" s="6"/>
      <c r="W922" s="10"/>
      <c r="X922" s="10"/>
      <c r="Y922" s="4"/>
      <c r="Z922" s="4"/>
    </row>
    <row r="923" spans="1:26" ht="15.75">
      <c r="A923" s="7"/>
      <c r="B923" s="7"/>
      <c r="C923" s="6"/>
      <c r="D923" s="6"/>
      <c r="E923" s="6"/>
      <c r="F923" s="6"/>
      <c r="G923" s="7"/>
      <c r="H923" s="7"/>
      <c r="I923" s="7"/>
      <c r="J923" s="7"/>
      <c r="K923" s="7"/>
      <c r="L923" s="6"/>
      <c r="M923" s="10"/>
      <c r="N923" s="10"/>
      <c r="O923" s="10"/>
      <c r="P923" s="6"/>
      <c r="Q923" s="10"/>
      <c r="R923" s="6"/>
      <c r="S923" s="6"/>
      <c r="T923" s="6"/>
      <c r="U923" s="10"/>
      <c r="V923" s="6"/>
      <c r="W923" s="10"/>
      <c r="X923" s="10"/>
      <c r="Y923" s="4"/>
      <c r="Z923" s="4"/>
    </row>
    <row r="924" spans="1:26" ht="15.75">
      <c r="A924" s="7"/>
      <c r="B924" s="7"/>
      <c r="C924" s="6"/>
      <c r="D924" s="6"/>
      <c r="E924" s="6"/>
      <c r="F924" s="6"/>
      <c r="G924" s="7"/>
      <c r="H924" s="7"/>
      <c r="I924" s="7"/>
      <c r="J924" s="7"/>
      <c r="K924" s="7"/>
      <c r="L924" s="6"/>
      <c r="M924" s="10"/>
      <c r="N924" s="10"/>
      <c r="O924" s="10"/>
      <c r="P924" s="6"/>
      <c r="Q924" s="10"/>
      <c r="R924" s="6"/>
      <c r="S924" s="6"/>
      <c r="T924" s="6"/>
      <c r="U924" s="10"/>
      <c r="V924" s="6"/>
      <c r="W924" s="10"/>
      <c r="X924" s="10"/>
      <c r="Y924" s="4"/>
      <c r="Z924" s="4"/>
    </row>
    <row r="925" spans="1:26" ht="15.75">
      <c r="A925" s="7"/>
      <c r="B925" s="7"/>
      <c r="C925" s="6"/>
      <c r="D925" s="6"/>
      <c r="E925" s="6"/>
      <c r="F925" s="6"/>
      <c r="G925" s="7"/>
      <c r="H925" s="7"/>
      <c r="I925" s="7"/>
      <c r="J925" s="7"/>
      <c r="K925" s="7"/>
      <c r="L925" s="6"/>
      <c r="M925" s="10"/>
      <c r="N925" s="10"/>
      <c r="O925" s="10"/>
      <c r="P925" s="6"/>
      <c r="Q925" s="10"/>
      <c r="R925" s="6"/>
      <c r="S925" s="6"/>
      <c r="T925" s="6"/>
      <c r="U925" s="10"/>
      <c r="V925" s="6"/>
      <c r="W925" s="10"/>
      <c r="X925" s="10"/>
      <c r="Y925" s="4"/>
      <c r="Z925" s="4"/>
    </row>
    <row r="926" spans="1:26" ht="15.75">
      <c r="A926" s="7"/>
      <c r="B926" s="7"/>
      <c r="C926" s="6"/>
      <c r="D926" s="6"/>
      <c r="E926" s="6"/>
      <c r="F926" s="6"/>
      <c r="G926" s="7"/>
      <c r="H926" s="7"/>
      <c r="I926" s="7"/>
      <c r="J926" s="7"/>
      <c r="K926" s="7"/>
      <c r="L926" s="6"/>
      <c r="M926" s="10"/>
      <c r="N926" s="10"/>
      <c r="O926" s="10"/>
      <c r="P926" s="6"/>
      <c r="Q926" s="10"/>
      <c r="R926" s="6"/>
      <c r="S926" s="6"/>
      <c r="T926" s="6"/>
      <c r="U926" s="10"/>
      <c r="V926" s="6"/>
      <c r="W926" s="10"/>
      <c r="X926" s="10"/>
      <c r="Y926" s="4"/>
      <c r="Z926" s="4"/>
    </row>
    <row r="927" spans="1:26" ht="15.75">
      <c r="A927" s="7"/>
      <c r="B927" s="7"/>
      <c r="C927" s="6"/>
      <c r="D927" s="6"/>
      <c r="E927" s="6"/>
      <c r="F927" s="6"/>
      <c r="G927" s="7"/>
      <c r="H927" s="7"/>
      <c r="I927" s="7"/>
      <c r="J927" s="7"/>
      <c r="K927" s="7"/>
      <c r="L927" s="6"/>
      <c r="M927" s="10"/>
      <c r="N927" s="10"/>
      <c r="O927" s="10"/>
      <c r="P927" s="6"/>
      <c r="Q927" s="10"/>
      <c r="R927" s="6"/>
      <c r="S927" s="6"/>
      <c r="T927" s="6"/>
      <c r="U927" s="10"/>
      <c r="V927" s="6"/>
      <c r="W927" s="10"/>
      <c r="X927" s="10"/>
      <c r="Y927" s="4"/>
      <c r="Z927" s="4"/>
    </row>
    <row r="928" spans="1:26" ht="15.75">
      <c r="A928" s="7"/>
      <c r="B928" s="7"/>
      <c r="C928" s="6"/>
      <c r="D928" s="6"/>
      <c r="E928" s="6"/>
      <c r="F928" s="6"/>
      <c r="G928" s="7"/>
      <c r="H928" s="7"/>
      <c r="I928" s="7"/>
      <c r="J928" s="7"/>
      <c r="K928" s="7"/>
      <c r="L928" s="6"/>
      <c r="M928" s="10"/>
      <c r="N928" s="10"/>
      <c r="O928" s="10"/>
      <c r="P928" s="6"/>
      <c r="Q928" s="10"/>
      <c r="R928" s="6"/>
      <c r="S928" s="6"/>
      <c r="T928" s="6"/>
      <c r="U928" s="10"/>
      <c r="V928" s="6"/>
      <c r="W928" s="10"/>
      <c r="X928" s="10"/>
      <c r="Y928" s="4"/>
      <c r="Z928" s="4"/>
    </row>
    <row r="929" spans="1:26" ht="15.75">
      <c r="A929" s="7"/>
      <c r="B929" s="7"/>
      <c r="C929" s="6"/>
      <c r="D929" s="6"/>
      <c r="E929" s="6"/>
      <c r="F929" s="6"/>
      <c r="G929" s="7"/>
      <c r="H929" s="7"/>
      <c r="I929" s="7"/>
      <c r="J929" s="7"/>
      <c r="K929" s="7"/>
      <c r="L929" s="6"/>
      <c r="M929" s="10"/>
      <c r="N929" s="10"/>
      <c r="O929" s="10"/>
      <c r="P929" s="6"/>
      <c r="Q929" s="10"/>
      <c r="R929" s="6"/>
      <c r="S929" s="6"/>
      <c r="T929" s="6"/>
      <c r="U929" s="10"/>
      <c r="V929" s="6"/>
      <c r="W929" s="10"/>
      <c r="X929" s="10"/>
      <c r="Y929" s="4"/>
      <c r="Z929" s="4"/>
    </row>
    <row r="930" spans="1:26" ht="15.75">
      <c r="A930" s="7"/>
      <c r="B930" s="7"/>
      <c r="C930" s="6"/>
      <c r="D930" s="6"/>
      <c r="E930" s="6"/>
      <c r="F930" s="6"/>
      <c r="G930" s="7"/>
      <c r="H930" s="7"/>
      <c r="I930" s="7"/>
      <c r="J930" s="7"/>
      <c r="K930" s="7"/>
      <c r="L930" s="6"/>
      <c r="M930" s="10"/>
      <c r="N930" s="10"/>
      <c r="O930" s="10"/>
      <c r="P930" s="6"/>
      <c r="Q930" s="10"/>
      <c r="R930" s="6"/>
      <c r="S930" s="6"/>
      <c r="T930" s="6"/>
      <c r="U930" s="10"/>
      <c r="V930" s="6"/>
      <c r="W930" s="10"/>
      <c r="X930" s="10"/>
      <c r="Y930" s="4"/>
      <c r="Z930" s="4"/>
    </row>
    <row r="931" spans="1:26" ht="15.75">
      <c r="A931" s="7"/>
      <c r="B931" s="7"/>
      <c r="C931" s="6"/>
      <c r="D931" s="6"/>
      <c r="E931" s="6"/>
      <c r="F931" s="6"/>
      <c r="G931" s="7"/>
      <c r="H931" s="7"/>
      <c r="I931" s="7"/>
      <c r="J931" s="7"/>
      <c r="K931" s="7"/>
      <c r="L931" s="6"/>
      <c r="M931" s="10"/>
      <c r="N931" s="10"/>
      <c r="O931" s="10"/>
      <c r="P931" s="6"/>
      <c r="Q931" s="10"/>
      <c r="R931" s="6"/>
      <c r="S931" s="6"/>
      <c r="T931" s="6"/>
      <c r="U931" s="10"/>
      <c r="V931" s="6"/>
      <c r="W931" s="10"/>
      <c r="X931" s="10"/>
      <c r="Y931" s="4"/>
      <c r="Z931" s="4"/>
    </row>
    <row r="932" spans="1:26" ht="15.75">
      <c r="A932" s="7"/>
      <c r="B932" s="7"/>
      <c r="C932" s="6"/>
      <c r="D932" s="6"/>
      <c r="E932" s="6"/>
      <c r="F932" s="6"/>
      <c r="G932" s="7"/>
      <c r="H932" s="7"/>
      <c r="I932" s="7"/>
      <c r="J932" s="7"/>
      <c r="K932" s="7"/>
      <c r="L932" s="6"/>
      <c r="M932" s="10"/>
      <c r="N932" s="10"/>
      <c r="O932" s="10"/>
      <c r="P932" s="6"/>
      <c r="Q932" s="10"/>
      <c r="R932" s="6"/>
      <c r="S932" s="6"/>
      <c r="T932" s="6"/>
      <c r="U932" s="10"/>
      <c r="V932" s="6"/>
      <c r="W932" s="10"/>
      <c r="X932" s="10"/>
      <c r="Y932" s="4"/>
      <c r="Z932" s="4"/>
    </row>
    <row r="933" spans="1:26" ht="15.75">
      <c r="A933" s="7"/>
      <c r="B933" s="7"/>
      <c r="C933" s="6"/>
      <c r="D933" s="6"/>
      <c r="E933" s="6"/>
      <c r="F933" s="6"/>
      <c r="G933" s="7"/>
      <c r="H933" s="7"/>
      <c r="I933" s="7"/>
      <c r="J933" s="7"/>
      <c r="K933" s="7"/>
      <c r="L933" s="6"/>
      <c r="M933" s="10"/>
      <c r="N933" s="10"/>
      <c r="O933" s="10"/>
      <c r="P933" s="6"/>
      <c r="Q933" s="10"/>
      <c r="R933" s="6"/>
      <c r="S933" s="6"/>
      <c r="T933" s="6"/>
      <c r="U933" s="10"/>
      <c r="V933" s="6"/>
      <c r="W933" s="10"/>
      <c r="X933" s="10"/>
      <c r="Y933" s="4"/>
      <c r="Z933" s="4"/>
    </row>
    <row r="934" spans="1:26" ht="15.75">
      <c r="A934" s="7"/>
      <c r="B934" s="7"/>
      <c r="C934" s="6"/>
      <c r="D934" s="6"/>
      <c r="E934" s="6"/>
      <c r="F934" s="6"/>
      <c r="G934" s="7"/>
      <c r="H934" s="7"/>
      <c r="I934" s="7"/>
      <c r="J934" s="7"/>
      <c r="K934" s="7"/>
      <c r="L934" s="6"/>
      <c r="M934" s="10"/>
      <c r="N934" s="10"/>
      <c r="O934" s="10"/>
      <c r="P934" s="6"/>
      <c r="Q934" s="10"/>
      <c r="R934" s="6"/>
      <c r="S934" s="6"/>
      <c r="T934" s="6"/>
      <c r="U934" s="10"/>
      <c r="V934" s="6"/>
      <c r="W934" s="10"/>
      <c r="X934" s="10"/>
      <c r="Y934" s="4"/>
      <c r="Z934" s="4"/>
    </row>
    <row r="935" spans="1:26" ht="15.75">
      <c r="A935" s="7"/>
      <c r="B935" s="7"/>
      <c r="C935" s="6"/>
      <c r="D935" s="6"/>
      <c r="E935" s="6"/>
      <c r="F935" s="6"/>
      <c r="G935" s="7"/>
      <c r="H935" s="7"/>
      <c r="I935" s="7"/>
      <c r="J935" s="7"/>
      <c r="K935" s="7"/>
      <c r="L935" s="6"/>
      <c r="M935" s="10"/>
      <c r="N935" s="10"/>
      <c r="O935" s="10"/>
      <c r="P935" s="6"/>
      <c r="Q935" s="10"/>
      <c r="R935" s="6"/>
      <c r="S935" s="6"/>
      <c r="T935" s="6"/>
      <c r="U935" s="10"/>
      <c r="V935" s="6"/>
      <c r="W935" s="10"/>
      <c r="X935" s="10"/>
      <c r="Y935" s="4"/>
      <c r="Z935" s="4"/>
    </row>
    <row r="936" spans="1:26" ht="15.75">
      <c r="A936" s="7"/>
      <c r="B936" s="7"/>
      <c r="C936" s="6"/>
      <c r="D936" s="6"/>
      <c r="E936" s="6"/>
      <c r="F936" s="6"/>
      <c r="G936" s="7"/>
      <c r="H936" s="7"/>
      <c r="I936" s="7"/>
      <c r="J936" s="7"/>
      <c r="K936" s="7"/>
      <c r="L936" s="6"/>
      <c r="M936" s="10"/>
      <c r="N936" s="10"/>
      <c r="O936" s="10"/>
      <c r="P936" s="6"/>
      <c r="Q936" s="10"/>
      <c r="R936" s="6"/>
      <c r="S936" s="6"/>
      <c r="T936" s="6"/>
      <c r="U936" s="10"/>
      <c r="V936" s="6"/>
      <c r="W936" s="10"/>
      <c r="X936" s="10"/>
      <c r="Y936" s="4"/>
      <c r="Z936" s="4"/>
    </row>
    <row r="937" spans="1:26" ht="15.75">
      <c r="A937" s="7"/>
      <c r="B937" s="7"/>
      <c r="C937" s="6"/>
      <c r="D937" s="6"/>
      <c r="E937" s="6"/>
      <c r="F937" s="6"/>
      <c r="G937" s="7"/>
      <c r="H937" s="7"/>
      <c r="I937" s="7"/>
      <c r="J937" s="7"/>
      <c r="K937" s="7"/>
      <c r="L937" s="6"/>
      <c r="M937" s="10"/>
      <c r="N937" s="10"/>
      <c r="O937" s="10"/>
      <c r="P937" s="6"/>
      <c r="Q937" s="10"/>
      <c r="R937" s="6"/>
      <c r="S937" s="6"/>
      <c r="T937" s="6"/>
      <c r="U937" s="10"/>
      <c r="V937" s="6"/>
      <c r="W937" s="10"/>
      <c r="X937" s="10"/>
      <c r="Y937" s="4"/>
      <c r="Z937" s="4"/>
    </row>
    <row r="938" spans="1:26" ht="15.75">
      <c r="A938" s="7"/>
      <c r="B938" s="7"/>
      <c r="C938" s="6"/>
      <c r="D938" s="6"/>
      <c r="E938" s="6"/>
      <c r="F938" s="6"/>
      <c r="G938" s="7"/>
      <c r="H938" s="7"/>
      <c r="I938" s="7"/>
      <c r="J938" s="7"/>
      <c r="K938" s="7"/>
      <c r="L938" s="6"/>
      <c r="M938" s="10"/>
      <c r="N938" s="10"/>
      <c r="O938" s="10"/>
      <c r="P938" s="6"/>
      <c r="Q938" s="10"/>
      <c r="R938" s="6"/>
      <c r="S938" s="6"/>
      <c r="T938" s="6"/>
      <c r="U938" s="10"/>
      <c r="V938" s="6"/>
      <c r="W938" s="10"/>
      <c r="X938" s="10"/>
      <c r="Y938" s="4"/>
      <c r="Z938" s="4"/>
    </row>
    <row r="939" spans="1:26" ht="15.75">
      <c r="A939" s="7"/>
      <c r="B939" s="7"/>
      <c r="C939" s="6"/>
      <c r="D939" s="6"/>
      <c r="E939" s="6"/>
      <c r="F939" s="6"/>
      <c r="G939" s="7"/>
      <c r="H939" s="7"/>
      <c r="I939" s="7"/>
      <c r="J939" s="7"/>
      <c r="K939" s="7"/>
      <c r="L939" s="6"/>
      <c r="M939" s="10"/>
      <c r="N939" s="10"/>
      <c r="O939" s="10"/>
      <c r="P939" s="6"/>
      <c r="Q939" s="10"/>
      <c r="R939" s="6"/>
      <c r="S939" s="6"/>
      <c r="T939" s="6"/>
      <c r="U939" s="10"/>
      <c r="V939" s="6"/>
      <c r="W939" s="10"/>
      <c r="X939" s="10"/>
      <c r="Y939" s="4"/>
      <c r="Z939" s="4"/>
    </row>
    <row r="940" spans="1:26" ht="15.75">
      <c r="A940" s="7"/>
      <c r="B940" s="7"/>
      <c r="C940" s="6"/>
      <c r="D940" s="6"/>
      <c r="E940" s="6"/>
      <c r="F940" s="6"/>
      <c r="G940" s="7"/>
      <c r="H940" s="7"/>
      <c r="I940" s="7"/>
      <c r="J940" s="7"/>
      <c r="K940" s="7"/>
      <c r="L940" s="6"/>
      <c r="M940" s="10"/>
      <c r="N940" s="10"/>
      <c r="O940" s="10"/>
      <c r="P940" s="6"/>
      <c r="Q940" s="10"/>
      <c r="R940" s="6"/>
      <c r="S940" s="6"/>
      <c r="T940" s="6"/>
      <c r="U940" s="10"/>
      <c r="V940" s="6"/>
      <c r="W940" s="10"/>
      <c r="X940" s="10"/>
      <c r="Y940" s="4"/>
      <c r="Z940" s="4"/>
    </row>
    <row r="941" spans="1:26" ht="15.75">
      <c r="A941" s="7"/>
      <c r="B941" s="7"/>
      <c r="C941" s="6"/>
      <c r="D941" s="6"/>
      <c r="E941" s="6"/>
      <c r="F941" s="6"/>
      <c r="G941" s="7"/>
      <c r="H941" s="7"/>
      <c r="I941" s="7"/>
      <c r="J941" s="7"/>
      <c r="K941" s="7"/>
      <c r="L941" s="6"/>
      <c r="M941" s="10"/>
      <c r="N941" s="10"/>
      <c r="O941" s="10"/>
      <c r="P941" s="6"/>
      <c r="Q941" s="10"/>
      <c r="R941" s="6"/>
      <c r="S941" s="6"/>
      <c r="T941" s="6"/>
      <c r="U941" s="10"/>
      <c r="V941" s="6"/>
      <c r="W941" s="10"/>
      <c r="X941" s="10"/>
      <c r="Y941" s="4"/>
      <c r="Z941" s="4"/>
    </row>
    <row r="942" spans="1:26" ht="15.75">
      <c r="A942" s="7"/>
      <c r="B942" s="7"/>
      <c r="C942" s="6"/>
      <c r="D942" s="6"/>
      <c r="E942" s="6"/>
      <c r="F942" s="6"/>
      <c r="G942" s="7"/>
      <c r="H942" s="7"/>
      <c r="I942" s="7"/>
      <c r="J942" s="7"/>
      <c r="K942" s="7"/>
      <c r="L942" s="6"/>
      <c r="M942" s="10"/>
      <c r="N942" s="10"/>
      <c r="O942" s="10"/>
      <c r="P942" s="6"/>
      <c r="Q942" s="10"/>
      <c r="R942" s="6"/>
      <c r="S942" s="6"/>
      <c r="T942" s="6"/>
      <c r="U942" s="10"/>
      <c r="V942" s="6"/>
      <c r="W942" s="10"/>
      <c r="X942" s="10"/>
      <c r="Y942" s="4"/>
      <c r="Z942" s="4"/>
    </row>
    <row r="943" spans="1:26" ht="15.75">
      <c r="A943" s="7"/>
      <c r="B943" s="7"/>
      <c r="C943" s="6"/>
      <c r="D943" s="6"/>
      <c r="E943" s="6"/>
      <c r="F943" s="6"/>
      <c r="G943" s="7"/>
      <c r="H943" s="7"/>
      <c r="I943" s="7"/>
      <c r="J943" s="7"/>
      <c r="K943" s="7"/>
      <c r="L943" s="6"/>
      <c r="M943" s="10"/>
      <c r="N943" s="10"/>
      <c r="O943" s="10"/>
      <c r="P943" s="6"/>
      <c r="Q943" s="10"/>
      <c r="R943" s="6"/>
      <c r="S943" s="6"/>
      <c r="T943" s="6"/>
      <c r="U943" s="10"/>
      <c r="V943" s="6"/>
      <c r="W943" s="10"/>
      <c r="X943" s="10"/>
      <c r="Y943" s="4"/>
      <c r="Z943" s="4"/>
    </row>
    <row r="944" spans="1:26" ht="15.75">
      <c r="A944" s="7"/>
      <c r="B944" s="7"/>
      <c r="C944" s="6"/>
      <c r="D944" s="6"/>
      <c r="E944" s="6"/>
      <c r="F944" s="6"/>
      <c r="G944" s="7"/>
      <c r="H944" s="7"/>
      <c r="I944" s="7"/>
      <c r="J944" s="7"/>
      <c r="K944" s="7"/>
      <c r="L944" s="6"/>
      <c r="M944" s="10"/>
      <c r="N944" s="10"/>
      <c r="O944" s="10"/>
      <c r="P944" s="6"/>
      <c r="Q944" s="10"/>
      <c r="R944" s="6"/>
      <c r="S944" s="6"/>
      <c r="T944" s="6"/>
      <c r="U944" s="10"/>
      <c r="V944" s="6"/>
      <c r="W944" s="10"/>
      <c r="X944" s="10"/>
      <c r="Y944" s="4"/>
      <c r="Z944" s="4"/>
    </row>
    <row r="945" spans="1:26" ht="15.75">
      <c r="A945" s="7"/>
      <c r="B945" s="7"/>
      <c r="C945" s="6"/>
      <c r="D945" s="6"/>
      <c r="E945" s="6"/>
      <c r="F945" s="6"/>
      <c r="G945" s="7"/>
      <c r="H945" s="7"/>
      <c r="I945" s="7"/>
      <c r="J945" s="7"/>
      <c r="K945" s="7"/>
      <c r="L945" s="6"/>
      <c r="M945" s="10"/>
      <c r="N945" s="10"/>
      <c r="O945" s="10"/>
      <c r="P945" s="6"/>
      <c r="Q945" s="10"/>
      <c r="R945" s="6"/>
      <c r="S945" s="6"/>
      <c r="T945" s="6"/>
      <c r="U945" s="10"/>
      <c r="V945" s="6"/>
      <c r="W945" s="10"/>
      <c r="X945" s="10"/>
      <c r="Y945" s="4"/>
      <c r="Z945" s="4"/>
    </row>
    <row r="946" spans="1:26" ht="15.75">
      <c r="A946" s="7"/>
      <c r="B946" s="7"/>
      <c r="C946" s="6"/>
      <c r="D946" s="6"/>
      <c r="E946" s="6"/>
      <c r="F946" s="6"/>
      <c r="G946" s="7"/>
      <c r="H946" s="7"/>
      <c r="I946" s="7"/>
      <c r="J946" s="7"/>
      <c r="K946" s="7"/>
      <c r="L946" s="6"/>
      <c r="M946" s="10"/>
      <c r="N946" s="10"/>
      <c r="O946" s="10"/>
      <c r="P946" s="6"/>
      <c r="Q946" s="10"/>
      <c r="R946" s="6"/>
      <c r="S946" s="6"/>
      <c r="T946" s="6"/>
      <c r="U946" s="10"/>
      <c r="V946" s="6"/>
      <c r="W946" s="10"/>
      <c r="X946" s="10"/>
      <c r="Y946" s="4"/>
      <c r="Z946" s="4"/>
    </row>
    <row r="947" spans="1:26" ht="15.75">
      <c r="A947" s="7"/>
      <c r="B947" s="7"/>
      <c r="C947" s="6"/>
      <c r="D947" s="6"/>
      <c r="E947" s="6"/>
      <c r="F947" s="6"/>
      <c r="G947" s="7"/>
      <c r="H947" s="7"/>
      <c r="I947" s="7"/>
      <c r="J947" s="7"/>
      <c r="K947" s="7"/>
      <c r="L947" s="6"/>
      <c r="M947" s="10"/>
      <c r="N947" s="10"/>
      <c r="O947" s="10"/>
      <c r="P947" s="6"/>
      <c r="Q947" s="10"/>
      <c r="R947" s="6"/>
      <c r="S947" s="6"/>
      <c r="T947" s="6"/>
      <c r="U947" s="10"/>
      <c r="V947" s="6"/>
      <c r="W947" s="10"/>
      <c r="X947" s="10"/>
      <c r="Y947" s="4"/>
      <c r="Z947" s="4"/>
    </row>
    <row r="948" spans="1:26" ht="15.75">
      <c r="A948" s="7"/>
      <c r="B948" s="7"/>
      <c r="C948" s="6"/>
      <c r="D948" s="6"/>
      <c r="E948" s="6"/>
      <c r="F948" s="6"/>
      <c r="G948" s="7"/>
      <c r="H948" s="7"/>
      <c r="I948" s="7"/>
      <c r="J948" s="7"/>
      <c r="K948" s="7"/>
      <c r="L948" s="6"/>
      <c r="M948" s="10"/>
      <c r="N948" s="10"/>
      <c r="O948" s="10"/>
      <c r="P948" s="6"/>
      <c r="Q948" s="10"/>
      <c r="R948" s="6"/>
      <c r="S948" s="6"/>
      <c r="T948" s="6"/>
      <c r="U948" s="10"/>
      <c r="V948" s="6"/>
      <c r="W948" s="10"/>
      <c r="X948" s="10"/>
      <c r="Y948" s="4"/>
      <c r="Z948" s="4"/>
    </row>
    <row r="949" spans="1:26" ht="15.75">
      <c r="A949" s="7"/>
      <c r="B949" s="7"/>
      <c r="C949" s="6"/>
      <c r="D949" s="6"/>
      <c r="E949" s="6"/>
      <c r="F949" s="6"/>
      <c r="G949" s="7"/>
      <c r="H949" s="7"/>
      <c r="I949" s="7"/>
      <c r="J949" s="7"/>
      <c r="K949" s="7"/>
      <c r="L949" s="6"/>
      <c r="M949" s="10"/>
      <c r="N949" s="10"/>
      <c r="O949" s="10"/>
      <c r="P949" s="6"/>
      <c r="Q949" s="10"/>
      <c r="R949" s="6"/>
      <c r="S949" s="6"/>
      <c r="T949" s="6"/>
      <c r="U949" s="10"/>
      <c r="V949" s="6"/>
      <c r="W949" s="10"/>
      <c r="X949" s="10"/>
      <c r="Y949" s="4"/>
      <c r="Z949" s="4"/>
    </row>
    <row r="950" spans="1:26" ht="15.75">
      <c r="A950" s="7"/>
      <c r="B950" s="7"/>
      <c r="C950" s="6"/>
      <c r="D950" s="6"/>
      <c r="E950" s="6"/>
      <c r="F950" s="6"/>
      <c r="G950" s="7"/>
      <c r="H950" s="7"/>
      <c r="I950" s="7"/>
      <c r="J950" s="7"/>
      <c r="K950" s="7"/>
      <c r="L950" s="6"/>
      <c r="M950" s="10"/>
      <c r="N950" s="10"/>
      <c r="O950" s="10"/>
      <c r="P950" s="6"/>
      <c r="Q950" s="10"/>
      <c r="R950" s="6"/>
      <c r="S950" s="6"/>
      <c r="T950" s="6"/>
      <c r="U950" s="10"/>
      <c r="V950" s="6"/>
      <c r="W950" s="10"/>
      <c r="X950" s="10"/>
      <c r="Y950" s="4"/>
      <c r="Z950" s="4"/>
    </row>
    <row r="951" spans="1:26" ht="15.75">
      <c r="A951" s="7"/>
      <c r="B951" s="7"/>
      <c r="C951" s="6"/>
      <c r="D951" s="6"/>
      <c r="E951" s="6"/>
      <c r="F951" s="6"/>
      <c r="G951" s="7"/>
      <c r="H951" s="7"/>
      <c r="I951" s="7"/>
      <c r="J951" s="7"/>
      <c r="K951" s="7"/>
      <c r="L951" s="6"/>
      <c r="M951" s="10"/>
      <c r="N951" s="10"/>
      <c r="O951" s="10"/>
      <c r="P951" s="6"/>
      <c r="Q951" s="10"/>
      <c r="R951" s="6"/>
      <c r="S951" s="6"/>
      <c r="T951" s="6"/>
      <c r="U951" s="10"/>
      <c r="V951" s="6"/>
      <c r="W951" s="10"/>
      <c r="X951" s="10"/>
      <c r="Y951" s="4"/>
      <c r="Z951" s="4"/>
    </row>
    <row r="952" spans="1:26" ht="15.75">
      <c r="A952" s="7"/>
      <c r="B952" s="7"/>
      <c r="C952" s="6"/>
      <c r="D952" s="6"/>
      <c r="E952" s="6"/>
      <c r="F952" s="6"/>
      <c r="G952" s="7"/>
      <c r="H952" s="7"/>
      <c r="I952" s="7"/>
      <c r="J952" s="7"/>
      <c r="K952" s="7"/>
      <c r="L952" s="6"/>
      <c r="M952" s="10"/>
      <c r="N952" s="10"/>
      <c r="O952" s="10"/>
      <c r="P952" s="6"/>
      <c r="Q952" s="10"/>
      <c r="R952" s="6"/>
      <c r="S952" s="6"/>
      <c r="T952" s="6"/>
      <c r="U952" s="10"/>
      <c r="V952" s="6"/>
      <c r="W952" s="10"/>
      <c r="X952" s="10"/>
      <c r="Y952" s="4"/>
      <c r="Z952" s="4"/>
    </row>
    <row r="953" spans="1:26" ht="15.75">
      <c r="A953" s="7"/>
      <c r="B953" s="7"/>
      <c r="C953" s="6"/>
      <c r="D953" s="6"/>
      <c r="E953" s="6"/>
      <c r="F953" s="6"/>
      <c r="G953" s="7"/>
      <c r="H953" s="7"/>
      <c r="I953" s="7"/>
      <c r="J953" s="7"/>
      <c r="K953" s="7"/>
      <c r="L953" s="6"/>
      <c r="M953" s="10"/>
      <c r="N953" s="10"/>
      <c r="O953" s="10"/>
      <c r="P953" s="6"/>
      <c r="Q953" s="10"/>
      <c r="R953" s="6"/>
      <c r="S953" s="6"/>
      <c r="T953" s="6"/>
      <c r="U953" s="10"/>
      <c r="V953" s="6"/>
      <c r="W953" s="10"/>
      <c r="X953" s="10"/>
      <c r="Y953" s="4"/>
      <c r="Z953" s="4"/>
    </row>
    <row r="954" spans="1:26" ht="15.75">
      <c r="A954" s="7"/>
      <c r="B954" s="7"/>
      <c r="C954" s="6"/>
      <c r="D954" s="6"/>
      <c r="E954" s="6"/>
      <c r="F954" s="6"/>
      <c r="G954" s="7"/>
      <c r="H954" s="7"/>
      <c r="I954" s="7"/>
      <c r="J954" s="7"/>
      <c r="K954" s="7"/>
      <c r="L954" s="6"/>
      <c r="M954" s="10"/>
      <c r="N954" s="10"/>
      <c r="O954" s="10"/>
      <c r="P954" s="6"/>
      <c r="Q954" s="10"/>
      <c r="R954" s="6"/>
      <c r="S954" s="6"/>
      <c r="T954" s="6"/>
      <c r="U954" s="10"/>
      <c r="V954" s="6"/>
      <c r="W954" s="10"/>
      <c r="X954" s="10"/>
      <c r="Y954" s="4"/>
      <c r="Z954" s="4"/>
    </row>
    <row r="955" spans="1:26" ht="15.75">
      <c r="A955" s="7"/>
      <c r="B955" s="7"/>
      <c r="C955" s="6"/>
      <c r="D955" s="6"/>
      <c r="E955" s="6"/>
      <c r="F955" s="6"/>
      <c r="G955" s="7"/>
      <c r="H955" s="7"/>
      <c r="I955" s="7"/>
      <c r="J955" s="7"/>
      <c r="K955" s="7"/>
      <c r="L955" s="6"/>
      <c r="M955" s="10"/>
      <c r="N955" s="10"/>
      <c r="O955" s="10"/>
      <c r="P955" s="6"/>
      <c r="Q955" s="10"/>
      <c r="R955" s="6"/>
      <c r="S955" s="6"/>
      <c r="T955" s="6"/>
      <c r="U955" s="10"/>
      <c r="V955" s="6"/>
      <c r="W955" s="10"/>
      <c r="X955" s="10"/>
      <c r="Y955" s="4"/>
      <c r="Z955" s="4"/>
    </row>
    <row r="956" spans="1:26" ht="15.75">
      <c r="A956" s="7"/>
      <c r="B956" s="7"/>
      <c r="C956" s="6"/>
      <c r="D956" s="6"/>
      <c r="E956" s="6"/>
      <c r="F956" s="6"/>
      <c r="G956" s="7"/>
      <c r="H956" s="7"/>
      <c r="I956" s="7"/>
      <c r="J956" s="7"/>
      <c r="K956" s="7"/>
      <c r="L956" s="6"/>
      <c r="M956" s="10"/>
      <c r="N956" s="10"/>
      <c r="O956" s="10"/>
      <c r="P956" s="6"/>
      <c r="Q956" s="10"/>
      <c r="R956" s="6"/>
      <c r="S956" s="6"/>
      <c r="T956" s="6"/>
      <c r="U956" s="10"/>
      <c r="V956" s="6"/>
      <c r="W956" s="10"/>
      <c r="X956" s="10"/>
      <c r="Y956" s="4"/>
      <c r="Z956" s="4"/>
    </row>
    <row r="957" spans="1:26" ht="15.75">
      <c r="A957" s="7"/>
      <c r="B957" s="7"/>
      <c r="C957" s="6"/>
      <c r="D957" s="6"/>
      <c r="E957" s="6"/>
      <c r="F957" s="6"/>
      <c r="G957" s="7"/>
      <c r="H957" s="7"/>
      <c r="I957" s="7"/>
      <c r="J957" s="7"/>
      <c r="K957" s="7"/>
      <c r="L957" s="6"/>
      <c r="M957" s="10"/>
      <c r="N957" s="10"/>
      <c r="O957" s="10"/>
      <c r="P957" s="6"/>
      <c r="Q957" s="10"/>
      <c r="R957" s="6"/>
      <c r="S957" s="6"/>
      <c r="T957" s="6"/>
      <c r="U957" s="10"/>
      <c r="V957" s="6"/>
      <c r="W957" s="10"/>
      <c r="X957" s="10"/>
      <c r="Y957" s="4"/>
      <c r="Z957" s="4"/>
    </row>
    <row r="958" spans="1:26" ht="15.75">
      <c r="A958" s="7"/>
      <c r="B958" s="7"/>
      <c r="C958" s="6"/>
      <c r="D958" s="6"/>
      <c r="E958" s="6"/>
      <c r="F958" s="6"/>
      <c r="G958" s="7"/>
      <c r="H958" s="7"/>
      <c r="I958" s="7"/>
      <c r="J958" s="7"/>
      <c r="K958" s="7"/>
      <c r="L958" s="6"/>
      <c r="M958" s="10"/>
      <c r="N958" s="10"/>
      <c r="O958" s="10"/>
      <c r="P958" s="6"/>
      <c r="Q958" s="10"/>
      <c r="R958" s="6"/>
      <c r="S958" s="6"/>
      <c r="T958" s="6"/>
      <c r="U958" s="10"/>
      <c r="V958" s="6"/>
      <c r="W958" s="10"/>
      <c r="X958" s="10"/>
      <c r="Y958" s="4"/>
      <c r="Z958" s="4"/>
    </row>
    <row r="959" spans="1:26" ht="15.75">
      <c r="A959" s="7"/>
      <c r="B959" s="7"/>
      <c r="C959" s="6"/>
      <c r="D959" s="6"/>
      <c r="E959" s="6"/>
      <c r="F959" s="6"/>
      <c r="G959" s="7"/>
      <c r="H959" s="7"/>
      <c r="I959" s="7"/>
      <c r="J959" s="7"/>
      <c r="K959" s="7"/>
      <c r="L959" s="6"/>
      <c r="M959" s="10"/>
      <c r="N959" s="10"/>
      <c r="O959" s="10"/>
      <c r="P959" s="6"/>
      <c r="Q959" s="10"/>
      <c r="R959" s="6"/>
      <c r="S959" s="6"/>
      <c r="T959" s="6"/>
      <c r="U959" s="10"/>
      <c r="V959" s="6"/>
      <c r="W959" s="10"/>
      <c r="X959" s="10"/>
      <c r="Y959" s="4"/>
      <c r="Z959" s="4"/>
    </row>
    <row r="960" spans="1:26" ht="15.75">
      <c r="A960" s="7"/>
      <c r="B960" s="7"/>
      <c r="C960" s="6"/>
      <c r="D960" s="6"/>
      <c r="E960" s="6"/>
      <c r="F960" s="6"/>
      <c r="G960" s="7"/>
      <c r="H960" s="7"/>
      <c r="I960" s="7"/>
      <c r="J960" s="7"/>
      <c r="K960" s="7"/>
      <c r="L960" s="6"/>
      <c r="M960" s="10"/>
      <c r="N960" s="10"/>
      <c r="O960" s="10"/>
      <c r="P960" s="6"/>
      <c r="Q960" s="10"/>
      <c r="R960" s="6"/>
      <c r="S960" s="6"/>
      <c r="T960" s="6"/>
      <c r="U960" s="10"/>
      <c r="V960" s="6"/>
      <c r="W960" s="10"/>
      <c r="X960" s="10"/>
      <c r="Y960" s="4"/>
      <c r="Z960" s="4"/>
    </row>
    <row r="961" spans="1:26" ht="15.75">
      <c r="A961" s="7"/>
      <c r="B961" s="7"/>
      <c r="C961" s="6"/>
      <c r="D961" s="6"/>
      <c r="E961" s="6"/>
      <c r="F961" s="6"/>
      <c r="G961" s="7"/>
      <c r="H961" s="7"/>
      <c r="I961" s="7"/>
      <c r="J961" s="7"/>
      <c r="K961" s="7"/>
      <c r="L961" s="6"/>
      <c r="M961" s="10"/>
      <c r="N961" s="10"/>
      <c r="O961" s="10"/>
      <c r="P961" s="6"/>
      <c r="Q961" s="10"/>
      <c r="R961" s="6"/>
      <c r="S961" s="6"/>
      <c r="T961" s="6"/>
      <c r="U961" s="10"/>
      <c r="V961" s="6"/>
      <c r="W961" s="10"/>
      <c r="X961" s="10"/>
      <c r="Y961" s="4"/>
      <c r="Z961" s="4"/>
    </row>
    <row r="962" spans="1:26" ht="15.75">
      <c r="A962" s="7"/>
      <c r="B962" s="7"/>
      <c r="C962" s="6"/>
      <c r="D962" s="6"/>
      <c r="E962" s="6"/>
      <c r="F962" s="6"/>
      <c r="G962" s="7"/>
      <c r="H962" s="7"/>
      <c r="I962" s="7"/>
      <c r="J962" s="7"/>
      <c r="K962" s="7"/>
      <c r="L962" s="6"/>
      <c r="M962" s="10"/>
      <c r="N962" s="10"/>
      <c r="O962" s="10"/>
      <c r="P962" s="6"/>
      <c r="Q962" s="10"/>
      <c r="R962" s="6"/>
      <c r="S962" s="6"/>
      <c r="T962" s="6"/>
      <c r="U962" s="10"/>
      <c r="V962" s="6"/>
      <c r="W962" s="10"/>
      <c r="X962" s="10"/>
      <c r="Y962" s="4"/>
      <c r="Z962" s="4"/>
    </row>
    <row r="963" spans="1:26" ht="15.75">
      <c r="A963" s="7"/>
      <c r="B963" s="7"/>
      <c r="C963" s="6"/>
      <c r="D963" s="6"/>
      <c r="E963" s="6"/>
      <c r="F963" s="6"/>
      <c r="G963" s="7"/>
      <c r="H963" s="7"/>
      <c r="I963" s="7"/>
      <c r="J963" s="7"/>
      <c r="K963" s="7"/>
      <c r="L963" s="6"/>
      <c r="M963" s="10"/>
      <c r="N963" s="10"/>
      <c r="O963" s="10"/>
      <c r="P963" s="6"/>
      <c r="Q963" s="10"/>
      <c r="R963" s="6"/>
      <c r="S963" s="6"/>
      <c r="T963" s="6"/>
      <c r="U963" s="10"/>
      <c r="V963" s="6"/>
      <c r="W963" s="10"/>
      <c r="X963" s="10"/>
      <c r="Y963" s="4"/>
      <c r="Z963" s="4"/>
    </row>
    <row r="964" spans="1:26" ht="15.75">
      <c r="A964" s="7"/>
      <c r="B964" s="7"/>
      <c r="C964" s="6"/>
      <c r="D964" s="6"/>
      <c r="E964" s="6"/>
      <c r="F964" s="6"/>
      <c r="G964" s="7"/>
      <c r="H964" s="7"/>
      <c r="I964" s="7"/>
      <c r="J964" s="7"/>
      <c r="K964" s="7"/>
      <c r="L964" s="6"/>
      <c r="M964" s="10"/>
      <c r="N964" s="10"/>
      <c r="O964" s="10"/>
      <c r="P964" s="6"/>
      <c r="Q964" s="10"/>
      <c r="R964" s="6"/>
      <c r="S964" s="6"/>
      <c r="T964" s="6"/>
      <c r="U964" s="10"/>
      <c r="V964" s="6"/>
      <c r="W964" s="10"/>
      <c r="X964" s="10"/>
      <c r="Y964" s="4"/>
      <c r="Z964" s="4"/>
    </row>
    <row r="965" spans="1:26" ht="15.75">
      <c r="A965" s="7"/>
      <c r="B965" s="7"/>
      <c r="C965" s="6"/>
      <c r="D965" s="6"/>
      <c r="E965" s="6"/>
      <c r="F965" s="6"/>
      <c r="G965" s="7"/>
      <c r="H965" s="7"/>
      <c r="I965" s="7"/>
      <c r="J965" s="7"/>
      <c r="K965" s="7"/>
      <c r="L965" s="6"/>
      <c r="M965" s="10"/>
      <c r="N965" s="10"/>
      <c r="O965" s="10"/>
      <c r="P965" s="6"/>
      <c r="Q965" s="10"/>
      <c r="R965" s="6"/>
      <c r="S965" s="6"/>
      <c r="T965" s="6"/>
      <c r="U965" s="10"/>
      <c r="V965" s="6"/>
      <c r="W965" s="10"/>
      <c r="X965" s="10"/>
      <c r="Y965" s="4"/>
      <c r="Z965" s="4"/>
    </row>
    <row r="966" spans="1:26" ht="15.75">
      <c r="A966" s="7"/>
      <c r="B966" s="7"/>
      <c r="C966" s="6"/>
      <c r="D966" s="6"/>
      <c r="E966" s="6"/>
      <c r="F966" s="6"/>
      <c r="G966" s="7"/>
      <c r="H966" s="7"/>
      <c r="I966" s="7"/>
      <c r="J966" s="7"/>
      <c r="K966" s="7"/>
      <c r="L966" s="6"/>
      <c r="M966" s="10"/>
      <c r="N966" s="10"/>
      <c r="O966" s="10"/>
      <c r="P966" s="6"/>
      <c r="Q966" s="10"/>
      <c r="R966" s="6"/>
      <c r="S966" s="6"/>
      <c r="T966" s="6"/>
      <c r="U966" s="10"/>
      <c r="V966" s="6"/>
      <c r="W966" s="10"/>
      <c r="X966" s="10"/>
      <c r="Y966" s="4"/>
      <c r="Z966" s="4"/>
    </row>
    <row r="967" spans="1:26" ht="15.75">
      <c r="A967" s="7"/>
      <c r="B967" s="7"/>
      <c r="C967" s="6"/>
      <c r="D967" s="6"/>
      <c r="E967" s="6"/>
      <c r="F967" s="6"/>
      <c r="G967" s="7"/>
      <c r="H967" s="7"/>
      <c r="I967" s="7"/>
      <c r="J967" s="7"/>
      <c r="K967" s="7"/>
      <c r="L967" s="6"/>
      <c r="M967" s="10"/>
      <c r="N967" s="10"/>
      <c r="O967" s="10"/>
      <c r="P967" s="6"/>
      <c r="Q967" s="10"/>
      <c r="R967" s="6"/>
      <c r="S967" s="6"/>
      <c r="T967" s="6"/>
      <c r="U967" s="10"/>
      <c r="V967" s="6"/>
      <c r="W967" s="10"/>
      <c r="X967" s="10"/>
      <c r="Y967" s="4"/>
      <c r="Z967" s="4"/>
    </row>
    <row r="968" spans="1:26" ht="15.75">
      <c r="A968" s="7"/>
      <c r="B968" s="7"/>
      <c r="C968" s="6"/>
      <c r="D968" s="6"/>
      <c r="E968" s="6"/>
      <c r="F968" s="6"/>
      <c r="G968" s="7"/>
      <c r="H968" s="7"/>
      <c r="I968" s="7"/>
      <c r="J968" s="7"/>
      <c r="K968" s="7"/>
      <c r="L968" s="6"/>
      <c r="M968" s="10"/>
      <c r="N968" s="10"/>
      <c r="O968" s="10"/>
      <c r="P968" s="6"/>
      <c r="Q968" s="10"/>
      <c r="R968" s="6"/>
      <c r="S968" s="6"/>
      <c r="T968" s="6"/>
      <c r="U968" s="10"/>
      <c r="V968" s="6"/>
      <c r="W968" s="10"/>
      <c r="X968" s="10"/>
      <c r="Y968" s="4"/>
      <c r="Z968" s="4"/>
    </row>
    <row r="969" spans="1:26" ht="15.75">
      <c r="A969" s="7"/>
      <c r="B969" s="7"/>
      <c r="C969" s="6"/>
      <c r="D969" s="6"/>
      <c r="E969" s="6"/>
      <c r="F969" s="6"/>
      <c r="G969" s="7"/>
      <c r="H969" s="7"/>
      <c r="I969" s="7"/>
      <c r="J969" s="7"/>
      <c r="K969" s="7"/>
      <c r="L969" s="6"/>
      <c r="M969" s="10"/>
      <c r="N969" s="10"/>
      <c r="O969" s="10"/>
      <c r="P969" s="6"/>
      <c r="Q969" s="10"/>
      <c r="R969" s="6"/>
      <c r="S969" s="6"/>
      <c r="T969" s="6"/>
      <c r="U969" s="10"/>
      <c r="V969" s="6"/>
      <c r="W969" s="10"/>
      <c r="X969" s="10"/>
      <c r="Y969" s="4"/>
      <c r="Z969" s="4"/>
    </row>
    <row r="970" spans="1:26" ht="15.75">
      <c r="A970" s="7"/>
      <c r="B970" s="7"/>
      <c r="C970" s="6"/>
      <c r="D970" s="6"/>
      <c r="E970" s="6"/>
      <c r="F970" s="6"/>
      <c r="G970" s="7"/>
      <c r="H970" s="7"/>
      <c r="I970" s="7"/>
      <c r="J970" s="7"/>
      <c r="K970" s="7"/>
      <c r="L970" s="6"/>
      <c r="M970" s="10"/>
      <c r="N970" s="10"/>
      <c r="O970" s="10"/>
      <c r="P970" s="6"/>
      <c r="Q970" s="10"/>
      <c r="R970" s="6"/>
      <c r="S970" s="6"/>
      <c r="T970" s="6"/>
      <c r="U970" s="10"/>
      <c r="V970" s="6"/>
      <c r="W970" s="10"/>
      <c r="X970" s="10"/>
      <c r="Y970" s="4"/>
      <c r="Z970" s="4"/>
    </row>
    <row r="971" spans="1:26" ht="15.75">
      <c r="A971" s="7"/>
      <c r="B971" s="7"/>
      <c r="C971" s="6"/>
      <c r="D971" s="6"/>
      <c r="E971" s="6"/>
      <c r="F971" s="6"/>
      <c r="G971" s="7"/>
      <c r="H971" s="7"/>
      <c r="I971" s="7"/>
      <c r="J971" s="7"/>
      <c r="K971" s="7"/>
      <c r="L971" s="6"/>
      <c r="M971" s="10"/>
      <c r="N971" s="10"/>
      <c r="O971" s="10"/>
      <c r="P971" s="6"/>
      <c r="Q971" s="10"/>
      <c r="R971" s="6"/>
      <c r="S971" s="6"/>
      <c r="T971" s="6"/>
      <c r="U971" s="10"/>
      <c r="V971" s="6"/>
      <c r="W971" s="10"/>
      <c r="X971" s="10"/>
      <c r="Y971" s="4"/>
      <c r="Z971" s="4"/>
    </row>
    <row r="972" spans="1:26" ht="15.75">
      <c r="A972" s="7"/>
      <c r="B972" s="7"/>
      <c r="C972" s="6"/>
      <c r="D972" s="6"/>
      <c r="E972" s="6"/>
      <c r="F972" s="6"/>
      <c r="G972" s="7"/>
      <c r="H972" s="7"/>
      <c r="I972" s="7"/>
      <c r="J972" s="7"/>
      <c r="K972" s="7"/>
      <c r="L972" s="6"/>
      <c r="M972" s="10"/>
      <c r="N972" s="10"/>
      <c r="O972" s="10"/>
      <c r="P972" s="6"/>
      <c r="Q972" s="10"/>
      <c r="R972" s="6"/>
      <c r="S972" s="6"/>
      <c r="T972" s="6"/>
      <c r="U972" s="10"/>
      <c r="V972" s="6"/>
      <c r="W972" s="10"/>
      <c r="X972" s="10"/>
      <c r="Y972" s="4"/>
      <c r="Z972" s="4"/>
    </row>
    <row r="973" spans="1:26" ht="15.75">
      <c r="A973" s="7"/>
      <c r="B973" s="7"/>
      <c r="C973" s="6"/>
      <c r="D973" s="6"/>
      <c r="E973" s="6"/>
      <c r="F973" s="6"/>
      <c r="G973" s="7"/>
      <c r="H973" s="7"/>
      <c r="I973" s="7"/>
      <c r="J973" s="7"/>
      <c r="K973" s="7"/>
      <c r="L973" s="6"/>
      <c r="M973" s="10"/>
      <c r="N973" s="10"/>
      <c r="O973" s="10"/>
      <c r="P973" s="6"/>
      <c r="Q973" s="10"/>
      <c r="R973" s="6"/>
      <c r="S973" s="6"/>
      <c r="T973" s="6"/>
      <c r="U973" s="10"/>
      <c r="V973" s="6"/>
      <c r="W973" s="10"/>
      <c r="X973" s="10"/>
      <c r="Y973" s="4"/>
      <c r="Z973" s="4"/>
    </row>
    <row r="974" spans="1:26" ht="15.75">
      <c r="A974" s="7"/>
      <c r="B974" s="7"/>
      <c r="C974" s="6"/>
      <c r="D974" s="6"/>
      <c r="E974" s="6"/>
      <c r="F974" s="6"/>
      <c r="G974" s="7"/>
      <c r="H974" s="7"/>
      <c r="I974" s="7"/>
      <c r="J974" s="7"/>
      <c r="K974" s="7"/>
      <c r="L974" s="6"/>
      <c r="M974" s="10"/>
      <c r="N974" s="10"/>
      <c r="O974" s="10"/>
      <c r="P974" s="6"/>
      <c r="Q974" s="10"/>
      <c r="R974" s="6"/>
      <c r="S974" s="6"/>
      <c r="T974" s="6"/>
      <c r="U974" s="10"/>
      <c r="V974" s="6"/>
      <c r="W974" s="10"/>
      <c r="X974" s="10"/>
      <c r="Y974" s="4"/>
      <c r="Z974" s="4"/>
    </row>
    <row r="975" spans="1:26" ht="15.75">
      <c r="A975" s="7"/>
      <c r="B975" s="7"/>
      <c r="C975" s="6"/>
      <c r="D975" s="6"/>
      <c r="E975" s="6"/>
      <c r="F975" s="6"/>
      <c r="G975" s="7"/>
      <c r="H975" s="7"/>
      <c r="I975" s="7"/>
      <c r="J975" s="7"/>
      <c r="K975" s="7"/>
      <c r="L975" s="6"/>
      <c r="M975" s="10"/>
      <c r="N975" s="10"/>
      <c r="O975" s="10"/>
      <c r="P975" s="6"/>
      <c r="Q975" s="10"/>
      <c r="R975" s="6"/>
      <c r="S975" s="6"/>
      <c r="T975" s="6"/>
      <c r="U975" s="10"/>
      <c r="V975" s="6"/>
      <c r="W975" s="10"/>
      <c r="X975" s="10"/>
      <c r="Y975" s="4"/>
      <c r="Z975" s="4"/>
    </row>
    <row r="976" spans="1:26" ht="15.75">
      <c r="A976" s="7"/>
      <c r="B976" s="7"/>
      <c r="C976" s="6"/>
      <c r="D976" s="6"/>
      <c r="E976" s="6"/>
      <c r="F976" s="6"/>
      <c r="G976" s="7"/>
      <c r="H976" s="7"/>
      <c r="I976" s="7"/>
      <c r="J976" s="7"/>
      <c r="K976" s="7"/>
      <c r="L976" s="6"/>
      <c r="M976" s="10"/>
      <c r="N976" s="10"/>
      <c r="O976" s="10"/>
      <c r="P976" s="6"/>
      <c r="Q976" s="10"/>
      <c r="R976" s="6"/>
      <c r="S976" s="6"/>
      <c r="T976" s="6"/>
      <c r="U976" s="10"/>
      <c r="V976" s="6"/>
      <c r="W976" s="10"/>
      <c r="X976" s="10"/>
      <c r="Y976" s="4"/>
      <c r="Z976" s="4"/>
    </row>
    <row r="977" spans="1:26" ht="15.75">
      <c r="A977" s="7"/>
      <c r="B977" s="7"/>
      <c r="C977" s="6"/>
      <c r="D977" s="6"/>
      <c r="E977" s="6"/>
      <c r="F977" s="6"/>
      <c r="G977" s="7"/>
      <c r="H977" s="7"/>
      <c r="I977" s="7"/>
      <c r="J977" s="7"/>
      <c r="K977" s="7"/>
      <c r="L977" s="6"/>
      <c r="M977" s="10"/>
      <c r="N977" s="10"/>
      <c r="O977" s="10"/>
      <c r="P977" s="6"/>
      <c r="Q977" s="10"/>
      <c r="R977" s="6"/>
      <c r="S977" s="6"/>
      <c r="T977" s="6"/>
      <c r="U977" s="10"/>
      <c r="V977" s="6"/>
      <c r="W977" s="10"/>
      <c r="X977" s="10"/>
      <c r="Y977" s="4"/>
      <c r="Z977" s="4"/>
    </row>
    <row r="978" spans="1:26" ht="15.75">
      <c r="A978" s="7"/>
      <c r="B978" s="7"/>
      <c r="C978" s="6"/>
      <c r="D978" s="6"/>
      <c r="E978" s="6"/>
      <c r="F978" s="6"/>
      <c r="G978" s="7"/>
      <c r="H978" s="7"/>
      <c r="I978" s="7"/>
      <c r="J978" s="7"/>
      <c r="K978" s="7"/>
      <c r="L978" s="6"/>
      <c r="M978" s="10"/>
      <c r="N978" s="10"/>
      <c r="O978" s="10"/>
      <c r="P978" s="6"/>
      <c r="Q978" s="10"/>
      <c r="R978" s="6"/>
      <c r="S978" s="6"/>
      <c r="T978" s="6"/>
      <c r="U978" s="10"/>
      <c r="V978" s="6"/>
      <c r="W978" s="10"/>
      <c r="X978" s="10"/>
      <c r="Y978" s="4"/>
      <c r="Z978" s="4"/>
    </row>
    <row r="979" spans="1:26" ht="15.75">
      <c r="A979" s="7"/>
      <c r="B979" s="7"/>
      <c r="C979" s="6"/>
      <c r="D979" s="6"/>
      <c r="E979" s="6"/>
      <c r="F979" s="6"/>
      <c r="G979" s="7"/>
      <c r="H979" s="7"/>
      <c r="I979" s="7"/>
      <c r="J979" s="7"/>
      <c r="K979" s="7"/>
      <c r="L979" s="6"/>
      <c r="M979" s="10"/>
      <c r="N979" s="10"/>
      <c r="O979" s="10"/>
      <c r="P979" s="6"/>
      <c r="Q979" s="10"/>
      <c r="R979" s="6"/>
      <c r="S979" s="6"/>
      <c r="T979" s="6"/>
      <c r="U979" s="10"/>
      <c r="V979" s="6"/>
      <c r="W979" s="10"/>
      <c r="X979" s="10"/>
      <c r="Y979" s="4"/>
      <c r="Z979" s="4"/>
    </row>
    <row r="980" spans="1:26" ht="15.75">
      <c r="A980" s="7"/>
      <c r="B980" s="7"/>
      <c r="C980" s="6"/>
      <c r="D980" s="6"/>
      <c r="E980" s="6"/>
      <c r="F980" s="6"/>
      <c r="G980" s="7"/>
      <c r="H980" s="7"/>
      <c r="I980" s="7"/>
      <c r="J980" s="7"/>
      <c r="K980" s="7"/>
      <c r="L980" s="6"/>
      <c r="M980" s="10"/>
      <c r="N980" s="10"/>
      <c r="O980" s="10"/>
      <c r="P980" s="6"/>
      <c r="Q980" s="10"/>
      <c r="R980" s="6"/>
      <c r="S980" s="6"/>
      <c r="T980" s="6"/>
      <c r="U980" s="10"/>
      <c r="V980" s="6"/>
      <c r="W980" s="10"/>
      <c r="X980" s="10"/>
      <c r="Y980" s="4"/>
      <c r="Z980" s="4"/>
    </row>
    <row r="981" spans="1:26" ht="15.75">
      <c r="A981" s="7"/>
      <c r="B981" s="7"/>
      <c r="C981" s="6"/>
      <c r="D981" s="6"/>
      <c r="E981" s="6"/>
      <c r="F981" s="6"/>
      <c r="G981" s="7"/>
      <c r="H981" s="7"/>
      <c r="I981" s="7"/>
      <c r="J981" s="7"/>
      <c r="K981" s="7"/>
      <c r="L981" s="6"/>
      <c r="M981" s="10"/>
      <c r="N981" s="10"/>
      <c r="O981" s="10"/>
      <c r="P981" s="6"/>
      <c r="Q981" s="10"/>
      <c r="R981" s="6"/>
      <c r="S981" s="6"/>
      <c r="T981" s="6"/>
      <c r="U981" s="10"/>
      <c r="V981" s="6"/>
      <c r="W981" s="10"/>
      <c r="X981" s="10"/>
      <c r="Y981" s="4"/>
      <c r="Z981" s="4"/>
    </row>
    <row r="982" spans="1:26" ht="15.75">
      <c r="A982" s="7"/>
      <c r="B982" s="7"/>
      <c r="C982" s="6"/>
      <c r="D982" s="6"/>
      <c r="E982" s="6"/>
      <c r="F982" s="6"/>
      <c r="G982" s="7"/>
      <c r="H982" s="7"/>
      <c r="I982" s="7"/>
      <c r="J982" s="7"/>
      <c r="K982" s="7"/>
      <c r="L982" s="6"/>
      <c r="M982" s="10"/>
      <c r="N982" s="10"/>
      <c r="O982" s="10"/>
      <c r="P982" s="6"/>
      <c r="Q982" s="10"/>
      <c r="R982" s="6"/>
      <c r="S982" s="6"/>
      <c r="T982" s="6"/>
      <c r="U982" s="10"/>
      <c r="V982" s="6"/>
      <c r="W982" s="10"/>
      <c r="X982" s="10"/>
      <c r="Y982" s="4"/>
      <c r="Z982" s="4"/>
    </row>
    <row r="983" spans="1:26" ht="15.75">
      <c r="A983" s="7"/>
      <c r="B983" s="7"/>
      <c r="C983" s="6"/>
      <c r="D983" s="6"/>
      <c r="E983" s="6"/>
      <c r="F983" s="6"/>
      <c r="G983" s="7"/>
      <c r="H983" s="7"/>
      <c r="I983" s="7"/>
      <c r="J983" s="7"/>
      <c r="K983" s="7"/>
      <c r="L983" s="6"/>
      <c r="M983" s="10"/>
      <c r="N983" s="10"/>
      <c r="O983" s="10"/>
      <c r="P983" s="6"/>
      <c r="Q983" s="10"/>
      <c r="R983" s="6"/>
      <c r="S983" s="6"/>
      <c r="T983" s="6"/>
      <c r="U983" s="10"/>
      <c r="V983" s="6"/>
      <c r="W983" s="10"/>
      <c r="X983" s="10"/>
      <c r="Y983" s="4"/>
      <c r="Z983" s="4"/>
    </row>
    <row r="984" spans="1:26" ht="15.75">
      <c r="A984" s="7"/>
      <c r="B984" s="7"/>
      <c r="C984" s="6"/>
      <c r="D984" s="6"/>
      <c r="E984" s="6"/>
      <c r="F984" s="6"/>
      <c r="G984" s="7"/>
      <c r="H984" s="7"/>
      <c r="I984" s="7"/>
      <c r="J984" s="7"/>
      <c r="K984" s="7"/>
      <c r="L984" s="6"/>
      <c r="M984" s="10"/>
      <c r="N984" s="10"/>
      <c r="O984" s="10"/>
      <c r="P984" s="6"/>
      <c r="Q984" s="10"/>
      <c r="R984" s="6"/>
      <c r="S984" s="6"/>
      <c r="T984" s="6"/>
      <c r="U984" s="10"/>
      <c r="V984" s="6"/>
      <c r="W984" s="10"/>
      <c r="X984" s="10"/>
      <c r="Y984" s="4"/>
      <c r="Z984" s="4"/>
    </row>
    <row r="985" spans="1:26" ht="15.75">
      <c r="A985" s="7"/>
      <c r="B985" s="7"/>
      <c r="C985" s="6"/>
      <c r="D985" s="6"/>
      <c r="E985" s="6"/>
      <c r="F985" s="6"/>
      <c r="G985" s="7"/>
      <c r="H985" s="7"/>
      <c r="I985" s="7"/>
      <c r="J985" s="7"/>
      <c r="K985" s="7"/>
      <c r="L985" s="6"/>
      <c r="M985" s="10"/>
      <c r="N985" s="10"/>
      <c r="O985" s="10"/>
      <c r="P985" s="6"/>
      <c r="Q985" s="10"/>
      <c r="R985" s="6"/>
      <c r="S985" s="6"/>
      <c r="T985" s="6"/>
      <c r="U985" s="10"/>
      <c r="V985" s="6"/>
      <c r="W985" s="10"/>
      <c r="X985" s="10"/>
      <c r="Y985" s="4"/>
      <c r="Z985" s="4"/>
    </row>
    <row r="986" spans="1:26" ht="15.75">
      <c r="A986" s="7"/>
      <c r="B986" s="7"/>
      <c r="C986" s="6"/>
      <c r="D986" s="6"/>
      <c r="E986" s="6"/>
      <c r="F986" s="6"/>
      <c r="G986" s="7"/>
      <c r="H986" s="7"/>
      <c r="I986" s="7"/>
      <c r="J986" s="7"/>
      <c r="K986" s="7"/>
      <c r="L986" s="6"/>
      <c r="M986" s="10"/>
      <c r="N986" s="10"/>
      <c r="O986" s="10"/>
      <c r="P986" s="6"/>
      <c r="Q986" s="10"/>
      <c r="R986" s="6"/>
      <c r="S986" s="6"/>
      <c r="T986" s="6"/>
      <c r="U986" s="10"/>
      <c r="V986" s="6"/>
      <c r="W986" s="10"/>
      <c r="X986" s="10"/>
      <c r="Y986" s="4"/>
      <c r="Z986" s="4"/>
    </row>
    <row r="987" spans="1:26" ht="15.75">
      <c r="A987" s="7"/>
      <c r="B987" s="7"/>
      <c r="C987" s="6"/>
      <c r="D987" s="6"/>
      <c r="E987" s="6"/>
      <c r="F987" s="6"/>
      <c r="G987" s="7"/>
      <c r="H987" s="7"/>
      <c r="I987" s="7"/>
      <c r="J987" s="7"/>
      <c r="K987" s="7"/>
      <c r="L987" s="6"/>
      <c r="M987" s="10"/>
      <c r="N987" s="10"/>
      <c r="O987" s="10"/>
      <c r="P987" s="6"/>
      <c r="Q987" s="10"/>
      <c r="R987" s="6"/>
      <c r="S987" s="6"/>
      <c r="T987" s="6"/>
      <c r="U987" s="10"/>
      <c r="V987" s="6"/>
      <c r="W987" s="10"/>
      <c r="X987" s="10"/>
      <c r="Y987" s="4"/>
      <c r="Z987" s="4"/>
    </row>
    <row r="988" spans="1:26" ht="15.75">
      <c r="A988" s="7"/>
      <c r="B988" s="7"/>
      <c r="C988" s="6"/>
      <c r="D988" s="6"/>
      <c r="E988" s="6"/>
      <c r="F988" s="6"/>
      <c r="G988" s="7"/>
      <c r="H988" s="7"/>
      <c r="I988" s="7"/>
      <c r="J988" s="7"/>
      <c r="K988" s="7"/>
      <c r="L988" s="6"/>
      <c r="M988" s="10"/>
      <c r="N988" s="10"/>
      <c r="O988" s="10"/>
      <c r="P988" s="6"/>
      <c r="Q988" s="10"/>
      <c r="R988" s="6"/>
      <c r="S988" s="6"/>
      <c r="T988" s="6"/>
      <c r="U988" s="10"/>
      <c r="V988" s="6"/>
      <c r="W988" s="10"/>
      <c r="X988" s="10"/>
      <c r="Y988" s="4"/>
      <c r="Z988" s="4"/>
    </row>
    <row r="989" spans="1:26" ht="15.75">
      <c r="A989" s="7"/>
      <c r="B989" s="7"/>
      <c r="C989" s="6"/>
      <c r="D989" s="6"/>
      <c r="E989" s="6"/>
      <c r="F989" s="6"/>
      <c r="G989" s="7"/>
      <c r="H989" s="7"/>
      <c r="I989" s="7"/>
      <c r="J989" s="7"/>
      <c r="K989" s="7"/>
      <c r="L989" s="6"/>
      <c r="M989" s="10"/>
      <c r="N989" s="10"/>
      <c r="O989" s="10"/>
      <c r="P989" s="6"/>
      <c r="Q989" s="10"/>
      <c r="R989" s="6"/>
      <c r="S989" s="6"/>
      <c r="T989" s="6"/>
      <c r="U989" s="10"/>
      <c r="V989" s="6"/>
      <c r="W989" s="10"/>
      <c r="X989" s="10"/>
      <c r="Y989" s="4"/>
      <c r="Z989" s="4"/>
    </row>
    <row r="990" spans="1:26" ht="15.75">
      <c r="A990" s="7"/>
      <c r="B990" s="7"/>
      <c r="C990" s="6"/>
      <c r="D990" s="6"/>
      <c r="E990" s="6"/>
      <c r="F990" s="6"/>
      <c r="G990" s="7"/>
      <c r="H990" s="7"/>
      <c r="I990" s="7"/>
      <c r="J990" s="7"/>
      <c r="K990" s="7"/>
      <c r="L990" s="6"/>
      <c r="M990" s="10"/>
      <c r="N990" s="10"/>
      <c r="O990" s="10"/>
      <c r="P990" s="6"/>
      <c r="Q990" s="10"/>
      <c r="R990" s="6"/>
      <c r="S990" s="6"/>
      <c r="T990" s="6"/>
      <c r="U990" s="10"/>
      <c r="V990" s="6"/>
      <c r="W990" s="10"/>
      <c r="X990" s="10"/>
      <c r="Y990" s="4"/>
      <c r="Z990" s="4"/>
    </row>
    <row r="991" spans="1:26" ht="15.75">
      <c r="A991" s="7"/>
      <c r="B991" s="7"/>
      <c r="C991" s="6"/>
      <c r="D991" s="6"/>
      <c r="E991" s="6"/>
      <c r="F991" s="6"/>
      <c r="G991" s="7"/>
      <c r="H991" s="7"/>
      <c r="I991" s="7"/>
      <c r="J991" s="7"/>
      <c r="K991" s="7"/>
      <c r="L991" s="6"/>
      <c r="M991" s="10"/>
      <c r="N991" s="10"/>
      <c r="O991" s="10"/>
      <c r="P991" s="6"/>
      <c r="Q991" s="10"/>
      <c r="R991" s="6"/>
      <c r="S991" s="6"/>
      <c r="T991" s="6"/>
      <c r="U991" s="10"/>
      <c r="V991" s="6"/>
      <c r="W991" s="10"/>
      <c r="X991" s="10"/>
      <c r="Y991" s="4"/>
      <c r="Z991" s="4"/>
    </row>
    <row r="992" spans="1:26" ht="15.75">
      <c r="A992" s="7"/>
      <c r="B992" s="7"/>
      <c r="C992" s="6"/>
      <c r="D992" s="6"/>
      <c r="E992" s="6"/>
      <c r="F992" s="6"/>
      <c r="G992" s="7"/>
      <c r="H992" s="7"/>
      <c r="I992" s="7"/>
      <c r="J992" s="7"/>
      <c r="K992" s="7"/>
      <c r="L992" s="6"/>
      <c r="M992" s="10"/>
      <c r="N992" s="10"/>
      <c r="O992" s="10"/>
      <c r="P992" s="6"/>
      <c r="Q992" s="10"/>
      <c r="R992" s="6"/>
      <c r="S992" s="6"/>
      <c r="T992" s="6"/>
      <c r="U992" s="10"/>
      <c r="V992" s="6"/>
      <c r="W992" s="10"/>
      <c r="X992" s="10"/>
      <c r="Y992" s="4"/>
      <c r="Z992" s="4"/>
    </row>
    <row r="993" spans="1:26" ht="15.75">
      <c r="A993" s="7"/>
      <c r="B993" s="7"/>
      <c r="C993" s="6"/>
      <c r="D993" s="6"/>
      <c r="E993" s="6"/>
      <c r="F993" s="6"/>
      <c r="G993" s="7"/>
      <c r="H993" s="7"/>
      <c r="I993" s="7"/>
      <c r="J993" s="7"/>
      <c r="K993" s="7"/>
      <c r="L993" s="6"/>
      <c r="M993" s="10"/>
      <c r="N993" s="10"/>
      <c r="O993" s="10"/>
      <c r="P993" s="6"/>
      <c r="Q993" s="10"/>
      <c r="R993" s="6"/>
      <c r="S993" s="6"/>
      <c r="T993" s="6"/>
      <c r="U993" s="10"/>
      <c r="V993" s="6"/>
      <c r="W993" s="10"/>
      <c r="X993" s="10"/>
      <c r="Y993" s="4"/>
      <c r="Z993" s="4"/>
    </row>
    <row r="994" spans="1:26" ht="15.75">
      <c r="A994" s="7"/>
      <c r="B994" s="7"/>
      <c r="C994" s="6"/>
      <c r="D994" s="68"/>
      <c r="E994" s="10"/>
      <c r="F994" s="10"/>
      <c r="G994" s="7"/>
      <c r="H994" s="7"/>
      <c r="I994" s="7"/>
      <c r="J994" s="7"/>
      <c r="K994" s="7"/>
      <c r="L994" s="6"/>
      <c r="M994" s="10"/>
      <c r="N994" s="10"/>
      <c r="O994" s="10"/>
      <c r="P994" s="6"/>
      <c r="Q994" s="10"/>
      <c r="R994" s="6"/>
      <c r="S994" s="6"/>
      <c r="T994" s="6"/>
      <c r="U994" s="10"/>
      <c r="V994" s="6"/>
      <c r="W994" s="10"/>
      <c r="X994" s="10"/>
      <c r="Y994" s="4"/>
      <c r="Z994" s="4"/>
    </row>
    <row r="995" spans="1:26" ht="15.75">
      <c r="A995" s="7"/>
      <c r="B995" s="7"/>
      <c r="C995" s="6"/>
      <c r="D995" s="68"/>
      <c r="E995" s="10"/>
      <c r="F995" s="10"/>
      <c r="G995" s="7"/>
      <c r="H995" s="7"/>
      <c r="I995" s="7"/>
      <c r="J995" s="7"/>
      <c r="K995" s="7"/>
      <c r="L995" s="6"/>
      <c r="M995" s="10"/>
      <c r="N995" s="10"/>
      <c r="O995" s="10"/>
      <c r="P995" s="6"/>
      <c r="Q995" s="10"/>
      <c r="R995" s="6"/>
      <c r="S995" s="6"/>
      <c r="T995" s="6"/>
      <c r="U995" s="10"/>
      <c r="V995" s="6"/>
      <c r="W995" s="10"/>
      <c r="X995" s="10"/>
      <c r="Y995" s="4"/>
      <c r="Z995" s="4"/>
    </row>
    <row r="996" spans="1:26" ht="15.75">
      <c r="A996" s="7"/>
      <c r="B996" s="7"/>
      <c r="C996" s="6"/>
      <c r="D996" s="68"/>
      <c r="E996" s="10"/>
      <c r="F996" s="10"/>
      <c r="G996" s="7"/>
      <c r="H996" s="7"/>
      <c r="I996" s="7"/>
      <c r="J996" s="7"/>
      <c r="K996" s="7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spans="1:26" ht="15.75">
      <c r="A997" s="4"/>
      <c r="B997" s="4"/>
      <c r="C997" s="6"/>
      <c r="D997" s="68"/>
      <c r="E997" s="10"/>
      <c r="F997" s="10"/>
      <c r="G997" s="4"/>
      <c r="H997" s="4"/>
      <c r="I997" s="4"/>
      <c r="J997" s="4"/>
      <c r="K997" s="4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spans="1:26" ht="15.75">
      <c r="A998" s="4"/>
      <c r="B998" s="4"/>
      <c r="C998" s="6"/>
      <c r="D998" s="68"/>
      <c r="E998" s="10"/>
      <c r="F998" s="10"/>
      <c r="G998" s="4"/>
      <c r="H998" s="4"/>
      <c r="I998" s="4"/>
      <c r="J998" s="4"/>
      <c r="K998" s="4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spans="1:26" ht="15.75">
      <c r="D999" s="68"/>
    </row>
  </sheetData>
  <autoFilter ref="A1:I300" xr:uid="{00000000-0009-0000-0000-000002000000}"/>
  <mergeCells count="29"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4:W5"/>
    <mergeCell ref="X4:X5"/>
    <mergeCell ref="Y4:Y5"/>
    <mergeCell ref="B1:F1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Y998"/>
  <sheetViews>
    <sheetView workbookViewId="0">
      <pane ySplit="2" topLeftCell="A3" activePane="bottomLeft" state="frozen"/>
      <selection pane="bottomLeft" activeCell="J1" sqref="J1:J1048576"/>
    </sheetView>
  </sheetViews>
  <sheetFormatPr baseColWidth="10" defaultColWidth="11.25" defaultRowHeight="15" customHeight="1"/>
  <cols>
    <col min="1" max="1" width="6.75" customWidth="1"/>
    <col min="2" max="2" width="34.875" customWidth="1"/>
    <col min="3" max="5" width="8.5" customWidth="1"/>
    <col min="6" max="6" width="19.25" customWidth="1"/>
    <col min="7" max="7" width="12.625" customWidth="1"/>
    <col min="8" max="8" width="8.25" customWidth="1"/>
    <col min="9" max="9" width="11" customWidth="1"/>
    <col min="10" max="10" width="10.5" customWidth="1"/>
    <col min="11" max="11" width="5.75" customWidth="1"/>
    <col min="12" max="13" width="7.5" customWidth="1"/>
    <col min="14" max="14" width="8.625" customWidth="1"/>
    <col min="15" max="15" width="7" customWidth="1"/>
    <col min="16" max="16" width="10.125" customWidth="1"/>
    <col min="17" max="17" width="9.375" customWidth="1"/>
    <col min="18" max="18" width="12.5" customWidth="1"/>
    <col min="19" max="19" width="6" customWidth="1"/>
    <col min="20" max="20" width="8.5" customWidth="1"/>
    <col min="21" max="21" width="7.5" customWidth="1"/>
    <col min="22" max="22" width="14.625" customWidth="1"/>
    <col min="23" max="23" width="9.75" customWidth="1"/>
    <col min="24" max="24" width="7.625" customWidth="1"/>
    <col min="25" max="25" width="8.625" customWidth="1"/>
  </cols>
  <sheetData>
    <row r="1" spans="1:25" ht="27.75" customHeight="1">
      <c r="A1" s="11" t="s">
        <v>34</v>
      </c>
      <c r="B1" s="140" t="s">
        <v>34</v>
      </c>
      <c r="C1" s="141"/>
      <c r="D1" s="141"/>
      <c r="E1" s="141"/>
      <c r="F1" s="143"/>
      <c r="G1" s="14"/>
      <c r="H1" s="14"/>
      <c r="I1" s="14"/>
      <c r="J1" s="12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>
      <c r="A2" s="19" t="s">
        <v>53</v>
      </c>
      <c r="B2" s="19" t="s">
        <v>54</v>
      </c>
      <c r="C2" s="19" t="s">
        <v>55</v>
      </c>
      <c r="D2" s="19" t="s">
        <v>57</v>
      </c>
      <c r="E2" s="19" t="s">
        <v>59</v>
      </c>
      <c r="F2" s="19" t="s">
        <v>60</v>
      </c>
      <c r="G2" s="17" t="s">
        <v>61</v>
      </c>
      <c r="H2" s="17" t="s">
        <v>64</v>
      </c>
      <c r="I2" s="17" t="s">
        <v>65</v>
      </c>
      <c r="J2" s="154" t="s">
        <v>57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19.5" customHeight="1">
      <c r="A3" s="23" t="str">
        <f ca="1">IFERROR(__xludf.DUMMYFUNCTION("FILTER('UNIVERSO PRODUCTOS'!A1:B958, ISNUMBER(SEARCH(A1, 'UNIVERSO PRODUCTOS'!K1:K958)))
"),"ti-ing-b69bd6ae-ccae-4801-af83-bece901d304f")</f>
        <v>ti-ing-b69bd6ae-ccae-4801-af83-bece901d304f</v>
      </c>
      <c r="B3" s="24" t="str">
        <f ca="1">IFERROR(__xludf.DUMMYFUNCTION("""COMPUTED_VALUE"""),"Aceite oliva extra virgen 5 lts")</f>
        <v>Aceite oliva extra virgen 5 lts</v>
      </c>
      <c r="C3" s="24">
        <v>1.524</v>
      </c>
      <c r="D3" s="26">
        <f ca="1">IFERROR(__xludf.DUMMYFUNCTION("FILTER('UNIVERSO PRODUCTOS'!C1:C961, ISNUMBER(SEARCH(A1, 'UNIVERSO PRODUCTOS'!K1:K961)))
"),4646.2)</f>
        <v>4646.2</v>
      </c>
      <c r="E3" s="32" t="str">
        <f ca="1">IFERROR(__xludf.DUMMYFUNCTION("FILTER('UNIVERSO PRODUCTOS'!D1:D958, ISNUMBER(SEARCH(A1, 'UNIVERSO PRODUCTOS'!K1:K958)))
"),"LT")</f>
        <v>LT</v>
      </c>
      <c r="F3" s="34" t="str">
        <f ca="1">IFERROR(__xludf.DUMMYFUNCTION("FILTER('UNIVERSO PRODUCTOS'!H1:H958, ISNUMBER(SEARCH(A1, 'UNIVERSO PRODUCTOS'!K1:K958)))
"),"Abarrotes")</f>
        <v>Abarrotes</v>
      </c>
      <c r="G3" s="36">
        <f t="shared" ref="G3:G181" ca="1" si="0">(C3)*D3</f>
        <v>7080.8087999999998</v>
      </c>
      <c r="H3" s="36">
        <f t="shared" ref="H3:H181" ca="1" si="1">G3*19%</f>
        <v>1345.353672</v>
      </c>
      <c r="I3" s="41">
        <f t="shared" ref="I3:I181" ca="1" si="2">G3+H3</f>
        <v>8426.162472</v>
      </c>
      <c r="J3" s="156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9.5" customHeight="1">
      <c r="A4" s="24" t="str">
        <f ca="1">IFERROR(__xludf.DUMMYFUNCTION("""COMPUTED_VALUE"""),"ti-ing-5a1041f6-5fed-4ae0-8d00-dee7d47968a3")</f>
        <v>ti-ing-5a1041f6-5fed-4ae0-8d00-dee7d47968a3</v>
      </c>
      <c r="B4" s="24" t="str">
        <f ca="1">IFERROR(__xludf.DUMMYFUNCTION("""COMPUTED_VALUE"""),"Aceite vegetal 900 ml")</f>
        <v>Aceite vegetal 900 ml</v>
      </c>
      <c r="C4" s="24">
        <v>6</v>
      </c>
      <c r="D4" s="43">
        <f ca="1">IFERROR(__xludf.DUMMYFUNCTION("""COMPUTED_VALUE"""),1540.6)</f>
        <v>1540.6</v>
      </c>
      <c r="E4" s="24" t="str">
        <f ca="1">IFERROR(__xludf.DUMMYFUNCTION("""COMPUTED_VALUE"""),"UN")</f>
        <v>UN</v>
      </c>
      <c r="F4" s="44" t="str">
        <f ca="1">IFERROR(__xludf.DUMMYFUNCTION("""COMPUTED_VALUE"""),"Abarrotes")</f>
        <v>Abarrotes</v>
      </c>
      <c r="G4" s="45">
        <f t="shared" ca="1" si="0"/>
        <v>9243.5999999999985</v>
      </c>
      <c r="H4" s="45">
        <f t="shared" ca="1" si="1"/>
        <v>1756.2839999999997</v>
      </c>
      <c r="I4" s="47">
        <f t="shared" ca="1" si="2"/>
        <v>10999.883999999998</v>
      </c>
      <c r="J4" s="156"/>
      <c r="K4" s="4"/>
      <c r="L4" s="137" t="s">
        <v>21</v>
      </c>
      <c r="M4" s="137" t="s">
        <v>127</v>
      </c>
      <c r="N4" s="137" t="s">
        <v>128</v>
      </c>
      <c r="O4" s="137" t="s">
        <v>129</v>
      </c>
      <c r="P4" s="137" t="s">
        <v>130</v>
      </c>
      <c r="Q4" s="137" t="s">
        <v>131</v>
      </c>
      <c r="R4" s="137" t="s">
        <v>132</v>
      </c>
      <c r="S4" s="137" t="s">
        <v>133</v>
      </c>
      <c r="T4" s="137" t="s">
        <v>136</v>
      </c>
      <c r="U4" s="137" t="s">
        <v>137</v>
      </c>
      <c r="V4" s="137" t="s">
        <v>140</v>
      </c>
      <c r="W4" s="137" t="s">
        <v>142</v>
      </c>
      <c r="X4" s="137" t="s">
        <v>144</v>
      </c>
      <c r="Y4" s="139" t="s">
        <v>145</v>
      </c>
    </row>
    <row r="5" spans="1:25" ht="19.5" customHeight="1">
      <c r="A5" s="24" t="str">
        <f ca="1">IFERROR(__xludf.DUMMYFUNCTION("""COMPUTED_VALUE"""),"ti-ing-0ab486df-7d4d-4782-82bb-c30b4209e5fb")</f>
        <v>ti-ing-0ab486df-7d4d-4782-82bb-c30b4209e5fb</v>
      </c>
      <c r="B5" s="24" t="str">
        <f ca="1">IFERROR(__xludf.DUMMYFUNCTION("""COMPUTED_VALUE"""),"Aceituna Morada kg")</f>
        <v>Aceituna Morada kg</v>
      </c>
      <c r="C5" s="24">
        <v>1.278</v>
      </c>
      <c r="D5" s="43">
        <f ca="1">IFERROR(__xludf.DUMMYFUNCTION("""COMPUTED_VALUE"""),7130)</f>
        <v>7130</v>
      </c>
      <c r="E5" s="24" t="str">
        <f ca="1">IFERROR(__xludf.DUMMYFUNCTION("""COMPUTED_VALUE"""),"KG")</f>
        <v>KG</v>
      </c>
      <c r="F5" s="44" t="str">
        <f ca="1">IFERROR(__xludf.DUMMYFUNCTION("""COMPUTED_VALUE"""),"Abarrotes")</f>
        <v>Abarrotes</v>
      </c>
      <c r="G5" s="45">
        <f t="shared" ca="1" si="0"/>
        <v>9112.14</v>
      </c>
      <c r="H5" s="45">
        <f t="shared" ca="1" si="1"/>
        <v>1731.3065999999999</v>
      </c>
      <c r="I5" s="47">
        <f t="shared" ca="1" si="2"/>
        <v>10843.446599999999</v>
      </c>
      <c r="J5" s="156"/>
      <c r="K5" s="4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</row>
    <row r="6" spans="1:25" ht="19.5" customHeight="1">
      <c r="A6" s="24" t="str">
        <f ca="1">IFERROR(__xludf.DUMMYFUNCTION("""COMPUTED_VALUE"""),"ti-ing-581e5046-d41b-44fd-981a-fa5ec2c4d4ba")</f>
        <v>ti-ing-581e5046-d41b-44fd-981a-fa5ec2c4d4ba</v>
      </c>
      <c r="B6" s="24" t="str">
        <f ca="1">IFERROR(__xludf.DUMMYFUNCTION("""COMPUTED_VALUE"""),"Ajinomoto")</f>
        <v>Ajinomoto</v>
      </c>
      <c r="C6" s="24">
        <v>0.47599999999999998</v>
      </c>
      <c r="D6" s="43">
        <f ca="1">IFERROR(__xludf.DUMMYFUNCTION("""COMPUTED_VALUE"""),3354)</f>
        <v>3354</v>
      </c>
      <c r="E6" s="24" t="str">
        <f ca="1">IFERROR(__xludf.DUMMYFUNCTION("""COMPUTED_VALUE"""),"kg")</f>
        <v>kg</v>
      </c>
      <c r="F6" s="44" t="str">
        <f ca="1">IFERROR(__xludf.DUMMYFUNCTION("""COMPUTED_VALUE"""),"Abarrotes")</f>
        <v>Abarrotes</v>
      </c>
      <c r="G6" s="45">
        <f t="shared" ca="1" si="0"/>
        <v>1596.5039999999999</v>
      </c>
      <c r="H6" s="45">
        <f t="shared" ca="1" si="1"/>
        <v>303.33575999999999</v>
      </c>
      <c r="I6" s="47">
        <f t="shared" ca="1" si="2"/>
        <v>1899.8397599999998</v>
      </c>
      <c r="J6" s="156"/>
      <c r="K6" s="4"/>
      <c r="L6" s="46">
        <f ca="1">SUM(G3:G45)</f>
        <v>145971.49244799998</v>
      </c>
      <c r="M6" s="50">
        <f ca="1">SUM(G46:G63)</f>
        <v>64394.913118562799</v>
      </c>
      <c r="N6" s="51"/>
      <c r="O6" s="51"/>
      <c r="P6" s="53">
        <f ca="1">SUM(G64:G76)</f>
        <v>319553.82029522001</v>
      </c>
      <c r="Q6" s="46">
        <f ca="1">SUM(G77:G85)</f>
        <v>42169.185379999995</v>
      </c>
      <c r="R6" s="53">
        <f ca="1">SUM(G86:G120)</f>
        <v>177430.71963999997</v>
      </c>
      <c r="S6" s="53">
        <f ca="1">SUM(G121)</f>
        <v>7156.3330999999998</v>
      </c>
      <c r="T6" s="46">
        <f ca="1">SUM(G122:G131)</f>
        <v>145824.48222800001</v>
      </c>
      <c r="U6" s="55"/>
      <c r="V6" s="53">
        <f ca="1">SUM(G132:G133)</f>
        <v>0</v>
      </c>
      <c r="W6" s="53">
        <f ca="1">SUM(G134:G175)</f>
        <v>487668.18799999997</v>
      </c>
      <c r="X6" s="56"/>
      <c r="Y6" s="46">
        <f ca="1">SUM(L6:X6)</f>
        <v>1390169.1342097828</v>
      </c>
    </row>
    <row r="7" spans="1:25" ht="19.5" customHeight="1">
      <c r="A7" s="24" t="str">
        <f ca="1">IFERROR(__xludf.DUMMYFUNCTION("""COMPUTED_VALUE"""),"ti-ing-bfd5d10e-d265-4e6e-b05a-79c836269380")</f>
        <v>ti-ing-bfd5d10e-d265-4e6e-b05a-79c836269380</v>
      </c>
      <c r="B7" s="24" t="str">
        <f ca="1">IFERROR(__xludf.DUMMYFUNCTION("""COMPUTED_VALUE"""),"Arroz (colacion)")</f>
        <v>Arroz (colacion)</v>
      </c>
      <c r="C7" s="24">
        <v>0</v>
      </c>
      <c r="D7" s="43">
        <f ca="1">IFERROR(__xludf.DUMMYFUNCTION("""COMPUTED_VALUE"""),905)</f>
        <v>905</v>
      </c>
      <c r="E7" s="24" t="str">
        <f ca="1">IFERROR(__xludf.DUMMYFUNCTION("""COMPUTED_VALUE"""),"KG")</f>
        <v>KG</v>
      </c>
      <c r="F7" s="44" t="str">
        <f ca="1">IFERROR(__xludf.DUMMYFUNCTION("""COMPUTED_VALUE"""),"Abarrotes")</f>
        <v>Abarrotes</v>
      </c>
      <c r="G7" s="45">
        <f t="shared" ca="1" si="0"/>
        <v>0</v>
      </c>
      <c r="H7" s="45">
        <f t="shared" ca="1" si="1"/>
        <v>0</v>
      </c>
      <c r="I7" s="47">
        <f t="shared" ca="1" si="2"/>
        <v>0</v>
      </c>
      <c r="J7" s="156"/>
      <c r="K7" s="4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9.5" customHeight="1">
      <c r="A8" s="24" t="str">
        <f ca="1">IFERROR(__xludf.DUMMYFUNCTION("""COMPUTED_VALUE"""),"ti-ing-5c316419-1759-4d90-bb2e-e9025a87d122")</f>
        <v>ti-ing-5c316419-1759-4d90-bb2e-e9025a87d122</v>
      </c>
      <c r="B8" s="24" t="str">
        <f ca="1">IFERROR(__xludf.DUMMYFUNCTION("""COMPUTED_VALUE"""),"Atun Coliseo Al Agua")</f>
        <v>Atun Coliseo Al Agua</v>
      </c>
      <c r="C8" s="24">
        <v>0</v>
      </c>
      <c r="D8" s="43">
        <f ca="1">IFERROR(__xludf.DUMMYFUNCTION("""COMPUTED_VALUE"""),879)</f>
        <v>879</v>
      </c>
      <c r="E8" s="24" t="str">
        <f ca="1">IFERROR(__xludf.DUMMYFUNCTION("""COMPUTED_VALUE"""),"UN")</f>
        <v>UN</v>
      </c>
      <c r="F8" s="44" t="str">
        <f ca="1">IFERROR(__xludf.DUMMYFUNCTION("""COMPUTED_VALUE"""),"Abarrotes")</f>
        <v>Abarrotes</v>
      </c>
      <c r="G8" s="45">
        <f t="shared" ca="1" si="0"/>
        <v>0</v>
      </c>
      <c r="H8" s="45">
        <f t="shared" ca="1" si="1"/>
        <v>0</v>
      </c>
      <c r="I8" s="47">
        <f t="shared" ca="1" si="2"/>
        <v>0</v>
      </c>
      <c r="J8" s="156"/>
      <c r="K8" s="4"/>
      <c r="L8" s="137" t="s">
        <v>21</v>
      </c>
      <c r="M8" s="137" t="s">
        <v>127</v>
      </c>
      <c r="N8" s="137" t="s">
        <v>128</v>
      </c>
      <c r="O8" s="137" t="s">
        <v>129</v>
      </c>
      <c r="P8" s="137" t="s">
        <v>130</v>
      </c>
      <c r="Q8" s="137" t="s">
        <v>131</v>
      </c>
      <c r="R8" s="137" t="s">
        <v>132</v>
      </c>
      <c r="S8" s="137" t="s">
        <v>133</v>
      </c>
      <c r="T8" s="137" t="s">
        <v>136</v>
      </c>
      <c r="U8" s="137" t="s">
        <v>137</v>
      </c>
      <c r="V8" s="137" t="s">
        <v>140</v>
      </c>
      <c r="W8" s="137" t="s">
        <v>142</v>
      </c>
      <c r="X8" s="137" t="s">
        <v>144</v>
      </c>
      <c r="Y8" s="139" t="s">
        <v>219</v>
      </c>
    </row>
    <row r="9" spans="1:25" ht="19.5" customHeight="1">
      <c r="A9" s="24" t="str">
        <f ca="1">IFERROR(__xludf.DUMMYFUNCTION("""COMPUTED_VALUE"""),"ti-ing-363a5ec1-8d6b-4612-be6a-7a19b61ab7e2")</f>
        <v>ti-ing-363a5ec1-8d6b-4612-be6a-7a19b61ab7e2</v>
      </c>
      <c r="B9" s="24" t="str">
        <f ca="1">IFERROR(__xludf.DUMMYFUNCTION("""COMPUTED_VALUE"""),"Atun Dorasol Al Agua")</f>
        <v>Atun Dorasol Al Agua</v>
      </c>
      <c r="C9" s="24">
        <v>0</v>
      </c>
      <c r="D9" s="43">
        <f ca="1">IFERROR(__xludf.DUMMYFUNCTION("""COMPUTED_VALUE"""),879)</f>
        <v>879</v>
      </c>
      <c r="E9" s="24" t="str">
        <f ca="1">IFERROR(__xludf.DUMMYFUNCTION("""COMPUTED_VALUE"""),"UN")</f>
        <v>UN</v>
      </c>
      <c r="F9" s="44" t="str">
        <f ca="1">IFERROR(__xludf.DUMMYFUNCTION("""COMPUTED_VALUE"""),"Abarrotes")</f>
        <v>Abarrotes</v>
      </c>
      <c r="G9" s="45">
        <f t="shared" ca="1" si="0"/>
        <v>0</v>
      </c>
      <c r="H9" s="45">
        <f t="shared" ca="1" si="1"/>
        <v>0</v>
      </c>
      <c r="I9" s="47">
        <f t="shared" ca="1" si="2"/>
        <v>0</v>
      </c>
      <c r="J9" s="156"/>
      <c r="K9" s="4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42"/>
    </row>
    <row r="10" spans="1:25" ht="19.5" customHeight="1">
      <c r="A10" s="24" t="str">
        <f ca="1">IFERROR(__xludf.DUMMYFUNCTION("""COMPUTED_VALUE"""),"ti-ing-531d1d9b-814d-49bc-9bbf-06be4ae2e6d5")</f>
        <v>ti-ing-531d1d9b-814d-49bc-9bbf-06be4ae2e6d5</v>
      </c>
      <c r="B10" s="24" t="str">
        <f ca="1">IFERROR(__xludf.DUMMYFUNCTION("""COMPUTED_VALUE"""),"Azucar blanca")</f>
        <v>Azucar blanca</v>
      </c>
      <c r="C10" s="24">
        <v>1.264</v>
      </c>
      <c r="D10" s="43">
        <f ca="1">IFERROR(__xludf.DUMMYFUNCTION("""COMPUTED_VALUE"""),939.9985)</f>
        <v>939.99850000000004</v>
      </c>
      <c r="E10" s="24" t="str">
        <f ca="1">IFERROR(__xludf.DUMMYFUNCTION("""COMPUTED_VALUE"""),"KG")</f>
        <v>KG</v>
      </c>
      <c r="F10" s="44" t="str">
        <f ca="1">IFERROR(__xludf.DUMMYFUNCTION("""COMPUTED_VALUE"""),"Abarrotes")</f>
        <v>Abarrotes</v>
      </c>
      <c r="G10" s="45">
        <f t="shared" ca="1" si="0"/>
        <v>1188.1581040000001</v>
      </c>
      <c r="H10" s="45">
        <f t="shared" ca="1" si="1"/>
        <v>225.75003976000002</v>
      </c>
      <c r="I10" s="47">
        <f t="shared" ca="1" si="2"/>
        <v>1413.90814376</v>
      </c>
      <c r="J10" s="156"/>
      <c r="K10" s="4"/>
      <c r="L10" s="46">
        <f ca="1">SUM(I3:I45)</f>
        <v>173706.07601311998</v>
      </c>
      <c r="M10" s="50">
        <f ca="1">SUM(I46:I63)</f>
        <v>76629.946611089734</v>
      </c>
      <c r="N10" s="56"/>
      <c r="O10" s="55"/>
      <c r="P10" s="53">
        <f ca="1">SUM(I64:I76)</f>
        <v>380269.04615131184</v>
      </c>
      <c r="Q10" s="57">
        <f ca="1">SUM(I77:I85)</f>
        <v>50181.330602200003</v>
      </c>
      <c r="R10" s="53">
        <f ca="1">SUM(I86:I120)</f>
        <v>211142.55637159999</v>
      </c>
      <c r="S10" s="53">
        <f ca="1">SUM(I121)</f>
        <v>8516.0363890000008</v>
      </c>
      <c r="T10" s="46">
        <f ca="1">SUM(I122:I131)</f>
        <v>173531.13385132002</v>
      </c>
      <c r="U10" s="55"/>
      <c r="V10" s="53">
        <f ca="1">SUM(I132:I133)</f>
        <v>0</v>
      </c>
      <c r="W10" s="53">
        <f ca="1">SUM(I134:I175)</f>
        <v>580325.14371999993</v>
      </c>
      <c r="X10" s="51"/>
      <c r="Y10" s="46">
        <f ca="1">SUM(L10:X10)</f>
        <v>1654301.2697096416</v>
      </c>
    </row>
    <row r="11" spans="1:25" ht="19.5" customHeight="1">
      <c r="A11" s="24"/>
      <c r="B11" s="24" t="str">
        <f ca="1">IFERROR(__xludf.DUMMYFUNCTION("""COMPUTED_VALUE"""),"Azúcar blanca por kilo")</f>
        <v>Azúcar blanca por kilo</v>
      </c>
      <c r="C11" s="24">
        <v>0</v>
      </c>
      <c r="D11" s="43">
        <f ca="1">IFERROR(__xludf.DUMMYFUNCTION("""COMPUTED_VALUE"""),930)</f>
        <v>930</v>
      </c>
      <c r="E11" s="24" t="str">
        <f ca="1">IFERROR(__xludf.DUMMYFUNCTION("""COMPUTED_VALUE"""),"KG")</f>
        <v>KG</v>
      </c>
      <c r="F11" s="44" t="str">
        <f ca="1">IFERROR(__xludf.DUMMYFUNCTION("""COMPUTED_VALUE"""),"Abarrotes")</f>
        <v>Abarrotes</v>
      </c>
      <c r="G11" s="45">
        <f t="shared" ca="1" si="0"/>
        <v>0</v>
      </c>
      <c r="H11" s="45">
        <f t="shared" ca="1" si="1"/>
        <v>0</v>
      </c>
      <c r="I11" s="47">
        <f t="shared" ca="1" si="2"/>
        <v>0</v>
      </c>
      <c r="J11" s="15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9.5" customHeight="1">
      <c r="A12" s="24" t="str">
        <f ca="1">IFERROR(__xludf.DUMMYFUNCTION("""COMPUTED_VALUE"""),"ti-ing-c4486ce7-85c4-49c5-ac82-4d98b0798d01")</f>
        <v>ti-ing-c4486ce7-85c4-49c5-ac82-4d98b0798d01</v>
      </c>
      <c r="B12" s="24" t="str">
        <f ca="1">IFERROR(__xludf.DUMMYFUNCTION("""COMPUTED_VALUE"""),"Azucar rubia")</f>
        <v>Azucar rubia</v>
      </c>
      <c r="C12" s="24">
        <v>0.75</v>
      </c>
      <c r="D12" s="43">
        <f ca="1">IFERROR(__xludf.DUMMYFUNCTION("""COMPUTED_VALUE"""),1047)</f>
        <v>1047</v>
      </c>
      <c r="E12" s="24" t="str">
        <f ca="1">IFERROR(__xludf.DUMMYFUNCTION("""COMPUTED_VALUE"""),"KG")</f>
        <v>KG</v>
      </c>
      <c r="F12" s="44" t="str">
        <f ca="1">IFERROR(__xludf.DUMMYFUNCTION("""COMPUTED_VALUE"""),"Abarrotes")</f>
        <v>Abarrotes</v>
      </c>
      <c r="G12" s="45">
        <f t="shared" ca="1" si="0"/>
        <v>785.25</v>
      </c>
      <c r="H12" s="45">
        <f t="shared" ca="1" si="1"/>
        <v>149.19749999999999</v>
      </c>
      <c r="I12" s="47">
        <f t="shared" ca="1" si="2"/>
        <v>934.44749999999999</v>
      </c>
      <c r="J12" s="15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9.5" customHeight="1">
      <c r="A13" s="24" t="str">
        <f ca="1">IFERROR(__xludf.DUMMYFUNCTION("""COMPUTED_VALUE"""),"ti-ing-63a7f9f9-77ff-45f4-9e3f-3feff0b73432")</f>
        <v>ti-ing-63a7f9f9-77ff-45f4-9e3f-3feff0b73432</v>
      </c>
      <c r="B13" s="24" t="str">
        <f ca="1">IFERROR(__xludf.DUMMYFUNCTION("""COMPUTED_VALUE"""),"Café tarro grande (desayuno)")</f>
        <v>Café tarro grande (desayuno)</v>
      </c>
      <c r="C13" s="24">
        <v>0.5</v>
      </c>
      <c r="D13" s="43">
        <f ca="1">IFERROR(__xludf.DUMMYFUNCTION("""COMPUTED_VALUE"""),12032)</f>
        <v>12032</v>
      </c>
      <c r="E13" s="24" t="str">
        <f ca="1">IFERROR(__xludf.DUMMYFUNCTION("""COMPUTED_VALUE"""),"UN")</f>
        <v>UN</v>
      </c>
      <c r="F13" s="44" t="str">
        <f ca="1">IFERROR(__xludf.DUMMYFUNCTION("""COMPUTED_VALUE"""),"Abarrotes")</f>
        <v>Abarrotes</v>
      </c>
      <c r="G13" s="45">
        <f t="shared" ca="1" si="0"/>
        <v>6016</v>
      </c>
      <c r="H13" s="45">
        <f t="shared" ca="1" si="1"/>
        <v>1143.04</v>
      </c>
      <c r="I13" s="47">
        <f t="shared" ca="1" si="2"/>
        <v>7159.04</v>
      </c>
      <c r="J13" s="15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9.5" customHeight="1">
      <c r="A14" s="24" t="str">
        <f ca="1">IFERROR(__xludf.DUMMYFUNCTION("""COMPUTED_VALUE"""),"ti-ing-280562df-e2c6-469c-bfaf-8f7361fb5c74")</f>
        <v>ti-ing-280562df-e2c6-469c-bfaf-8f7361fb5c74</v>
      </c>
      <c r="B14" s="24" t="str">
        <f ca="1">IFERROR(__xludf.DUMMYFUNCTION("""COMPUTED_VALUE"""),"COMINO")</f>
        <v>COMINO</v>
      </c>
      <c r="C14" s="24">
        <v>0.41399999999999998</v>
      </c>
      <c r="D14" s="43">
        <f ca="1">IFERROR(__xludf.DUMMYFUNCTION("""COMPUTED_VALUE"""),5250)</f>
        <v>5250</v>
      </c>
      <c r="E14" s="24" t="str">
        <f ca="1">IFERROR(__xludf.DUMMYFUNCTION("""COMPUTED_VALUE"""),"KG")</f>
        <v>KG</v>
      </c>
      <c r="F14" s="44" t="str">
        <f ca="1">IFERROR(__xludf.DUMMYFUNCTION("""COMPUTED_VALUE"""),"Abarrotes")</f>
        <v>Abarrotes</v>
      </c>
      <c r="G14" s="45">
        <f t="shared" ca="1" si="0"/>
        <v>2173.5</v>
      </c>
      <c r="H14" s="45">
        <f t="shared" ca="1" si="1"/>
        <v>412.96500000000003</v>
      </c>
      <c r="I14" s="47">
        <f t="shared" ca="1" si="2"/>
        <v>2586.4650000000001</v>
      </c>
      <c r="J14" s="15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9.5" customHeight="1">
      <c r="A15" s="24" t="str">
        <f ca="1">IFERROR(__xludf.DUMMYFUNCTION("""COMPUTED_VALUE"""),"ti-ing-55e22a4e-70ba-4bfe-9ef6-78d09a6c71b6")</f>
        <v>ti-ing-55e22a4e-70ba-4bfe-9ef6-78d09a6c71b6</v>
      </c>
      <c r="B15" s="24" t="str">
        <f ca="1">IFERROR(__xludf.DUMMYFUNCTION("""COMPUTED_VALUE"""),"Curcuma")</f>
        <v>Curcuma</v>
      </c>
      <c r="C15" s="24">
        <v>0.28399999999999997</v>
      </c>
      <c r="D15" s="43">
        <f ca="1">IFERROR(__xludf.DUMMYFUNCTION("""COMPUTED_VALUE"""),5437)</f>
        <v>5437</v>
      </c>
      <c r="E15" s="24" t="str">
        <f ca="1">IFERROR(__xludf.DUMMYFUNCTION("""COMPUTED_VALUE"""),"KG")</f>
        <v>KG</v>
      </c>
      <c r="F15" s="44" t="str">
        <f ca="1">IFERROR(__xludf.DUMMYFUNCTION("""COMPUTED_VALUE"""),"Abarrotes")</f>
        <v>Abarrotes</v>
      </c>
      <c r="G15" s="45">
        <f t="shared" ca="1" si="0"/>
        <v>1544.1079999999999</v>
      </c>
      <c r="H15" s="45">
        <f t="shared" ca="1" si="1"/>
        <v>293.38051999999999</v>
      </c>
      <c r="I15" s="47">
        <f t="shared" ca="1" si="2"/>
        <v>1837.4885199999999</v>
      </c>
      <c r="J15" s="1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9.5" customHeight="1">
      <c r="A16" s="24" t="str">
        <f ca="1">IFERROR(__xludf.DUMMYFUNCTION("""COMPUTED_VALUE"""),"ti-ing-2fbc1c56-3286-4d64-8ddd-b547296361a3")</f>
        <v>ti-ing-2fbc1c56-3286-4d64-8ddd-b547296361a3</v>
      </c>
      <c r="B16" s="24" t="str">
        <f ca="1">IFERROR(__xludf.DUMMYFUNCTION("""COMPUTED_VALUE"""),"Espaguetti")</f>
        <v>Espaguetti</v>
      </c>
      <c r="C16" s="24">
        <v>0</v>
      </c>
      <c r="D16" s="43">
        <f ca="1">IFERROR(__xludf.DUMMYFUNCTION("""COMPUTED_VALUE"""),407)</f>
        <v>407</v>
      </c>
      <c r="E16" s="24" t="str">
        <f ca="1">IFERROR(__xludf.DUMMYFUNCTION("""COMPUTED_VALUE"""),"UN")</f>
        <v>UN</v>
      </c>
      <c r="F16" s="44" t="str">
        <f ca="1">IFERROR(__xludf.DUMMYFUNCTION("""COMPUTED_VALUE"""),"Abarrotes")</f>
        <v>Abarrotes</v>
      </c>
      <c r="G16" s="45">
        <f t="shared" ca="1" si="0"/>
        <v>0</v>
      </c>
      <c r="H16" s="45">
        <f t="shared" ca="1" si="1"/>
        <v>0</v>
      </c>
      <c r="I16" s="47">
        <f t="shared" ca="1" si="2"/>
        <v>0</v>
      </c>
      <c r="J16" s="1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9.5" customHeight="1">
      <c r="A17" s="24" t="str">
        <f ca="1">IFERROR(__xludf.DUMMYFUNCTION("""COMPUTED_VALUE"""),"ti-ing-446530ff-42dc-41f9-9208-1b6c8dded86f")</f>
        <v>ti-ing-446530ff-42dc-41f9-9208-1b6c8dded86f</v>
      </c>
      <c r="B17" s="24" t="str">
        <f ca="1">IFERROR(__xludf.DUMMYFUNCTION("""COMPUTED_VALUE"""),"Espirales")</f>
        <v>Espirales</v>
      </c>
      <c r="C17" s="24">
        <v>0</v>
      </c>
      <c r="D17" s="43">
        <f ca="1">IFERROR(__xludf.DUMMYFUNCTION("""COMPUTED_VALUE"""),399)</f>
        <v>399</v>
      </c>
      <c r="E17" s="24" t="str">
        <f ca="1">IFERROR(__xludf.DUMMYFUNCTION("""COMPUTED_VALUE"""),"UN")</f>
        <v>UN</v>
      </c>
      <c r="F17" s="44" t="str">
        <f ca="1">IFERROR(__xludf.DUMMYFUNCTION("""COMPUTED_VALUE"""),"Abarrotes")</f>
        <v>Abarrotes</v>
      </c>
      <c r="G17" s="45">
        <f t="shared" ca="1" si="0"/>
        <v>0</v>
      </c>
      <c r="H17" s="45">
        <f t="shared" ca="1" si="1"/>
        <v>0</v>
      </c>
      <c r="I17" s="47">
        <f t="shared" ca="1" si="2"/>
        <v>0</v>
      </c>
      <c r="J17" s="1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9.5" customHeight="1">
      <c r="A18" s="24" t="str">
        <f ca="1">IFERROR(__xludf.DUMMYFUNCTION("""COMPUTED_VALUE"""),"ti-ing-11a33780-09cc-47f7-b11c-89e4b6139bb9")</f>
        <v>ti-ing-11a33780-09cc-47f7-b11c-89e4b6139bb9</v>
      </c>
      <c r="B18" s="24" t="str">
        <f ca="1">IFERROR(__xludf.DUMMYFUNCTION("""COMPUTED_VALUE"""),"Garbanzos")</f>
        <v>Garbanzos</v>
      </c>
      <c r="C18" s="24">
        <v>0</v>
      </c>
      <c r="D18" s="43">
        <f ca="1">IFERROR(__xludf.DUMMYFUNCTION("""COMPUTED_VALUE"""),2291.25)</f>
        <v>2291.25</v>
      </c>
      <c r="E18" s="24" t="str">
        <f ca="1">IFERROR(__xludf.DUMMYFUNCTION("""COMPUTED_VALUE"""),"KG")</f>
        <v>KG</v>
      </c>
      <c r="F18" s="44" t="str">
        <f ca="1">IFERROR(__xludf.DUMMYFUNCTION("""COMPUTED_VALUE"""),"Abarrotes")</f>
        <v>Abarrotes</v>
      </c>
      <c r="G18" s="45">
        <f t="shared" ca="1" si="0"/>
        <v>0</v>
      </c>
      <c r="H18" s="45">
        <f t="shared" ca="1" si="1"/>
        <v>0</v>
      </c>
      <c r="I18" s="47">
        <f t="shared" ca="1" si="2"/>
        <v>0</v>
      </c>
      <c r="J18" s="1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9.5" customHeight="1">
      <c r="A19" s="24" t="str">
        <f ca="1">IFERROR(__xludf.DUMMYFUNCTION("""COMPUTED_VALUE"""),"ti-ing-16366b6f-c022-48bc-9b77-61765f107986")</f>
        <v>ti-ing-16366b6f-c022-48bc-9b77-61765f107986</v>
      </c>
      <c r="B19" s="24" t="str">
        <f ca="1">IFERROR(__xludf.DUMMYFUNCTION("""COMPUTED_VALUE"""),"Harina pan")</f>
        <v>Harina pan</v>
      </c>
      <c r="C19" s="24">
        <v>0</v>
      </c>
      <c r="D19" s="43">
        <f ca="1">IFERROR(__xludf.DUMMYFUNCTION("""COMPUTED_VALUE"""),1638.667)</f>
        <v>1638.6669999999999</v>
      </c>
      <c r="E19" s="24" t="str">
        <f ca="1">IFERROR(__xludf.DUMMYFUNCTION("""COMPUTED_VALUE"""),"KG")</f>
        <v>KG</v>
      </c>
      <c r="F19" s="44" t="str">
        <f ca="1">IFERROR(__xludf.DUMMYFUNCTION("""COMPUTED_VALUE"""),"Abarrotes")</f>
        <v>Abarrotes</v>
      </c>
      <c r="G19" s="45">
        <f t="shared" ca="1" si="0"/>
        <v>0</v>
      </c>
      <c r="H19" s="45">
        <f t="shared" ca="1" si="1"/>
        <v>0</v>
      </c>
      <c r="I19" s="47">
        <f t="shared" ca="1" si="2"/>
        <v>0</v>
      </c>
      <c r="J19" s="1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9.5" customHeight="1">
      <c r="A20" s="24" t="str">
        <f ca="1">IFERROR(__xludf.DUMMYFUNCTION("""COMPUTED_VALUE"""),"ti-ing-e6ff2cd2-0729-44b9-b0d3-457299c1ead8")</f>
        <v>ti-ing-e6ff2cd2-0729-44b9-b0d3-457299c1ead8</v>
      </c>
      <c r="B20" s="24" t="str">
        <f ca="1">IFERROR(__xludf.DUMMYFUNCTION("""COMPUTED_VALUE"""),"Huevos Arizona")</f>
        <v>Huevos Arizona</v>
      </c>
      <c r="C20" s="24">
        <v>177</v>
      </c>
      <c r="D20" s="43">
        <f ca="1">IFERROR(__xludf.DUMMYFUNCTION("""COMPUTED_VALUE"""),138)</f>
        <v>138</v>
      </c>
      <c r="E20" s="24" t="str">
        <f ca="1">IFERROR(__xludf.DUMMYFUNCTION("""COMPUTED_VALUE"""),"UN")</f>
        <v>UN</v>
      </c>
      <c r="F20" s="44" t="str">
        <f ca="1">IFERROR(__xludf.DUMMYFUNCTION("""COMPUTED_VALUE"""),"Abarrotes")</f>
        <v>Abarrotes</v>
      </c>
      <c r="G20" s="45">
        <f t="shared" ca="1" si="0"/>
        <v>24426</v>
      </c>
      <c r="H20" s="45">
        <f t="shared" ca="1" si="1"/>
        <v>4640.9399999999996</v>
      </c>
      <c r="I20" s="47">
        <f t="shared" ca="1" si="2"/>
        <v>29066.94</v>
      </c>
      <c r="J20" s="1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9.5" customHeight="1">
      <c r="A21" s="24" t="str">
        <f ca="1">IFERROR(__xludf.DUMMYFUNCTION("""COMPUTED_VALUE"""),"ti-ing-06898fd0-9448-431b-9bad-3526a93cf181")</f>
        <v>ti-ing-06898fd0-9448-431b-9bad-3526a93cf181</v>
      </c>
      <c r="B21" s="24" t="str">
        <f ca="1">IFERROR(__xludf.DUMMYFUNCTION("""COMPUTED_VALUE"""),"Ketchup kg")</f>
        <v>Ketchup kg</v>
      </c>
      <c r="C21" s="64">
        <v>0</v>
      </c>
      <c r="D21" s="43">
        <f ca="1">IFERROR(__xludf.DUMMYFUNCTION("""COMPUTED_VALUE"""),1550)</f>
        <v>1550</v>
      </c>
      <c r="E21" s="24" t="str">
        <f ca="1">IFERROR(__xludf.DUMMYFUNCTION("""COMPUTED_VALUE"""),"KG")</f>
        <v>KG</v>
      </c>
      <c r="F21" s="44" t="str">
        <f ca="1">IFERROR(__xludf.DUMMYFUNCTION("""COMPUTED_VALUE"""),"Abarrotes")</f>
        <v>Abarrotes</v>
      </c>
      <c r="G21" s="45">
        <f t="shared" ca="1" si="0"/>
        <v>0</v>
      </c>
      <c r="H21" s="45">
        <f t="shared" ca="1" si="1"/>
        <v>0</v>
      </c>
      <c r="I21" s="47">
        <f t="shared" ca="1" si="2"/>
        <v>0</v>
      </c>
      <c r="J21" s="1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9.5" customHeight="1">
      <c r="A22" s="24" t="str">
        <f ca="1">IFERROR(__xludf.DUMMYFUNCTION("""COMPUTED_VALUE"""),"ti-ing-f3eeca8c-b308-4136-a438-0f68fc53c279")</f>
        <v>ti-ing-f3eeca8c-b308-4136-a438-0f68fc53c279</v>
      </c>
      <c r="B22" s="24" t="str">
        <f ca="1">IFERROR(__xludf.DUMMYFUNCTION("""COMPUTED_VALUE"""),"Lasagne Chef")</f>
        <v>Lasagne Chef</v>
      </c>
      <c r="C22" s="24">
        <v>2.44</v>
      </c>
      <c r="D22" s="43">
        <f ca="1">IFERROR(__xludf.DUMMYFUNCTION("""COMPUTED_VALUE"""),3831.8)</f>
        <v>3831.8</v>
      </c>
      <c r="E22" s="24" t="str">
        <f ca="1">IFERROR(__xludf.DUMMYFUNCTION("""COMPUTED_VALUE"""),"kg")</f>
        <v>kg</v>
      </c>
      <c r="F22" s="44" t="str">
        <f ca="1">IFERROR(__xludf.DUMMYFUNCTION("""COMPUTED_VALUE"""),"Abarrotes")</f>
        <v>Abarrotes</v>
      </c>
      <c r="G22" s="45">
        <f t="shared" ca="1" si="0"/>
        <v>9349.5920000000006</v>
      </c>
      <c r="H22" s="45">
        <f t="shared" ca="1" si="1"/>
        <v>1776.4224800000002</v>
      </c>
      <c r="I22" s="47">
        <f t="shared" ca="1" si="2"/>
        <v>11126.014480000002</v>
      </c>
      <c r="J22" s="1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9.5" customHeight="1">
      <c r="A23" s="24" t="str">
        <f ca="1">IFERROR(__xludf.DUMMYFUNCTION("""COMPUTED_VALUE"""),"ti-ing-20a9682d-4a6c-42c4-a3ed-312cab8df904")</f>
        <v>ti-ing-20a9682d-4a6c-42c4-a3ed-312cab8df904</v>
      </c>
      <c r="B23" s="24" t="str">
        <f ca="1">IFERROR(__xludf.DUMMYFUNCTION("""COMPUTED_VALUE"""),"Laurel")</f>
        <v>Laurel</v>
      </c>
      <c r="C23" s="24">
        <v>0.11799999999999999</v>
      </c>
      <c r="D23" s="43">
        <f ca="1">IFERROR(__xludf.DUMMYFUNCTION("""COMPUTED_VALUE"""),75280)</f>
        <v>75280</v>
      </c>
      <c r="E23" s="24" t="str">
        <f ca="1">IFERROR(__xludf.DUMMYFUNCTION("""COMPUTED_VALUE"""),"KG")</f>
        <v>KG</v>
      </c>
      <c r="F23" s="44" t="str">
        <f ca="1">IFERROR(__xludf.DUMMYFUNCTION("""COMPUTED_VALUE"""),"Abarrotes")</f>
        <v>Abarrotes</v>
      </c>
      <c r="G23" s="45">
        <f t="shared" ca="1" si="0"/>
        <v>8883.0399999999991</v>
      </c>
      <c r="H23" s="45">
        <f t="shared" ca="1" si="1"/>
        <v>1687.7775999999999</v>
      </c>
      <c r="I23" s="47">
        <f t="shared" ca="1" si="2"/>
        <v>10570.817599999998</v>
      </c>
      <c r="J23" s="1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9.5" customHeight="1">
      <c r="A24" s="24" t="str">
        <f ca="1">IFERROR(__xludf.DUMMYFUNCTION("""COMPUTED_VALUE"""),"ti-ing-a5f32751-2fe1-4388-acd1-977dd4d921a6")</f>
        <v>ti-ing-a5f32751-2fe1-4388-acd1-977dd4d921a6</v>
      </c>
      <c r="B24" s="24" t="str">
        <f ca="1">IFERROR(__xludf.DUMMYFUNCTION("""COMPUTED_VALUE"""),"Lentejas (colacion personal)")</f>
        <v>Lentejas (colacion personal)</v>
      </c>
      <c r="C24" s="24">
        <v>0</v>
      </c>
      <c r="D24" s="43">
        <f ca="1">IFERROR(__xludf.DUMMYFUNCTION("""COMPUTED_VALUE"""),2118)</f>
        <v>2118</v>
      </c>
      <c r="E24" s="24" t="str">
        <f ca="1">IFERROR(__xludf.DUMMYFUNCTION("""COMPUTED_VALUE"""),"KG")</f>
        <v>KG</v>
      </c>
      <c r="F24" s="44" t="str">
        <f ca="1">IFERROR(__xludf.DUMMYFUNCTION("""COMPUTED_VALUE"""),"Abarrotes")</f>
        <v>Abarrotes</v>
      </c>
      <c r="G24" s="45">
        <f t="shared" ca="1" si="0"/>
        <v>0</v>
      </c>
      <c r="H24" s="45">
        <f t="shared" ca="1" si="1"/>
        <v>0</v>
      </c>
      <c r="I24" s="47">
        <f t="shared" ca="1" si="2"/>
        <v>0</v>
      </c>
      <c r="J24" s="1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9.5" customHeight="1">
      <c r="A25" s="24" t="str">
        <f ca="1">IFERROR(__xludf.DUMMYFUNCTION("""COMPUTED_VALUE"""),"ti-ing-69061f8d-e4d9-4fc4-b44e-0cd173ebf8f3")</f>
        <v>ti-ing-69061f8d-e4d9-4fc4-b44e-0cd173ebf8f3</v>
      </c>
      <c r="B25" s="24" t="str">
        <f ca="1">IFERROR(__xludf.DUMMYFUNCTION("""COMPUTED_VALUE"""),"Maicena kg")</f>
        <v>Maicena kg</v>
      </c>
      <c r="C25" s="24">
        <v>0.64800000000000002</v>
      </c>
      <c r="D25" s="43">
        <f ca="1">IFERROR(__xludf.DUMMYFUNCTION("""COMPUTED_VALUE"""),1582)</f>
        <v>1582</v>
      </c>
      <c r="E25" s="24" t="str">
        <f ca="1">IFERROR(__xludf.DUMMYFUNCTION("""COMPUTED_VALUE"""),"KG")</f>
        <v>KG</v>
      </c>
      <c r="F25" s="44" t="str">
        <f ca="1">IFERROR(__xludf.DUMMYFUNCTION("""COMPUTED_VALUE"""),"Abarrotes")</f>
        <v>Abarrotes</v>
      </c>
      <c r="G25" s="45">
        <f t="shared" ca="1" si="0"/>
        <v>1025.136</v>
      </c>
      <c r="H25" s="45">
        <f t="shared" ca="1" si="1"/>
        <v>194.77583999999999</v>
      </c>
      <c r="I25" s="47">
        <f t="shared" ca="1" si="2"/>
        <v>1219.91184</v>
      </c>
      <c r="J25" s="1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9.5" customHeight="1">
      <c r="A26" s="24" t="str">
        <f ca="1">IFERROR(__xludf.DUMMYFUNCTION("""COMPUTED_VALUE"""),"ti-ing-3dba6697-1589-49e0-8e6e-951b48b7d160")</f>
        <v>ti-ing-3dba6697-1589-49e0-8e6e-951b48b7d160</v>
      </c>
      <c r="B26" s="24" t="str">
        <f ca="1">IFERROR(__xludf.DUMMYFUNCTION("""COMPUTED_VALUE"""),"Mayonesa Hellmans")</f>
        <v>Mayonesa Hellmans</v>
      </c>
      <c r="C26" s="24">
        <v>5.9180000000000001</v>
      </c>
      <c r="D26" s="43">
        <f ca="1">IFERROR(__xludf.DUMMYFUNCTION("""COMPUTED_VALUE"""),3989.362)</f>
        <v>3989.3620000000001</v>
      </c>
      <c r="E26" s="24" t="str">
        <f ca="1">IFERROR(__xludf.DUMMYFUNCTION("""COMPUTED_VALUE"""),"Kg")</f>
        <v>Kg</v>
      </c>
      <c r="F26" s="44" t="str">
        <f ca="1">IFERROR(__xludf.DUMMYFUNCTION("""COMPUTED_VALUE"""),"Abarrotes")</f>
        <v>Abarrotes</v>
      </c>
      <c r="G26" s="45">
        <f t="shared" ca="1" si="0"/>
        <v>23609.044316</v>
      </c>
      <c r="H26" s="45">
        <f t="shared" ca="1" si="1"/>
        <v>4485.7184200399997</v>
      </c>
      <c r="I26" s="47">
        <f t="shared" ca="1" si="2"/>
        <v>28094.76273604</v>
      </c>
      <c r="J26" s="1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9.5" customHeight="1">
      <c r="A27" s="24"/>
      <c r="B27" s="24" t="str">
        <f ca="1">IFERROR(__xludf.DUMMYFUNCTION("""COMPUTED_VALUE"""),"Metabisulfito de sodio")</f>
        <v>Metabisulfito de sodio</v>
      </c>
      <c r="C27" s="24">
        <v>0.114</v>
      </c>
      <c r="D27" s="43">
        <f ca="1">IFERROR(__xludf.DUMMYFUNCTION("""COMPUTED_VALUE"""),14958)</f>
        <v>14958</v>
      </c>
      <c r="E27" s="24" t="str">
        <f ca="1">IFERROR(__xludf.DUMMYFUNCTION("""COMPUTED_VALUE"""),"KG")</f>
        <v>KG</v>
      </c>
      <c r="F27" s="44" t="str">
        <f ca="1">IFERROR(__xludf.DUMMYFUNCTION("""COMPUTED_VALUE"""),"Abarrotes")</f>
        <v>Abarrotes</v>
      </c>
      <c r="G27" s="45">
        <f t="shared" ca="1" si="0"/>
        <v>1705.212</v>
      </c>
      <c r="H27" s="45">
        <f t="shared" ca="1" si="1"/>
        <v>323.99027999999998</v>
      </c>
      <c r="I27" s="47">
        <f t="shared" ca="1" si="2"/>
        <v>2029.20228</v>
      </c>
      <c r="J27" s="1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9.5" customHeight="1">
      <c r="A28" s="24" t="str">
        <f ca="1">IFERROR(__xludf.DUMMYFUNCTION("""COMPUTED_VALUE"""),"ti-ing-55acf21a-55c1-406f-a76b-b81347750e20")</f>
        <v>ti-ing-55acf21a-55c1-406f-a76b-b81347750e20</v>
      </c>
      <c r="B28" s="24" t="str">
        <f ca="1">IFERROR(__xludf.DUMMYFUNCTION("""COMPUTED_VALUE"""),"Mostaza")</f>
        <v>Mostaza</v>
      </c>
      <c r="C28" s="24">
        <v>1.246</v>
      </c>
      <c r="D28" s="43">
        <f ca="1">IFERROR(__xludf.DUMMYFUNCTION("""COMPUTED_VALUE"""),1336)</f>
        <v>1336</v>
      </c>
      <c r="E28" s="24" t="str">
        <f ca="1">IFERROR(__xludf.DUMMYFUNCTION("""COMPUTED_VALUE"""),"KG")</f>
        <v>KG</v>
      </c>
      <c r="F28" s="44" t="str">
        <f ca="1">IFERROR(__xludf.DUMMYFUNCTION("""COMPUTED_VALUE"""),"Abarrotes")</f>
        <v>Abarrotes</v>
      </c>
      <c r="G28" s="45">
        <f t="shared" ca="1" si="0"/>
        <v>1664.6559999999999</v>
      </c>
      <c r="H28" s="45">
        <f t="shared" ca="1" si="1"/>
        <v>316.28463999999997</v>
      </c>
      <c r="I28" s="47">
        <f t="shared" ca="1" si="2"/>
        <v>1980.9406399999998</v>
      </c>
      <c r="J28" s="1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9.5" customHeight="1">
      <c r="A29" s="24" t="str">
        <f ca="1">IFERROR(__xludf.DUMMYFUNCTION("""COMPUTED_VALUE"""),"ti-ing-1a1ad4e7-e7d7-4d58-a706-bfd83210f90b")</f>
        <v>ti-ing-1a1ad4e7-e7d7-4d58-a706-bfd83210f90b</v>
      </c>
      <c r="B29" s="24" t="str">
        <f ca="1">IFERROR(__xludf.DUMMYFUNCTION("""COMPUTED_VALUE"""),"Oregano kg")</f>
        <v>Oregano kg</v>
      </c>
      <c r="C29" s="24">
        <v>0.90200000000000002</v>
      </c>
      <c r="D29" s="43">
        <f ca="1">IFERROR(__xludf.DUMMYFUNCTION("""COMPUTED_VALUE"""),4812)</f>
        <v>4812</v>
      </c>
      <c r="E29" s="24" t="str">
        <f ca="1">IFERROR(__xludf.DUMMYFUNCTION("""COMPUTED_VALUE"""),"KG")</f>
        <v>KG</v>
      </c>
      <c r="F29" s="44" t="str">
        <f ca="1">IFERROR(__xludf.DUMMYFUNCTION("""COMPUTED_VALUE"""),"Abarrotes")</f>
        <v>Abarrotes</v>
      </c>
      <c r="G29" s="45">
        <f t="shared" ca="1" si="0"/>
        <v>4340.424</v>
      </c>
      <c r="H29" s="45">
        <f t="shared" ca="1" si="1"/>
        <v>824.68056000000001</v>
      </c>
      <c r="I29" s="47">
        <f t="shared" ca="1" si="2"/>
        <v>5165.1045599999998</v>
      </c>
      <c r="J29" s="1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9.5" customHeight="1">
      <c r="A30" s="24" t="str">
        <f ca="1">IFERROR(__xludf.DUMMYFUNCTION("""COMPUTED_VALUE"""),"ti-ing-dc13f521-8e90-4186-98aa-e2a49341278b")</f>
        <v>ti-ing-dc13f521-8e90-4186-98aa-e2a49341278b</v>
      </c>
      <c r="B30" s="24" t="str">
        <f ca="1">IFERROR(__xludf.DUMMYFUNCTION("""COMPUTED_VALUE"""),"Paprika")</f>
        <v>Paprika</v>
      </c>
      <c r="C30" s="24">
        <v>0.82199999999999995</v>
      </c>
      <c r="D30" s="43">
        <f ca="1">IFERROR(__xludf.DUMMYFUNCTION("""COMPUTED_VALUE"""),3850)</f>
        <v>3850</v>
      </c>
      <c r="E30" s="24" t="str">
        <f ca="1">IFERROR(__xludf.DUMMYFUNCTION("""COMPUTED_VALUE"""),"KG")</f>
        <v>KG</v>
      </c>
      <c r="F30" s="44" t="str">
        <f ca="1">IFERROR(__xludf.DUMMYFUNCTION("""COMPUTED_VALUE"""),"Abarrotes")</f>
        <v>Abarrotes</v>
      </c>
      <c r="G30" s="45">
        <f t="shared" ca="1" si="0"/>
        <v>3164.7</v>
      </c>
      <c r="H30" s="45">
        <f t="shared" ca="1" si="1"/>
        <v>601.29300000000001</v>
      </c>
      <c r="I30" s="47">
        <f t="shared" ca="1" si="2"/>
        <v>3765.9929999999999</v>
      </c>
      <c r="J30" s="1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9.5" customHeight="1">
      <c r="A31" s="24"/>
      <c r="B31" s="24" t="str">
        <f ca="1">IFERROR(__xludf.DUMMYFUNCTION("""COMPUTED_VALUE"""),"Pasta aji panca")</f>
        <v>Pasta aji panca</v>
      </c>
      <c r="C31" s="24">
        <v>0</v>
      </c>
      <c r="D31" s="43">
        <f ca="1">IFERROR(__xludf.DUMMYFUNCTION("""COMPUTED_VALUE"""),14335)</f>
        <v>14335</v>
      </c>
      <c r="E31" s="24" t="str">
        <f ca="1">IFERROR(__xludf.DUMMYFUNCTION("""COMPUTED_VALUE"""),"KG")</f>
        <v>KG</v>
      </c>
      <c r="F31" s="44" t="str">
        <f ca="1">IFERROR(__xludf.DUMMYFUNCTION("""COMPUTED_VALUE"""),"Abarrotes")</f>
        <v>Abarrotes</v>
      </c>
      <c r="G31" s="45">
        <f t="shared" ca="1" si="0"/>
        <v>0</v>
      </c>
      <c r="H31" s="45">
        <f t="shared" ca="1" si="1"/>
        <v>0</v>
      </c>
      <c r="I31" s="47">
        <f t="shared" ca="1" si="2"/>
        <v>0</v>
      </c>
      <c r="J31" s="1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9.5" customHeight="1">
      <c r="A32" s="24" t="str">
        <f ca="1">IFERROR(__xludf.DUMMYFUNCTION("""COMPUTED_VALUE"""),"ti-ing-dce3151a-440e-4adc-b6f6-75fb61de8ac6")</f>
        <v>ti-ing-dce3151a-440e-4adc-b6f6-75fb61de8ac6</v>
      </c>
      <c r="B32" s="24" t="str">
        <f ca="1">IFERROR(__xludf.DUMMYFUNCTION("""COMPUTED_VALUE"""),"Pimienta")</f>
        <v>Pimienta</v>
      </c>
      <c r="C32" s="24">
        <v>0.224</v>
      </c>
      <c r="D32" s="43">
        <f ca="1">IFERROR(__xludf.DUMMYFUNCTION("""COMPUTED_VALUE"""),11258)</f>
        <v>11258</v>
      </c>
      <c r="E32" s="24" t="str">
        <f ca="1">IFERROR(__xludf.DUMMYFUNCTION("""COMPUTED_VALUE"""),"UN")</f>
        <v>UN</v>
      </c>
      <c r="F32" s="44" t="str">
        <f ca="1">IFERROR(__xludf.DUMMYFUNCTION("""COMPUTED_VALUE"""),"Abarrotes")</f>
        <v>Abarrotes</v>
      </c>
      <c r="G32" s="45">
        <f t="shared" ca="1" si="0"/>
        <v>2521.7919999999999</v>
      </c>
      <c r="H32" s="45">
        <f t="shared" ca="1" si="1"/>
        <v>479.14047999999997</v>
      </c>
      <c r="I32" s="47">
        <f t="shared" ca="1" si="2"/>
        <v>3000.9324799999999</v>
      </c>
      <c r="J32" s="1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9.5" customHeight="1">
      <c r="A33" s="24" t="str">
        <f ca="1">IFERROR(__xludf.DUMMYFUNCTION("""COMPUTED_VALUE"""),"ti-ing-904468d1-7aa3-4ea8-a76b-bb2fb6b316e2")</f>
        <v>ti-ing-904468d1-7aa3-4ea8-a76b-bb2fb6b316e2</v>
      </c>
      <c r="B33" s="24" t="str">
        <f ca="1">IFERROR(__xludf.DUMMYFUNCTION("""COMPUTED_VALUE"""),"Porotos")</f>
        <v>Porotos</v>
      </c>
      <c r="C33" s="24">
        <v>0</v>
      </c>
      <c r="D33" s="43">
        <f ca="1">IFERROR(__xludf.DUMMYFUNCTION("""COMPUTED_VALUE"""),1778)</f>
        <v>1778</v>
      </c>
      <c r="E33" s="24" t="str">
        <f ca="1">IFERROR(__xludf.DUMMYFUNCTION("""COMPUTED_VALUE"""),"KG")</f>
        <v>KG</v>
      </c>
      <c r="F33" s="44" t="str">
        <f ca="1">IFERROR(__xludf.DUMMYFUNCTION("""COMPUTED_VALUE"""),"Abarrotes")</f>
        <v>Abarrotes</v>
      </c>
      <c r="G33" s="45">
        <f t="shared" ca="1" si="0"/>
        <v>0</v>
      </c>
      <c r="H33" s="45">
        <f t="shared" ca="1" si="1"/>
        <v>0</v>
      </c>
      <c r="I33" s="47">
        <f t="shared" ca="1" si="2"/>
        <v>0</v>
      </c>
      <c r="J33" s="1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9.5" customHeight="1">
      <c r="A34" s="24" t="str">
        <f ca="1">IFERROR(__xludf.DUMMYFUNCTION("""COMPUTED_VALUE"""),"ti-ing-67451d2d-c408-4de8-b583-b73d147b0c3c")</f>
        <v>ti-ing-67451d2d-c408-4de8-b583-b73d147b0c3c</v>
      </c>
      <c r="B34" s="24" t="str">
        <f ca="1">IFERROR(__xludf.DUMMYFUNCTION("""COMPUTED_VALUE"""),"Porotos verde")</f>
        <v>Porotos verde</v>
      </c>
      <c r="C34" s="24">
        <v>0</v>
      </c>
      <c r="D34" s="43">
        <f ca="1">IFERROR(__xludf.DUMMYFUNCTION("""COMPUTED_VALUE"""),680)</f>
        <v>680</v>
      </c>
      <c r="E34" s="24" t="str">
        <f ca="1">IFERROR(__xludf.DUMMYFUNCTION("""COMPUTED_VALUE"""),"KG")</f>
        <v>KG</v>
      </c>
      <c r="F34" s="44" t="str">
        <f ca="1">IFERROR(__xludf.DUMMYFUNCTION("""COMPUTED_VALUE"""),"Abarrotes")</f>
        <v>Abarrotes</v>
      </c>
      <c r="G34" s="45">
        <f t="shared" ca="1" si="0"/>
        <v>0</v>
      </c>
      <c r="H34" s="45">
        <f t="shared" ca="1" si="1"/>
        <v>0</v>
      </c>
      <c r="I34" s="47">
        <f t="shared" ca="1" si="2"/>
        <v>0</v>
      </c>
      <c r="J34" s="15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9.5" customHeight="1">
      <c r="A35" s="24"/>
      <c r="B35" s="24" t="str">
        <f ca="1">IFERROR(__xludf.DUMMYFUNCTION("""COMPUTED_VALUE"""),"Quinua mixta")</f>
        <v>Quinua mixta</v>
      </c>
      <c r="C35" s="24">
        <v>0.61599999999999999</v>
      </c>
      <c r="D35" s="43">
        <f ca="1">IFERROR(__xludf.DUMMYFUNCTION("""COMPUTED_VALUE"""),4596)</f>
        <v>4596</v>
      </c>
      <c r="E35" s="24" t="str">
        <f ca="1">IFERROR(__xludf.DUMMYFUNCTION("""COMPUTED_VALUE"""),"KG")</f>
        <v>KG</v>
      </c>
      <c r="F35" s="44" t="str">
        <f ca="1">IFERROR(__xludf.DUMMYFUNCTION("""COMPUTED_VALUE"""),"Abarrotes")</f>
        <v>Abarrotes</v>
      </c>
      <c r="G35" s="45">
        <f t="shared" ca="1" si="0"/>
        <v>2831.136</v>
      </c>
      <c r="H35" s="45">
        <f t="shared" ca="1" si="1"/>
        <v>537.91584</v>
      </c>
      <c r="I35" s="47">
        <f t="shared" ca="1" si="2"/>
        <v>3369.0518400000001</v>
      </c>
      <c r="J35" s="15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9.5" customHeight="1">
      <c r="A36" s="24" t="str">
        <f ca="1">IFERROR(__xludf.DUMMYFUNCTION("""COMPUTED_VALUE"""),"ti-ing-93b9bb76-8e33-404b-b4a2-19bddccf01ff")</f>
        <v>ti-ing-93b9bb76-8e33-404b-b4a2-19bddccf01ff</v>
      </c>
      <c r="B36" s="24" t="str">
        <f ca="1">IFERROR(__xludf.DUMMYFUNCTION("""COMPUTED_VALUE"""),"Romero")</f>
        <v>Romero</v>
      </c>
      <c r="C36" s="24">
        <v>0.27800000000000002</v>
      </c>
      <c r="D36" s="43">
        <f ca="1">IFERROR(__xludf.DUMMYFUNCTION("""COMPUTED_VALUE"""),7135.19)</f>
        <v>7135.19</v>
      </c>
      <c r="E36" s="24" t="str">
        <f ca="1">IFERROR(__xludf.DUMMYFUNCTION("""COMPUTED_VALUE"""),"UN")</f>
        <v>UN</v>
      </c>
      <c r="F36" s="44" t="str">
        <f ca="1">IFERROR(__xludf.DUMMYFUNCTION("""COMPUTED_VALUE"""),"Abarrotes")</f>
        <v>Abarrotes</v>
      </c>
      <c r="G36" s="45">
        <f t="shared" ca="1" si="0"/>
        <v>1983.5828200000001</v>
      </c>
      <c r="H36" s="45">
        <f t="shared" ca="1" si="1"/>
        <v>376.88073580000002</v>
      </c>
      <c r="I36" s="47">
        <f t="shared" ca="1" si="2"/>
        <v>2360.4635558</v>
      </c>
      <c r="J36" s="15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9.5" customHeight="1">
      <c r="A37" s="24" t="str">
        <f ca="1">IFERROR(__xludf.DUMMYFUNCTION("""COMPUTED_VALUE"""),"ti-ing-4818468c-bc91-40f7-9fa4-eb19def3bff7")</f>
        <v>ti-ing-4818468c-bc91-40f7-9fa4-eb19def3bff7</v>
      </c>
      <c r="B37" s="24" t="str">
        <f ca="1">IFERROR(__xludf.DUMMYFUNCTION("""COMPUTED_VALUE"""),"Sal fina")</f>
        <v>Sal fina</v>
      </c>
      <c r="C37" s="24">
        <v>0.502</v>
      </c>
      <c r="D37" s="43">
        <f ca="1">IFERROR(__xludf.DUMMYFUNCTION("""COMPUTED_VALUE"""),290)</f>
        <v>290</v>
      </c>
      <c r="E37" s="24" t="str">
        <f ca="1">IFERROR(__xludf.DUMMYFUNCTION("""COMPUTED_VALUE"""),"KG")</f>
        <v>KG</v>
      </c>
      <c r="F37" s="44" t="str">
        <f ca="1">IFERROR(__xludf.DUMMYFUNCTION("""COMPUTED_VALUE"""),"Abarrotes")</f>
        <v>Abarrotes</v>
      </c>
      <c r="G37" s="45">
        <f t="shared" ca="1" si="0"/>
        <v>145.58000000000001</v>
      </c>
      <c r="H37" s="45">
        <f t="shared" ca="1" si="1"/>
        <v>27.660200000000003</v>
      </c>
      <c r="I37" s="47">
        <f t="shared" ca="1" si="2"/>
        <v>173.24020000000002</v>
      </c>
      <c r="J37" s="15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9.5" customHeight="1">
      <c r="A38" s="24" t="str">
        <f ca="1">IFERROR(__xludf.DUMMYFUNCTION("""COMPUTED_VALUE"""),"ti-ing-562ebc87-5bd7-439e-9451-999b88fdd759")</f>
        <v>ti-ing-562ebc87-5bd7-439e-9451-999b88fdd759</v>
      </c>
      <c r="B38" s="24" t="str">
        <f ca="1">IFERROR(__xludf.DUMMYFUNCTION("""COMPUTED_VALUE"""),"Salsa De Tomate")</f>
        <v>Salsa De Tomate</v>
      </c>
      <c r="C38" s="24">
        <v>1.3260000000000001</v>
      </c>
      <c r="D38" s="43">
        <f ca="1">IFERROR(__xludf.DUMMYFUNCTION("""COMPUTED_VALUE"""),1587)</f>
        <v>1587</v>
      </c>
      <c r="E38" s="24" t="str">
        <f ca="1">IFERROR(__xludf.DUMMYFUNCTION("""COMPUTED_VALUE"""),"KG")</f>
        <v>KG</v>
      </c>
      <c r="F38" s="44" t="str">
        <f ca="1">IFERROR(__xludf.DUMMYFUNCTION("""COMPUTED_VALUE"""),"Abarrotes")</f>
        <v>Abarrotes</v>
      </c>
      <c r="G38" s="45">
        <f t="shared" ca="1" si="0"/>
        <v>2104.3620000000001</v>
      </c>
      <c r="H38" s="45">
        <f t="shared" ca="1" si="1"/>
        <v>399.82877999999999</v>
      </c>
      <c r="I38" s="47">
        <f t="shared" ca="1" si="2"/>
        <v>2504.1907799999999</v>
      </c>
      <c r="J38" s="15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9.5" customHeight="1">
      <c r="A39" s="24" t="str">
        <f ca="1">IFERROR(__xludf.DUMMYFUNCTION("""COMPUTED_VALUE"""),"ti-ing-4f8ac25a-9411-4a59-806f-62cee4c4e0f1")</f>
        <v>ti-ing-4f8ac25a-9411-4a59-806f-62cee4c4e0f1</v>
      </c>
      <c r="B39" s="24" t="str">
        <f ca="1">IFERROR(__xludf.DUMMYFUNCTION("""COMPUTED_VALUE"""),"Salsa inglesa")</f>
        <v>Salsa inglesa</v>
      </c>
      <c r="C39" s="24">
        <v>0.28199999999999997</v>
      </c>
      <c r="D39" s="43">
        <f ca="1">IFERROR(__xludf.DUMMYFUNCTION("""COMPUTED_VALUE"""),4035)</f>
        <v>4035</v>
      </c>
      <c r="E39" s="24" t="str">
        <f ca="1">IFERROR(__xludf.DUMMYFUNCTION("""COMPUTED_VALUE"""),"Kg")</f>
        <v>Kg</v>
      </c>
      <c r="F39" s="44" t="str">
        <f ca="1">IFERROR(__xludf.DUMMYFUNCTION("""COMPUTED_VALUE"""),"Abarrotes")</f>
        <v>Abarrotes</v>
      </c>
      <c r="G39" s="45">
        <f t="shared" ca="1" si="0"/>
        <v>1137.8699999999999</v>
      </c>
      <c r="H39" s="45">
        <f t="shared" ca="1" si="1"/>
        <v>216.19529999999997</v>
      </c>
      <c r="I39" s="47">
        <f t="shared" ca="1" si="2"/>
        <v>1354.0652999999998</v>
      </c>
      <c r="J39" s="15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9.5" customHeight="1">
      <c r="A40" s="24" t="str">
        <f ca="1">IFERROR(__xludf.DUMMYFUNCTION("""COMPUTED_VALUE"""),"ti-ing-9f3dba64-3cca-408b-ac1e-45359966da75")</f>
        <v>ti-ing-9f3dba64-3cca-408b-ac1e-45359966da75</v>
      </c>
      <c r="B40" s="24" t="str">
        <f ca="1">IFERROR(__xludf.DUMMYFUNCTION("""COMPUTED_VALUE"""),"Salsa Soya")</f>
        <v>Salsa Soya</v>
      </c>
      <c r="C40" s="24">
        <v>0.9</v>
      </c>
      <c r="D40" s="43">
        <f ca="1">IFERROR(__xludf.DUMMYFUNCTION("""COMPUTED_VALUE"""),1625)</f>
        <v>1625</v>
      </c>
      <c r="E40" s="24" t="str">
        <f ca="1">IFERROR(__xludf.DUMMYFUNCTION("""COMPUTED_VALUE"""),"KG")</f>
        <v>KG</v>
      </c>
      <c r="F40" s="44" t="str">
        <f ca="1">IFERROR(__xludf.DUMMYFUNCTION("""COMPUTED_VALUE"""),"Abarrotes")</f>
        <v>Abarrotes</v>
      </c>
      <c r="G40" s="45">
        <f t="shared" ca="1" si="0"/>
        <v>1462.5</v>
      </c>
      <c r="H40" s="45">
        <f t="shared" ca="1" si="1"/>
        <v>277.875</v>
      </c>
      <c r="I40" s="47">
        <f t="shared" ca="1" si="2"/>
        <v>1740.375</v>
      </c>
      <c r="J40" s="15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9.5" customHeight="1">
      <c r="A41" s="24" t="str">
        <f ca="1">IFERROR(__xludf.DUMMYFUNCTION("""COMPUTED_VALUE"""),"ti-ing-7e2cee8d-1717-48ff-96be-290c5aa01461")</f>
        <v>ti-ing-7e2cee8d-1717-48ff-96be-290c5aa01461</v>
      </c>
      <c r="B41" s="24" t="str">
        <f ca="1">IFERROR(__xludf.DUMMYFUNCTION("""COMPUTED_VALUE"""),"Semilla cilantro")</f>
        <v>Semilla cilantro</v>
      </c>
      <c r="C41" s="24">
        <v>0.69799999999999995</v>
      </c>
      <c r="D41" s="43">
        <f ca="1">IFERROR(__xludf.DUMMYFUNCTION("""COMPUTED_VALUE"""),4874.396)</f>
        <v>4874.3959999999997</v>
      </c>
      <c r="E41" s="24" t="str">
        <f ca="1">IFERROR(__xludf.DUMMYFUNCTION("""COMPUTED_VALUE"""),"KG")</f>
        <v>KG</v>
      </c>
      <c r="F41" s="44" t="str">
        <f ca="1">IFERROR(__xludf.DUMMYFUNCTION("""COMPUTED_VALUE"""),"Abarrotes")</f>
        <v>Abarrotes</v>
      </c>
      <c r="G41" s="45">
        <f t="shared" ca="1" si="0"/>
        <v>3402.3284079999994</v>
      </c>
      <c r="H41" s="45">
        <f t="shared" ca="1" si="1"/>
        <v>646.44239751999987</v>
      </c>
      <c r="I41" s="47">
        <f t="shared" ca="1" si="2"/>
        <v>4048.7708055199992</v>
      </c>
      <c r="J41" s="15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9.5" customHeight="1">
      <c r="A42" s="24" t="str">
        <f ca="1">IFERROR(__xludf.DUMMYFUNCTION("""COMPUTED_VALUE"""),"ti-ing-7a052395-bb4e-4c4d-a1cf-c498a5386bb1")</f>
        <v>ti-ing-7a052395-bb4e-4c4d-a1cf-c498a5386bb1</v>
      </c>
      <c r="B42" s="24" t="str">
        <f ca="1">IFERROR(__xludf.DUMMYFUNCTION("""COMPUTED_VALUE"""),"Tomillo")</f>
        <v>Tomillo</v>
      </c>
      <c r="C42" s="24">
        <v>0.93799999999999994</v>
      </c>
      <c r="D42" s="43">
        <f ca="1">IFERROR(__xludf.DUMMYFUNCTION("""COMPUTED_VALUE"""),9885)</f>
        <v>9885</v>
      </c>
      <c r="E42" s="24" t="str">
        <f ca="1">IFERROR(__xludf.DUMMYFUNCTION("""COMPUTED_VALUE"""),"UN")</f>
        <v>UN</v>
      </c>
      <c r="F42" s="44" t="str">
        <f ca="1">IFERROR(__xludf.DUMMYFUNCTION("""COMPUTED_VALUE"""),"Abarrotes")</f>
        <v>Abarrotes</v>
      </c>
      <c r="G42" s="45">
        <f t="shared" ca="1" si="0"/>
        <v>9272.1299999999992</v>
      </c>
      <c r="H42" s="45">
        <f t="shared" ca="1" si="1"/>
        <v>1761.7046999999998</v>
      </c>
      <c r="I42" s="47">
        <f t="shared" ca="1" si="2"/>
        <v>11033.834699999999</v>
      </c>
      <c r="J42" s="15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9.5" customHeight="1">
      <c r="A43" s="24" t="str">
        <f ca="1">IFERROR(__xludf.DUMMYFUNCTION("""COMPUTED_VALUE"""),"ti-ing-b38390e4-8c11-4339-8209-7a310643c3be")</f>
        <v>ti-ing-b38390e4-8c11-4339-8209-7a310643c3be</v>
      </c>
      <c r="B43" s="24" t="str">
        <f ca="1">IFERROR(__xludf.DUMMYFUNCTION("""COMPUTED_VALUE"""),"Vinagre")</f>
        <v>Vinagre</v>
      </c>
      <c r="C43" s="24">
        <v>2.1120000000000001</v>
      </c>
      <c r="D43" s="43">
        <f ca="1">IFERROR(__xludf.DUMMYFUNCTION("""COMPUTED_VALUE"""),593)</f>
        <v>593</v>
      </c>
      <c r="E43" s="24" t="str">
        <f ca="1">IFERROR(__xludf.DUMMYFUNCTION("""COMPUTED_VALUE"""),"UN")</f>
        <v>UN</v>
      </c>
      <c r="F43" s="44" t="str">
        <f ca="1">IFERROR(__xludf.DUMMYFUNCTION("""COMPUTED_VALUE"""),"Abarrotes")</f>
        <v>Abarrotes</v>
      </c>
      <c r="G43" s="45">
        <f t="shared" ca="1" si="0"/>
        <v>1252.4160000000002</v>
      </c>
      <c r="H43" s="45">
        <f t="shared" ca="1" si="1"/>
        <v>237.95904000000004</v>
      </c>
      <c r="I43" s="47">
        <f t="shared" ca="1" si="2"/>
        <v>1490.3750400000001</v>
      </c>
      <c r="J43" s="15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9.5" customHeight="1">
      <c r="A44" s="24" t="str">
        <f ca="1">IFERROR(__xludf.DUMMYFUNCTION("""COMPUTED_VALUE"""),"ti-ing-32a0a1de-7d7a-48fa-8701-58015f10f3d8")</f>
        <v>ti-ing-32a0a1de-7d7a-48fa-8701-58015f10f3d8</v>
      </c>
      <c r="B44" s="24" t="str">
        <f ca="1">IFERROR(__xludf.DUMMYFUNCTION("""COMPUTED_VALUE"""),"BOLSA BASURA GRANDE (un)")</f>
        <v>BOLSA BASURA GRANDE (un)</v>
      </c>
      <c r="C44" s="24">
        <v>5</v>
      </c>
      <c r="D44" s="43">
        <f ca="1">IFERROR(__xludf.DUMMYFUNCTION("""COMPUTED_VALUE"""),391.1)</f>
        <v>391.1</v>
      </c>
      <c r="E44" s="24" t="str">
        <f ca="1">IFERROR(__xludf.DUMMYFUNCTION("""COMPUTED_VALUE"""),"UN")</f>
        <v>UN</v>
      </c>
      <c r="F44" s="44" t="str">
        <f ca="1">IFERROR(__xludf.DUMMYFUNCTION("""COMPUTED_VALUE"""),"Aseo")</f>
        <v>Aseo</v>
      </c>
      <c r="G44" s="45">
        <f t="shared" ca="1" si="0"/>
        <v>1955.5</v>
      </c>
      <c r="H44" s="45">
        <f t="shared" ca="1" si="1"/>
        <v>371.54500000000002</v>
      </c>
      <c r="I44" s="47">
        <f t="shared" ca="1" si="2"/>
        <v>2327.0450000000001</v>
      </c>
      <c r="J44" s="15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9.5" customHeight="1">
      <c r="A45" s="24" t="str">
        <f ca="1">IFERROR(__xludf.DUMMYFUNCTION("""COMPUTED_VALUE"""),"ti-ing-addf5a00-64be-48da-80f1-f963e13357c9")</f>
        <v>ti-ing-addf5a00-64be-48da-80f1-f963e13357c9</v>
      </c>
      <c r="B45" s="24" t="str">
        <f ca="1">IFERROR(__xludf.DUMMYFUNCTION("""COMPUTED_VALUE"""),"CLORO 5 LTS")</f>
        <v>CLORO 5 LTS</v>
      </c>
      <c r="C45" s="24">
        <v>4.0259999999999998</v>
      </c>
      <c r="D45" s="43">
        <f ca="1">IFERROR(__xludf.DUMMYFUNCTION("""COMPUTED_VALUE"""),247)</f>
        <v>247</v>
      </c>
      <c r="E45" s="24" t="str">
        <f ca="1">IFERROR(__xludf.DUMMYFUNCTION("""COMPUTED_VALUE"""),"LT")</f>
        <v>LT</v>
      </c>
      <c r="F45" s="44" t="str">
        <f ca="1">IFERROR(__xludf.DUMMYFUNCTION("""COMPUTED_VALUE"""),"Aseo")</f>
        <v>Aseo</v>
      </c>
      <c r="G45" s="45">
        <f t="shared" ca="1" si="0"/>
        <v>994.42199999999991</v>
      </c>
      <c r="H45" s="45">
        <f t="shared" ca="1" si="1"/>
        <v>188.94018</v>
      </c>
      <c r="I45" s="47">
        <f t="shared" ca="1" si="2"/>
        <v>1183.3621799999999</v>
      </c>
      <c r="J45" s="15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9.5" customHeight="1">
      <c r="A46" s="24" t="str">
        <f ca="1">IFERROR(__xludf.DUMMYFUNCTION("""COMPUTED_VALUE"""),"ti-ing-2a9f7a04-ff9b-4634-9f27-edac618856d6")</f>
        <v>ti-ing-2a9f7a04-ff9b-4634-9f27-edac618856d6</v>
      </c>
      <c r="B46" s="24" t="str">
        <f ca="1">IFERROR(__xludf.DUMMYFUNCTION("""COMPUTED_VALUE"""),"DESENGRASANTE 5 lt")</f>
        <v>DESENGRASANTE 5 lt</v>
      </c>
      <c r="C46" s="24">
        <v>3.38</v>
      </c>
      <c r="D46" s="43">
        <f ca="1">IFERROR(__xludf.DUMMYFUNCTION("""COMPUTED_VALUE"""),658.8)</f>
        <v>658.8</v>
      </c>
      <c r="E46" s="24" t="str">
        <f ca="1">IFERROR(__xludf.DUMMYFUNCTION("""COMPUTED_VALUE"""),"LT")</f>
        <v>LT</v>
      </c>
      <c r="F46" s="44" t="str">
        <f ca="1">IFERROR(__xludf.DUMMYFUNCTION("""COMPUTED_VALUE"""),"Aseo")</f>
        <v>Aseo</v>
      </c>
      <c r="G46" s="45">
        <f t="shared" ca="1" si="0"/>
        <v>2226.7439999999997</v>
      </c>
      <c r="H46" s="45">
        <f t="shared" ca="1" si="1"/>
        <v>423.08135999999996</v>
      </c>
      <c r="I46" s="47">
        <f t="shared" ca="1" si="2"/>
        <v>2649.8253599999998</v>
      </c>
      <c r="J46" s="15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9.5" customHeight="1">
      <c r="A47" s="24" t="str">
        <f ca="1">IFERROR(__xludf.DUMMYFUNCTION("""COMPUTED_VALUE"""),"ti-ing-e0ae8367-512a-46da-9188-edb6aed9ccac")</f>
        <v>ti-ing-e0ae8367-512a-46da-9188-edb6aed9ccac</v>
      </c>
      <c r="B47" s="24" t="str">
        <f ca="1">IFERROR(__xludf.DUMMYFUNCTION("""COMPUTED_VALUE"""),"ESCOBA")</f>
        <v>ESCOBA</v>
      </c>
      <c r="C47" s="24">
        <v>1</v>
      </c>
      <c r="D47" s="43">
        <f ca="1">IFERROR(__xludf.DUMMYFUNCTION("""COMPUTED_VALUE"""),1250)</f>
        <v>1250</v>
      </c>
      <c r="E47" s="24" t="str">
        <f ca="1">IFERROR(__xludf.DUMMYFUNCTION("""COMPUTED_VALUE"""),"UN")</f>
        <v>UN</v>
      </c>
      <c r="F47" s="44" t="str">
        <f ca="1">IFERROR(__xludf.DUMMYFUNCTION("""COMPUTED_VALUE"""),"Aseo")</f>
        <v>Aseo</v>
      </c>
      <c r="G47" s="45">
        <f t="shared" ca="1" si="0"/>
        <v>1250</v>
      </c>
      <c r="H47" s="45">
        <f t="shared" ca="1" si="1"/>
        <v>237.5</v>
      </c>
      <c r="I47" s="47">
        <f t="shared" ca="1" si="2"/>
        <v>1487.5</v>
      </c>
      <c r="J47" s="15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9.5" customHeight="1">
      <c r="A48" s="24" t="str">
        <f ca="1">IFERROR(__xludf.DUMMYFUNCTION("""COMPUTED_VALUE"""),"ti-ing-102eb718-4b52-41a7-9529-6a535c4ceb37")</f>
        <v>ti-ing-102eb718-4b52-41a7-9529-6a535c4ceb37</v>
      </c>
      <c r="B48" s="24" t="str">
        <f ca="1">IFERROR(__xludf.DUMMYFUNCTION("""COMPUTED_VALUE"""),"ESPONJAS AMARILLAS")</f>
        <v>ESPONJAS AMARILLAS</v>
      </c>
      <c r="C48" s="24">
        <v>4</v>
      </c>
      <c r="D48" s="43">
        <f ca="1">IFERROR(__xludf.DUMMYFUNCTION("""COMPUTED_VALUE"""),149)</f>
        <v>149</v>
      </c>
      <c r="E48" s="24" t="str">
        <f ca="1">IFERROR(__xludf.DUMMYFUNCTION("""COMPUTED_VALUE"""),"UN")</f>
        <v>UN</v>
      </c>
      <c r="F48" s="44" t="str">
        <f ca="1">IFERROR(__xludf.DUMMYFUNCTION("""COMPUTED_VALUE"""),"Aseo")</f>
        <v>Aseo</v>
      </c>
      <c r="G48" s="45">
        <f t="shared" ca="1" si="0"/>
        <v>596</v>
      </c>
      <c r="H48" s="45">
        <f t="shared" ca="1" si="1"/>
        <v>113.24</v>
      </c>
      <c r="I48" s="47">
        <f t="shared" ca="1" si="2"/>
        <v>709.24</v>
      </c>
      <c r="J48" s="15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9.5" customHeight="1">
      <c r="A49" s="24" t="str">
        <f ca="1">IFERROR(__xludf.DUMMYFUNCTION("""COMPUTED_VALUE"""),"ti-ing-04fc2068-57ca-42bc-bedb-ceda3e223def")</f>
        <v>ti-ing-04fc2068-57ca-42bc-bedb-ceda3e223def</v>
      </c>
      <c r="B49" s="24" t="str">
        <f ca="1">IFERROR(__xludf.DUMMYFUNCTION("""COMPUTED_VALUE"""),"Guantes De Látex L")</f>
        <v>Guantes De Látex L</v>
      </c>
      <c r="C49" s="24">
        <v>1.3</v>
      </c>
      <c r="D49" s="43">
        <f ca="1">IFERROR(__xludf.DUMMYFUNCTION("""COMPUTED_VALUE"""),3649.902)</f>
        <v>3649.902</v>
      </c>
      <c r="E49" s="24" t="str">
        <f ca="1">IFERROR(__xludf.DUMMYFUNCTION("""COMPUTED_VALUE"""),"UN")</f>
        <v>UN</v>
      </c>
      <c r="F49" s="44" t="str">
        <f ca="1">IFERROR(__xludf.DUMMYFUNCTION("""COMPUTED_VALUE"""),"Aseo")</f>
        <v>Aseo</v>
      </c>
      <c r="G49" s="45">
        <f t="shared" ca="1" si="0"/>
        <v>4744.8726000000006</v>
      </c>
      <c r="H49" s="45">
        <f t="shared" ca="1" si="1"/>
        <v>901.52579400000013</v>
      </c>
      <c r="I49" s="47">
        <f t="shared" ca="1" si="2"/>
        <v>5646.3983940000007</v>
      </c>
      <c r="J49" s="15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9.5" customHeight="1">
      <c r="A50" s="24" t="str">
        <f ca="1">IFERROR(__xludf.DUMMYFUNCTION("""COMPUTED_VALUE"""),"ti-ing-3c965e17-4bc3-453d-b74f-c682b54aeade")</f>
        <v>ti-ing-3c965e17-4bc3-453d-b74f-c682b54aeade</v>
      </c>
      <c r="B50" s="24" t="str">
        <f ca="1">IFERROR(__xludf.DUMMYFUNCTION("""COMPUTED_VALUE"""),"Guantes De Látex M")</f>
        <v>Guantes De Látex M</v>
      </c>
      <c r="C50" s="24">
        <v>0</v>
      </c>
      <c r="D50" s="43">
        <f ca="1">IFERROR(__xludf.DUMMYFUNCTION("""COMPUTED_VALUE"""),3650)</f>
        <v>3650</v>
      </c>
      <c r="E50" s="24" t="str">
        <f ca="1">IFERROR(__xludf.DUMMYFUNCTION("""COMPUTED_VALUE"""),"UN")</f>
        <v>UN</v>
      </c>
      <c r="F50" s="44" t="str">
        <f ca="1">IFERROR(__xludf.DUMMYFUNCTION("""COMPUTED_VALUE"""),"Aseo")</f>
        <v>Aseo</v>
      </c>
      <c r="G50" s="45">
        <f t="shared" ca="1" si="0"/>
        <v>0</v>
      </c>
      <c r="H50" s="45">
        <f t="shared" ca="1" si="1"/>
        <v>0</v>
      </c>
      <c r="I50" s="47">
        <f t="shared" ca="1" si="2"/>
        <v>0</v>
      </c>
      <c r="J50" s="15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9.5" customHeight="1">
      <c r="A51" s="24" t="str">
        <f ca="1">IFERROR(__xludf.DUMMYFUNCTION("""COMPUTED_VALUE"""),"ti-ing-90438c34-c1c8-455a-8b38-f56ab57f0e76")</f>
        <v>ti-ing-90438c34-c1c8-455a-8b38-f56ab57f0e76</v>
      </c>
      <c r="B51" s="24" t="str">
        <f ca="1">IFERROR(__xludf.DUMMYFUNCTION("""COMPUTED_VALUE"""),"LAVALOZAS")</f>
        <v>LAVALOZAS</v>
      </c>
      <c r="C51" s="24">
        <v>4.8840000000000003</v>
      </c>
      <c r="D51" s="43">
        <f ca="1">IFERROR(__xludf.DUMMYFUNCTION("""COMPUTED_VALUE"""),381.6)</f>
        <v>381.6</v>
      </c>
      <c r="E51" s="24" t="str">
        <f ca="1">IFERROR(__xludf.DUMMYFUNCTION("""COMPUTED_VALUE"""),"LT")</f>
        <v>LT</v>
      </c>
      <c r="F51" s="44" t="str">
        <f ca="1">IFERROR(__xludf.DUMMYFUNCTION("""COMPUTED_VALUE"""),"Aseo")</f>
        <v>Aseo</v>
      </c>
      <c r="G51" s="45">
        <f t="shared" ca="1" si="0"/>
        <v>1863.7344000000003</v>
      </c>
      <c r="H51" s="45">
        <f t="shared" ca="1" si="1"/>
        <v>354.10953600000005</v>
      </c>
      <c r="I51" s="47">
        <f t="shared" ca="1" si="2"/>
        <v>2217.8439360000002</v>
      </c>
      <c r="J51" s="15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9.5" customHeight="1">
      <c r="A52" s="24" t="str">
        <f ca="1">IFERROR(__xludf.DUMMYFUNCTION("""COMPUTED_VALUE"""),"ti-ing-87e4c4d7-978b-4106-9ff1-dda60dd75d70")</f>
        <v>ti-ing-87e4c4d7-978b-4106-9ff1-dda60dd75d70</v>
      </c>
      <c r="B52" s="24" t="str">
        <f ca="1">IFERROR(__xludf.DUMMYFUNCTION("""COMPUTED_VALUE"""),"LIMPIAPISOS")</f>
        <v>LIMPIAPISOS</v>
      </c>
      <c r="C52" s="24">
        <v>2.5619999999999998</v>
      </c>
      <c r="D52" s="43">
        <f ca="1">IFERROR(__xludf.DUMMYFUNCTION("""COMPUTED_VALUE"""),284.1160494)</f>
        <v>284.11604940000001</v>
      </c>
      <c r="E52" s="24" t="str">
        <f ca="1">IFERROR(__xludf.DUMMYFUNCTION("""COMPUTED_VALUE"""),"LT")</f>
        <v>LT</v>
      </c>
      <c r="F52" s="44" t="str">
        <f ca="1">IFERROR(__xludf.DUMMYFUNCTION("""COMPUTED_VALUE"""),"Aseo")</f>
        <v>Aseo</v>
      </c>
      <c r="G52" s="45">
        <f t="shared" ca="1" si="0"/>
        <v>727.90531856279995</v>
      </c>
      <c r="H52" s="45">
        <f t="shared" ca="1" si="1"/>
        <v>138.30201052693198</v>
      </c>
      <c r="I52" s="47">
        <f t="shared" ca="1" si="2"/>
        <v>866.20732908973196</v>
      </c>
      <c r="J52" s="15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9.5" customHeight="1">
      <c r="A53" s="24" t="str">
        <f ca="1">IFERROR(__xludf.DUMMYFUNCTION("""COMPUTED_VALUE"""),"ti-ing-64301c86-8657-4a60-9738-54b3f81ead5a")</f>
        <v>ti-ing-64301c86-8657-4a60-9738-54b3f81ead5a</v>
      </c>
      <c r="B53" s="24" t="str">
        <f ca="1">IFERROR(__xludf.DUMMYFUNCTION("""COMPUTED_VALUE"""),"MALLAS DE PELO (100un)")</f>
        <v>MALLAS DE PELO (100un)</v>
      </c>
      <c r="C53" s="24">
        <v>0.81</v>
      </c>
      <c r="D53" s="43">
        <f ca="1">IFERROR(__xludf.DUMMYFUNCTION("""COMPUTED_VALUE"""),1529)</f>
        <v>1529</v>
      </c>
      <c r="E53" s="24" t="str">
        <f ca="1">IFERROR(__xludf.DUMMYFUNCTION("""COMPUTED_VALUE"""),"UN")</f>
        <v>UN</v>
      </c>
      <c r="F53" s="44" t="str">
        <f ca="1">IFERROR(__xludf.DUMMYFUNCTION("""COMPUTED_VALUE"""),"Aseo")</f>
        <v>Aseo</v>
      </c>
      <c r="G53" s="45">
        <f t="shared" ca="1" si="0"/>
        <v>1238.49</v>
      </c>
      <c r="H53" s="45">
        <f t="shared" ca="1" si="1"/>
        <v>235.31309999999999</v>
      </c>
      <c r="I53" s="47">
        <f t="shared" ca="1" si="2"/>
        <v>1473.8031000000001</v>
      </c>
      <c r="J53" s="15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9.5" customHeight="1">
      <c r="A54" s="24" t="str">
        <f ca="1">IFERROR(__xludf.DUMMYFUNCTION("""COMPUTED_VALUE"""),"ti-ing-242bf6e9-d5c5-47e7-8f0a-88f3cbbcc3af")</f>
        <v>ti-ing-242bf6e9-d5c5-47e7-8f0a-88f3cbbcc3af</v>
      </c>
      <c r="B54" s="24" t="str">
        <f ca="1">IFERROR(__xludf.DUMMYFUNCTION("""COMPUTED_VALUE"""),"Mascarillas")</f>
        <v>Mascarillas</v>
      </c>
      <c r="C54" s="24">
        <v>22</v>
      </c>
      <c r="D54" s="43">
        <f ca="1">IFERROR(__xludf.DUMMYFUNCTION("""COMPUTED_VALUE"""),1350)</f>
        <v>1350</v>
      </c>
      <c r="E54" s="24" t="str">
        <f ca="1">IFERROR(__xludf.DUMMYFUNCTION("""COMPUTED_VALUE"""),"UN")</f>
        <v>UN</v>
      </c>
      <c r="F54" s="44" t="str">
        <f ca="1">IFERROR(__xludf.DUMMYFUNCTION("""COMPUTED_VALUE"""),"Aseo")</f>
        <v>Aseo</v>
      </c>
      <c r="G54" s="45">
        <f t="shared" ca="1" si="0"/>
        <v>29700</v>
      </c>
      <c r="H54" s="45">
        <f t="shared" ca="1" si="1"/>
        <v>5643</v>
      </c>
      <c r="I54" s="47">
        <f t="shared" ca="1" si="2"/>
        <v>35343</v>
      </c>
      <c r="J54" s="15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9.5" customHeight="1">
      <c r="A55" s="24" t="str">
        <f ca="1">IFERROR(__xludf.DUMMYFUNCTION("""COMPUTED_VALUE"""),"ti-ing-313073f4-b1b1-442d-b077-951f3ce67b06")</f>
        <v>ti-ing-313073f4-b1b1-442d-b077-951f3ce67b06</v>
      </c>
      <c r="B55" s="24" t="str">
        <f ca="1">IFERROR(__xludf.DUMMYFUNCTION("""COMPUTED_VALUE"""),"NOVA Unidad")</f>
        <v>NOVA Unidad</v>
      </c>
      <c r="C55" s="24">
        <v>1.5</v>
      </c>
      <c r="D55" s="43">
        <f ca="1">IFERROR(__xludf.DUMMYFUNCTION("""COMPUTED_VALUE"""),2735)</f>
        <v>2735</v>
      </c>
      <c r="E55" s="24" t="str">
        <f ca="1">IFERROR(__xludf.DUMMYFUNCTION("""COMPUTED_VALUE"""),"UN")</f>
        <v>UN</v>
      </c>
      <c r="F55" s="44" t="str">
        <f ca="1">IFERROR(__xludf.DUMMYFUNCTION("""COMPUTED_VALUE"""),"Aseo")</f>
        <v>Aseo</v>
      </c>
      <c r="G55" s="45">
        <f t="shared" ca="1" si="0"/>
        <v>4102.5</v>
      </c>
      <c r="H55" s="45">
        <f t="shared" ca="1" si="1"/>
        <v>779.47500000000002</v>
      </c>
      <c r="I55" s="47">
        <f t="shared" ca="1" si="2"/>
        <v>4881.9750000000004</v>
      </c>
      <c r="J55" s="15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9.5" customHeight="1">
      <c r="A56" s="24" t="str">
        <f ca="1">IFERROR(__xludf.DUMMYFUNCTION("""COMPUTED_VALUE"""),"ti-ing-f2a85135-486f-455a-9223-1092ccd4e7cd")</f>
        <v>ti-ing-f2a85135-486f-455a-9223-1092ccd4e7cd</v>
      </c>
      <c r="B56" s="24" t="str">
        <f ca="1">IFERROR(__xludf.DUMMYFUNCTION("""COMPUTED_VALUE"""),"PALA")</f>
        <v>PALA</v>
      </c>
      <c r="C56" s="24">
        <v>1</v>
      </c>
      <c r="D56" s="43">
        <f ca="1">IFERROR(__xludf.DUMMYFUNCTION("""COMPUTED_VALUE"""),1165)</f>
        <v>1165</v>
      </c>
      <c r="E56" s="24" t="str">
        <f ca="1">IFERROR(__xludf.DUMMYFUNCTION("""COMPUTED_VALUE"""),"UN")</f>
        <v>UN</v>
      </c>
      <c r="F56" s="44" t="str">
        <f ca="1">IFERROR(__xludf.DUMMYFUNCTION("""COMPUTED_VALUE"""),"Aseo")</f>
        <v>Aseo</v>
      </c>
      <c r="G56" s="45">
        <f t="shared" ca="1" si="0"/>
        <v>1165</v>
      </c>
      <c r="H56" s="45">
        <f t="shared" ca="1" si="1"/>
        <v>221.35</v>
      </c>
      <c r="I56" s="47">
        <f t="shared" ca="1" si="2"/>
        <v>1386.35</v>
      </c>
      <c r="J56" s="15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9.5" customHeight="1">
      <c r="A57" s="24" t="str">
        <f ca="1">IFERROR(__xludf.DUMMYFUNCTION("""COMPUTED_VALUE"""),"ti-ing-a496bcbe-0906-4bd7-90be-10085697981e")</f>
        <v>ti-ing-a496bcbe-0906-4bd7-90be-10085697981e</v>
      </c>
      <c r="B57" s="24" t="str">
        <f ca="1">IFERROR(__xludf.DUMMYFUNCTION("""COMPUTED_VALUE"""),"Paño microfibra")</f>
        <v>Paño microfibra</v>
      </c>
      <c r="C57" s="24">
        <v>0</v>
      </c>
      <c r="D57" s="43">
        <f ca="1">IFERROR(__xludf.DUMMYFUNCTION("""COMPUTED_VALUE"""),650)</f>
        <v>650</v>
      </c>
      <c r="E57" s="24" t="str">
        <f ca="1">IFERROR(__xludf.DUMMYFUNCTION("""COMPUTED_VALUE"""),"UN")</f>
        <v>UN</v>
      </c>
      <c r="F57" s="44" t="str">
        <f ca="1">IFERROR(__xludf.DUMMYFUNCTION("""COMPUTED_VALUE"""),"Aseo")</f>
        <v>Aseo</v>
      </c>
      <c r="G57" s="45">
        <f t="shared" ca="1" si="0"/>
        <v>0</v>
      </c>
      <c r="H57" s="45">
        <f t="shared" ca="1" si="1"/>
        <v>0</v>
      </c>
      <c r="I57" s="47">
        <f t="shared" ca="1" si="2"/>
        <v>0</v>
      </c>
      <c r="J57" s="15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9.5" customHeight="1">
      <c r="A58" s="24" t="str">
        <f ca="1">IFERROR(__xludf.DUMMYFUNCTION("""COMPUTED_VALUE"""),"ti-ing-71ad4a79-597d-4cd3-85f8-8c113261d29e")</f>
        <v>ti-ing-71ad4a79-597d-4cd3-85f8-8c113261d29e</v>
      </c>
      <c r="B58" s="24" t="str">
        <f ca="1">IFERROR(__xludf.DUMMYFUNCTION("""COMPUTED_VALUE"""),"PAÑOS AMARILLOS")</f>
        <v>PAÑOS AMARILLOS</v>
      </c>
      <c r="C58" s="24">
        <v>0</v>
      </c>
      <c r="D58" s="43">
        <f ca="1">IFERROR(__xludf.DUMMYFUNCTION("""COMPUTED_VALUE"""),185)</f>
        <v>185</v>
      </c>
      <c r="E58" s="24" t="str">
        <f ca="1">IFERROR(__xludf.DUMMYFUNCTION("""COMPUTED_VALUE"""),"UN")</f>
        <v>UN</v>
      </c>
      <c r="F58" s="44" t="str">
        <f ca="1">IFERROR(__xludf.DUMMYFUNCTION("""COMPUTED_VALUE"""),"Aseo")</f>
        <v>Aseo</v>
      </c>
      <c r="G58" s="45">
        <f t="shared" ca="1" si="0"/>
        <v>0</v>
      </c>
      <c r="H58" s="45">
        <f t="shared" ca="1" si="1"/>
        <v>0</v>
      </c>
      <c r="I58" s="47">
        <f t="shared" ca="1" si="2"/>
        <v>0</v>
      </c>
      <c r="J58" s="15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9.5" customHeight="1">
      <c r="A59" s="24" t="str">
        <f ca="1">IFERROR(__xludf.DUMMYFUNCTION("""COMPUTED_VALUE"""),"ti-ing-dcad707d-6012-450f-8e1d-b50e4ae44b10")</f>
        <v>ti-ing-dcad707d-6012-450f-8e1d-b50e4ae44b10</v>
      </c>
      <c r="B59" s="24" t="str">
        <f ca="1">IFERROR(__xludf.DUMMYFUNCTION("""COMPUTED_VALUE"""),"TRAPOS BLANCOS")</f>
        <v>TRAPOS BLANCOS</v>
      </c>
      <c r="C59" s="24">
        <v>1</v>
      </c>
      <c r="D59" s="43">
        <f ca="1">IFERROR(__xludf.DUMMYFUNCTION("""COMPUTED_VALUE"""),789)</f>
        <v>789</v>
      </c>
      <c r="E59" s="24" t="str">
        <f ca="1">IFERROR(__xludf.DUMMYFUNCTION("""COMPUTED_VALUE"""),"UN")</f>
        <v>UN</v>
      </c>
      <c r="F59" s="44" t="str">
        <f ca="1">IFERROR(__xludf.DUMMYFUNCTION("""COMPUTED_VALUE"""),"Aseo")</f>
        <v>Aseo</v>
      </c>
      <c r="G59" s="45">
        <f t="shared" ca="1" si="0"/>
        <v>789</v>
      </c>
      <c r="H59" s="45">
        <f t="shared" ca="1" si="1"/>
        <v>149.91</v>
      </c>
      <c r="I59" s="47">
        <f t="shared" ca="1" si="2"/>
        <v>938.91</v>
      </c>
      <c r="J59" s="15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9.5" customHeight="1">
      <c r="A60" s="24" t="str">
        <f ca="1">IFERROR(__xludf.DUMMYFUNCTION("""COMPUTED_VALUE"""),"ti-ing-46619eaa-21aa-41d5-931f-97aa9149b051")</f>
        <v>ti-ing-46619eaa-21aa-41d5-931f-97aa9149b051</v>
      </c>
      <c r="B60" s="24" t="str">
        <f ca="1">IFERROR(__xludf.DUMMYFUNCTION("""COMPUTED_VALUE"""),"VIRUTILLA VERDE")</f>
        <v>VIRUTILLA VERDE</v>
      </c>
      <c r="C60" s="24">
        <v>2</v>
      </c>
      <c r="D60" s="43">
        <f ca="1">IFERROR(__xludf.DUMMYFUNCTION("""COMPUTED_VALUE"""),890)</f>
        <v>890</v>
      </c>
      <c r="E60" s="24" t="str">
        <f ca="1">IFERROR(__xludf.DUMMYFUNCTION("""COMPUTED_VALUE"""),"UN")</f>
        <v>UN</v>
      </c>
      <c r="F60" s="44" t="str">
        <f ca="1">IFERROR(__xludf.DUMMYFUNCTION("""COMPUTED_VALUE"""),"Aseo")</f>
        <v>Aseo</v>
      </c>
      <c r="G60" s="45">
        <f t="shared" ca="1" si="0"/>
        <v>1780</v>
      </c>
      <c r="H60" s="45">
        <f t="shared" ca="1" si="1"/>
        <v>338.2</v>
      </c>
      <c r="I60" s="47">
        <f t="shared" ca="1" si="2"/>
        <v>2118.1999999999998</v>
      </c>
      <c r="J60" s="15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9.5" customHeight="1">
      <c r="A61" s="24"/>
      <c r="B61" s="24" t="str">
        <f ca="1">IFERROR(__xludf.DUMMYFUNCTION("""COMPUTED_VALUE"""),"Asado carnicero")</f>
        <v>Asado carnicero</v>
      </c>
      <c r="C61" s="24">
        <v>0</v>
      </c>
      <c r="D61" s="43">
        <f ca="1">IFERROR(__xludf.DUMMYFUNCTION("""COMPUTED_VALUE"""),6656.013)</f>
        <v>6656.0129999999999</v>
      </c>
      <c r="E61" s="24" t="str">
        <f ca="1">IFERROR(__xludf.DUMMYFUNCTION("""COMPUTED_VALUE"""),"KG")</f>
        <v>KG</v>
      </c>
      <c r="F61" s="44" t="str">
        <f ca="1">IFERROR(__xludf.DUMMYFUNCTION("""COMPUTED_VALUE"""),"Carnes y Aves")</f>
        <v>Carnes y Aves</v>
      </c>
      <c r="G61" s="45">
        <f t="shared" ca="1" si="0"/>
        <v>0</v>
      </c>
      <c r="H61" s="45">
        <f t="shared" ca="1" si="1"/>
        <v>0</v>
      </c>
      <c r="I61" s="47">
        <f t="shared" ca="1" si="2"/>
        <v>0</v>
      </c>
      <c r="J61" s="15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9.5" customHeight="1">
      <c r="A62" s="24" t="str">
        <f ca="1">IFERROR(__xludf.DUMMYFUNCTION("""COMPUTED_VALUE"""),"ti-ing-d1d9b75c-fbe2-43ab-ae2b-b16de0e4d23a")</f>
        <v>ti-ing-d1d9b75c-fbe2-43ab-ae2b-b16de0e4d23a</v>
      </c>
      <c r="B62" s="24" t="str">
        <f ca="1">IFERROR(__xludf.DUMMYFUNCTION("""COMPUTED_VALUE"""),"Carne Molida kg")</f>
        <v>Carne Molida kg</v>
      </c>
      <c r="C62" s="24">
        <v>4</v>
      </c>
      <c r="D62" s="43">
        <f ca="1">IFERROR(__xludf.DUMMYFUNCTION("""COMPUTED_VALUE"""),3552.6667)</f>
        <v>3552.6667000000002</v>
      </c>
      <c r="E62" s="24" t="str">
        <f ca="1">IFERROR(__xludf.DUMMYFUNCTION("""COMPUTED_VALUE"""),"KG")</f>
        <v>KG</v>
      </c>
      <c r="F62" s="44" t="str">
        <f ca="1">IFERROR(__xludf.DUMMYFUNCTION("""COMPUTED_VALUE"""),"Carnes y Aves")</f>
        <v>Carnes y Aves</v>
      </c>
      <c r="G62" s="45">
        <f t="shared" ca="1" si="0"/>
        <v>14210.666800000001</v>
      </c>
      <c r="H62" s="45">
        <f t="shared" ca="1" si="1"/>
        <v>2700.0266920000004</v>
      </c>
      <c r="I62" s="47">
        <f t="shared" ca="1" si="2"/>
        <v>16910.693492000002</v>
      </c>
      <c r="J62" s="15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9.5" customHeight="1">
      <c r="A63" s="24"/>
      <c r="B63" s="24" t="str">
        <f ca="1">IFERROR(__xludf.DUMMYFUNCTION("""COMPUTED_VALUE"""),"Chuleta Centro ")</f>
        <v xml:space="preserve">Chuleta Centro </v>
      </c>
      <c r="C63" s="24">
        <v>0</v>
      </c>
      <c r="D63" s="43">
        <f ca="1">IFERROR(__xludf.DUMMYFUNCTION("""COMPUTED_VALUE"""),3623)</f>
        <v>3623</v>
      </c>
      <c r="E63" s="24" t="str">
        <f ca="1">IFERROR(__xludf.DUMMYFUNCTION("""COMPUTED_VALUE"""),"KG")</f>
        <v>KG</v>
      </c>
      <c r="F63" s="44" t="str">
        <f ca="1">IFERROR(__xludf.DUMMYFUNCTION("""COMPUTED_VALUE"""),"Carnes y Aves")</f>
        <v>Carnes y Aves</v>
      </c>
      <c r="G63" s="45">
        <f t="shared" ca="1" si="0"/>
        <v>0</v>
      </c>
      <c r="H63" s="45">
        <f t="shared" ca="1" si="1"/>
        <v>0</v>
      </c>
      <c r="I63" s="47">
        <f t="shared" ca="1" si="2"/>
        <v>0</v>
      </c>
      <c r="J63" s="15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9.5" customHeight="1">
      <c r="A64" s="24" t="str">
        <f ca="1">IFERROR(__xludf.DUMMYFUNCTION("""COMPUTED_VALUE"""),"ti-ing-f9071122-333f-445e-9d6e-66ae8844a033")</f>
        <v>ti-ing-f9071122-333f-445e-9d6e-66ae8844a033</v>
      </c>
      <c r="B64" s="24" t="str">
        <f ca="1">IFERROR(__xludf.DUMMYFUNCTION("""COMPUTED_VALUE"""),"Jamon Ahumado kg")</f>
        <v>Jamon Ahumado kg</v>
      </c>
      <c r="C64" s="24">
        <v>2.7160000000000002</v>
      </c>
      <c r="D64" s="43">
        <f ca="1">IFERROR(__xludf.DUMMYFUNCTION("""COMPUTED_VALUE"""),5034.167)</f>
        <v>5034.1670000000004</v>
      </c>
      <c r="E64" s="24" t="str">
        <f ca="1">IFERROR(__xludf.DUMMYFUNCTION("""COMPUTED_VALUE"""),"UN")</f>
        <v>UN</v>
      </c>
      <c r="F64" s="44" t="str">
        <f ca="1">IFERROR(__xludf.DUMMYFUNCTION("""COMPUTED_VALUE"""),"Carnes y Aves")</f>
        <v>Carnes y Aves</v>
      </c>
      <c r="G64" s="45">
        <f t="shared" ca="1" si="0"/>
        <v>13672.797572000001</v>
      </c>
      <c r="H64" s="45">
        <f t="shared" ca="1" si="1"/>
        <v>2597.8315386800004</v>
      </c>
      <c r="I64" s="47">
        <f t="shared" ca="1" si="2"/>
        <v>16270.629110680002</v>
      </c>
      <c r="J64" s="15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9.5" customHeight="1">
      <c r="A65" s="24" t="str">
        <f ca="1">IFERROR(__xludf.DUMMYFUNCTION("""COMPUTED_VALUE"""),"ti-ing-f12b69a3-01b2-4d5d-927c-4e59d4a08da4")</f>
        <v>ti-ing-f12b69a3-01b2-4d5d-927c-4e59d4a08da4</v>
      </c>
      <c r="B65" s="24" t="str">
        <f ca="1">IFERROR(__xludf.DUMMYFUNCTION("""COMPUTED_VALUE"""),"Jamon Serrano kg")</f>
        <v>Jamon Serrano kg</v>
      </c>
      <c r="C65" s="24">
        <v>4.76</v>
      </c>
      <c r="D65" s="43">
        <f ca="1">IFERROR(__xludf.DUMMYFUNCTION("""COMPUTED_VALUE"""),18875)</f>
        <v>18875</v>
      </c>
      <c r="E65" s="24" t="str">
        <f ca="1">IFERROR(__xludf.DUMMYFUNCTION("""COMPUTED_VALUE"""),"KG")</f>
        <v>KG</v>
      </c>
      <c r="F65" s="44" t="str">
        <f ca="1">IFERROR(__xludf.DUMMYFUNCTION("""COMPUTED_VALUE"""),"Carnes y Aves")</f>
        <v>Carnes y Aves</v>
      </c>
      <c r="G65" s="45">
        <f t="shared" ca="1" si="0"/>
        <v>89845</v>
      </c>
      <c r="H65" s="45">
        <f t="shared" ca="1" si="1"/>
        <v>17070.55</v>
      </c>
      <c r="I65" s="47">
        <f t="shared" ca="1" si="2"/>
        <v>106915.55</v>
      </c>
      <c r="J65" s="15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9.5" customHeight="1">
      <c r="A66" s="24" t="str">
        <f ca="1">IFERROR(__xludf.DUMMYFUNCTION("""COMPUTED_VALUE"""),"ti-ing-af8e0711-251d-46dc-a4b4-52572c7d1a82")</f>
        <v>ti-ing-af8e0711-251d-46dc-a4b4-52572c7d1a82</v>
      </c>
      <c r="B66" s="24" t="str">
        <f ca="1">IFERROR(__xludf.DUMMYFUNCTION("""COMPUTED_VALUE"""),"Mortadela Artesanal")</f>
        <v>Mortadela Artesanal</v>
      </c>
      <c r="C66" s="24">
        <v>0</v>
      </c>
      <c r="D66" s="43">
        <f ca="1">IFERROR(__xludf.DUMMYFUNCTION("""COMPUTED_VALUE"""),9042.945)</f>
        <v>9042.9449999999997</v>
      </c>
      <c r="E66" s="24" t="str">
        <f ca="1">IFERROR(__xludf.DUMMYFUNCTION("""COMPUTED_VALUE"""),"KG")</f>
        <v>KG</v>
      </c>
      <c r="F66" s="44" t="str">
        <f ca="1">IFERROR(__xludf.DUMMYFUNCTION("""COMPUTED_VALUE"""),"Carnes y Aves")</f>
        <v>Carnes y Aves</v>
      </c>
      <c r="G66" s="45">
        <f t="shared" ca="1" si="0"/>
        <v>0</v>
      </c>
      <c r="H66" s="45">
        <f t="shared" ca="1" si="1"/>
        <v>0</v>
      </c>
      <c r="I66" s="47">
        <f t="shared" ca="1" si="2"/>
        <v>0</v>
      </c>
      <c r="J66" s="15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9.5" customHeight="1">
      <c r="A67" s="24" t="str">
        <f ca="1">IFERROR(__xludf.DUMMYFUNCTION("""COMPUTED_VALUE"""),"ti-ing-870258ef-47ee-433f-97eb-0d71c0a61a73")</f>
        <v>ti-ing-870258ef-47ee-433f-97eb-0d71c0a61a73</v>
      </c>
      <c r="B67" s="24" t="str">
        <f ca="1">IFERROR(__xludf.DUMMYFUNCTION("""COMPUTED_VALUE"""),"Pollo Ganso (caja 20 kg)")</f>
        <v>Pollo Ganso (caja 20 kg)</v>
      </c>
      <c r="C67" s="24">
        <v>0</v>
      </c>
      <c r="D67" s="43">
        <f ca="1">IFERROR(__xludf.DUMMYFUNCTION("""COMPUTED_VALUE"""),7650)</f>
        <v>7650</v>
      </c>
      <c r="E67" s="24" t="str">
        <f ca="1">IFERROR(__xludf.DUMMYFUNCTION("""COMPUTED_VALUE"""),"KG")</f>
        <v>KG</v>
      </c>
      <c r="F67" s="44" t="str">
        <f ca="1">IFERROR(__xludf.DUMMYFUNCTION("""COMPUTED_VALUE"""),"Carnes y Aves")</f>
        <v>Carnes y Aves</v>
      </c>
      <c r="G67" s="45">
        <f t="shared" ca="1" si="0"/>
        <v>0</v>
      </c>
      <c r="H67" s="45">
        <f t="shared" ca="1" si="1"/>
        <v>0</v>
      </c>
      <c r="I67" s="47">
        <f t="shared" ca="1" si="2"/>
        <v>0</v>
      </c>
      <c r="J67" s="15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9.5" customHeight="1">
      <c r="A68" s="24" t="str">
        <f ca="1">IFERROR(__xludf.DUMMYFUNCTION("""COMPUTED_VALUE"""),"ti-ing-1e2c5389-4e8e-48cb-b2d1-086e93d588b5")</f>
        <v>ti-ing-1e2c5389-4e8e-48cb-b2d1-086e93d588b5</v>
      </c>
      <c r="B68" s="24" t="str">
        <f ca="1">IFERROR(__xludf.DUMMYFUNCTION("""COMPUTED_VALUE"""),"Pollo pechuga deshuesada (caja 20 kg)")</f>
        <v>Pollo pechuga deshuesada (caja 20 kg)</v>
      </c>
      <c r="C68" s="24">
        <v>32</v>
      </c>
      <c r="D68" s="43">
        <f ca="1">IFERROR(__xludf.DUMMYFUNCTION("""COMPUTED_VALUE"""),3376.417)</f>
        <v>3376.4169999999999</v>
      </c>
      <c r="E68" s="24" t="str">
        <f ca="1">IFERROR(__xludf.DUMMYFUNCTION("""COMPUTED_VALUE"""),"KG")</f>
        <v>KG</v>
      </c>
      <c r="F68" s="44" t="str">
        <f ca="1">IFERROR(__xludf.DUMMYFUNCTION("""COMPUTED_VALUE"""),"Carnes y Aves")</f>
        <v>Carnes y Aves</v>
      </c>
      <c r="G68" s="45">
        <f t="shared" ca="1" si="0"/>
        <v>108045.344</v>
      </c>
      <c r="H68" s="45">
        <f t="shared" ca="1" si="1"/>
        <v>20528.61536</v>
      </c>
      <c r="I68" s="47">
        <f t="shared" ca="1" si="2"/>
        <v>128573.95935999999</v>
      </c>
      <c r="J68" s="15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9.5" customHeight="1">
      <c r="A69" s="24" t="str">
        <f ca="1">IFERROR(__xludf.DUMMYFUNCTION("""COMPUTED_VALUE"""),"ti-ing-9295c12c-83e9-4b4d-8fdf-d0e254d5f19c")</f>
        <v>ti-ing-9295c12c-83e9-4b4d-8fdf-d0e254d5f19c</v>
      </c>
      <c r="B69" s="24" t="str">
        <f ca="1">IFERROR(__xludf.DUMMYFUNCTION("""COMPUTED_VALUE"""),"Pulpa Cerdo")</f>
        <v>Pulpa Cerdo</v>
      </c>
      <c r="C69" s="24">
        <v>10.754</v>
      </c>
      <c r="D69" s="43">
        <f ca="1">IFERROR(__xludf.DUMMYFUNCTION("""COMPUTED_VALUE"""),2941.004)</f>
        <v>2941.0039999999999</v>
      </c>
      <c r="E69" s="24" t="str">
        <f ca="1">IFERROR(__xludf.DUMMYFUNCTION("""COMPUTED_VALUE"""),"KG")</f>
        <v>KG</v>
      </c>
      <c r="F69" s="44" t="str">
        <f ca="1">IFERROR(__xludf.DUMMYFUNCTION("""COMPUTED_VALUE"""),"Carnes y Aves")</f>
        <v>Carnes y Aves</v>
      </c>
      <c r="G69" s="45">
        <f t="shared" ca="1" si="0"/>
        <v>31627.557015999999</v>
      </c>
      <c r="H69" s="45">
        <f t="shared" ca="1" si="1"/>
        <v>6009.2358330400002</v>
      </c>
      <c r="I69" s="47">
        <f t="shared" ca="1" si="2"/>
        <v>37636.792849040001</v>
      </c>
      <c r="J69" s="15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9.5" customHeight="1">
      <c r="A70" s="24" t="str">
        <f ca="1">IFERROR(__xludf.DUMMYFUNCTION("""COMPUTED_VALUE"""),"ti-ing-1ac2f275-c7c0-4e86-969d-20c2546692b7")</f>
        <v>ti-ing-1ac2f275-c7c0-4e86-969d-20c2546692b7</v>
      </c>
      <c r="B70" s="24" t="str">
        <f ca="1">IFERROR(__xludf.DUMMYFUNCTION("""COMPUTED_VALUE"""),"Salame kg")</f>
        <v>Salame kg</v>
      </c>
      <c r="C70" s="24">
        <v>2.58</v>
      </c>
      <c r="D70" s="43">
        <f ca="1">IFERROR(__xludf.DUMMYFUNCTION("""COMPUTED_VALUE"""),8993.75)</f>
        <v>8993.75</v>
      </c>
      <c r="E70" s="24" t="str">
        <f ca="1">IFERROR(__xludf.DUMMYFUNCTION("""COMPUTED_VALUE"""),"KG")</f>
        <v>KG</v>
      </c>
      <c r="F70" s="44" t="str">
        <f ca="1">IFERROR(__xludf.DUMMYFUNCTION("""COMPUTED_VALUE"""),"Carnes y Aves")</f>
        <v>Carnes y Aves</v>
      </c>
      <c r="G70" s="45">
        <f t="shared" ca="1" si="0"/>
        <v>23203.875</v>
      </c>
      <c r="H70" s="45">
        <f t="shared" ca="1" si="1"/>
        <v>4408.7362499999999</v>
      </c>
      <c r="I70" s="47">
        <f t="shared" ca="1" si="2"/>
        <v>27612.611250000002</v>
      </c>
      <c r="J70" s="15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9.5" customHeight="1">
      <c r="A71" s="24" t="str">
        <f ca="1">IFERROR(__xludf.DUMMYFUNCTION("""COMPUTED_VALUE"""),"ti-ing-4307c859-5883-4ead-8fa8-72399922dd2d")</f>
        <v>ti-ing-4307c859-5883-4ead-8fa8-72399922dd2d</v>
      </c>
      <c r="B71" s="24" t="str">
        <f ca="1">IFERROR(__xludf.DUMMYFUNCTION("""COMPUTED_VALUE"""),"Salchicha kg")</f>
        <v>Salchicha kg</v>
      </c>
      <c r="C71" s="24">
        <v>0</v>
      </c>
      <c r="D71" s="43">
        <f ca="1">IFERROR(__xludf.DUMMYFUNCTION("""COMPUTED_VALUE"""),3187.5)</f>
        <v>3187.5</v>
      </c>
      <c r="E71" s="24" t="str">
        <f ca="1">IFERROR(__xludf.DUMMYFUNCTION("""COMPUTED_VALUE"""),"KG")</f>
        <v>KG</v>
      </c>
      <c r="F71" s="44" t="str">
        <f ca="1">IFERROR(__xludf.DUMMYFUNCTION("""COMPUTED_VALUE"""),"Carnes y Aves")</f>
        <v>Carnes y Aves</v>
      </c>
      <c r="G71" s="45">
        <f t="shared" ca="1" si="0"/>
        <v>0</v>
      </c>
      <c r="H71" s="45">
        <f t="shared" ca="1" si="1"/>
        <v>0</v>
      </c>
      <c r="I71" s="47">
        <f t="shared" ca="1" si="2"/>
        <v>0</v>
      </c>
      <c r="J71" s="15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9.5" customHeight="1">
      <c r="A72" s="24" t="str">
        <f ca="1">IFERROR(__xludf.DUMMYFUNCTION("""COMPUTED_VALUE"""),"ti-ing-2ed3ba0f-4530-4e48-8b65-f0e572390377")</f>
        <v>ti-ing-2ed3ba0f-4530-4e48-8b65-f0e572390377</v>
      </c>
      <c r="B72" s="24" t="str">
        <f ca="1">IFERROR(__xludf.DUMMYFUNCTION("""COMPUTED_VALUE"""),"TAPAPECHO")</f>
        <v>TAPAPECHO</v>
      </c>
      <c r="C72" s="24">
        <v>0</v>
      </c>
      <c r="D72" s="43">
        <f ca="1">IFERROR(__xludf.DUMMYFUNCTION("""COMPUTED_VALUE"""),7970)</f>
        <v>7970</v>
      </c>
      <c r="E72" s="24" t="str">
        <f ca="1">IFERROR(__xludf.DUMMYFUNCTION("""COMPUTED_VALUE"""),"KG")</f>
        <v>KG</v>
      </c>
      <c r="F72" s="44" t="str">
        <f ca="1">IFERROR(__xludf.DUMMYFUNCTION("""COMPUTED_VALUE"""),"Carnes y Aves")</f>
        <v>Carnes y Aves</v>
      </c>
      <c r="G72" s="45">
        <f t="shared" ca="1" si="0"/>
        <v>0</v>
      </c>
      <c r="H72" s="45">
        <f t="shared" ca="1" si="1"/>
        <v>0</v>
      </c>
      <c r="I72" s="47">
        <f t="shared" ca="1" si="2"/>
        <v>0</v>
      </c>
      <c r="J72" s="15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9.5" customHeight="1">
      <c r="A73" s="24" t="str">
        <f ca="1">IFERROR(__xludf.DUMMYFUNCTION("""COMPUTED_VALUE"""),"ti-ing-655db34a-bc6b-4602-ad22-18ea2ca5b14b")</f>
        <v>ti-ing-655db34a-bc6b-4602-ad22-18ea2ca5b14b</v>
      </c>
      <c r="B73" s="24" t="str">
        <f ca="1">IFERROR(__xludf.DUMMYFUNCTION("""COMPUTED_VALUE"""),"Tocino kg")</f>
        <v>Tocino kg</v>
      </c>
      <c r="C73" s="24">
        <v>0.57699999999999996</v>
      </c>
      <c r="D73" s="43">
        <f ca="1">IFERROR(__xludf.DUMMYFUNCTION("""COMPUTED_VALUE"""),8366.177)</f>
        <v>8366.1769999999997</v>
      </c>
      <c r="E73" s="24" t="str">
        <f ca="1">IFERROR(__xludf.DUMMYFUNCTION("""COMPUTED_VALUE"""),"KG")</f>
        <v>KG</v>
      </c>
      <c r="F73" s="44" t="str">
        <f ca="1">IFERROR(__xludf.DUMMYFUNCTION("""COMPUTED_VALUE"""),"Carnes y Aves")</f>
        <v>Carnes y Aves</v>
      </c>
      <c r="G73" s="45">
        <f t="shared" ca="1" si="0"/>
        <v>4827.2841289999997</v>
      </c>
      <c r="H73" s="45">
        <f t="shared" ca="1" si="1"/>
        <v>917.18398450999996</v>
      </c>
      <c r="I73" s="47">
        <f t="shared" ca="1" si="2"/>
        <v>5744.46811351</v>
      </c>
      <c r="J73" s="15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9.5" customHeight="1">
      <c r="A74" s="24" t="str">
        <f ca="1">IFERROR(__xludf.DUMMYFUNCTION("""COMPUTED_VALUE"""),"ti-ing-834ee9ca-3693-495d-80c7-1cfacd41d82f")</f>
        <v>ti-ing-834ee9ca-3693-495d-80c7-1cfacd41d82f</v>
      </c>
      <c r="B74" s="24" t="str">
        <f ca="1">IFERROR(__xludf.DUMMYFUNCTION("""COMPUTED_VALUE"""),"Trutro pollo")</f>
        <v>Trutro pollo</v>
      </c>
      <c r="C74" s="24">
        <f>15.228+2.986</f>
        <v>18.213999999999999</v>
      </c>
      <c r="D74" s="43">
        <f ca="1">IFERROR(__xludf.DUMMYFUNCTION("""COMPUTED_VALUE"""),1826.667)</f>
        <v>1826.6669999999999</v>
      </c>
      <c r="E74" s="24" t="str">
        <f ca="1">IFERROR(__xludf.DUMMYFUNCTION("""COMPUTED_VALUE"""),"KG")</f>
        <v>KG</v>
      </c>
      <c r="F74" s="44" t="str">
        <f ca="1">IFERROR(__xludf.DUMMYFUNCTION("""COMPUTED_VALUE"""),"Carnes y Aves")</f>
        <v>Carnes y Aves</v>
      </c>
      <c r="G74" s="45">
        <f t="shared" ca="1" si="0"/>
        <v>33270.912737999999</v>
      </c>
      <c r="H74" s="45">
        <f t="shared" ca="1" si="1"/>
        <v>6321.4734202199998</v>
      </c>
      <c r="I74" s="47">
        <f t="shared" ca="1" si="2"/>
        <v>39592.386158219997</v>
      </c>
      <c r="J74" s="15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9.5" customHeight="1">
      <c r="A75" s="24" t="str">
        <f ca="1">IFERROR(__xludf.DUMMYFUNCTION("""COMPUTED_VALUE"""),"ti-ing-b9b61920-3597-4e41-bbb7-aad976c547a5")</f>
        <v>ti-ing-b9b61920-3597-4e41-bbb7-aad976c547a5</v>
      </c>
      <c r="B75" s="24" t="str">
        <f ca="1">IFERROR(__xludf.DUMMYFUNCTION("""COMPUTED_VALUE"""),"BOWL KRAFT 1300")</f>
        <v>BOWL KRAFT 1300</v>
      </c>
      <c r="C75" s="24">
        <v>65</v>
      </c>
      <c r="D75" s="43">
        <f ca="1">IFERROR(__xludf.DUMMYFUNCTION("""COMPUTED_VALUE"""),117.6467001)</f>
        <v>117.6467001</v>
      </c>
      <c r="E75" s="24" t="str">
        <f ca="1">IFERROR(__xludf.DUMMYFUNCTION("""COMPUTED_VALUE"""),"UN")</f>
        <v>UN</v>
      </c>
      <c r="F75" s="44" t="str">
        <f ca="1">IFERROR(__xludf.DUMMYFUNCTION("""COMPUTED_VALUE"""),"Desechables")</f>
        <v>Desechables</v>
      </c>
      <c r="G75" s="45">
        <f t="shared" ca="1" si="0"/>
        <v>7647.0355065000003</v>
      </c>
      <c r="H75" s="45">
        <f t="shared" ca="1" si="1"/>
        <v>1452.9367462350001</v>
      </c>
      <c r="I75" s="47">
        <f t="shared" ca="1" si="2"/>
        <v>9099.9722527350004</v>
      </c>
      <c r="J75" s="15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9.5" customHeight="1">
      <c r="A76" s="24" t="str">
        <f ca="1">IFERROR(__xludf.DUMMYFUNCTION("""COMPUTED_VALUE"""),"ti-ing-68e6ad9d-c495-4a8e-9a14-9e4341f7e996")</f>
        <v>ti-ing-68e6ad9d-c495-4a8e-9a14-9e4341f7e996</v>
      </c>
      <c r="B76" s="24" t="str">
        <f ca="1">IFERROR(__xludf.DUMMYFUNCTION("""COMPUTED_VALUE"""),"Contenedor de aluminio c-18")</f>
        <v>Contenedor de aluminio c-18</v>
      </c>
      <c r="C76" s="24">
        <v>87</v>
      </c>
      <c r="D76" s="43">
        <f ca="1">IFERROR(__xludf.DUMMYFUNCTION("""COMPUTED_VALUE"""),85.21855556)</f>
        <v>85.218555559999999</v>
      </c>
      <c r="E76" s="24" t="str">
        <f ca="1">IFERROR(__xludf.DUMMYFUNCTION("""COMPUTED_VALUE"""),"UN")</f>
        <v>UN</v>
      </c>
      <c r="F76" s="44" t="str">
        <f ca="1">IFERROR(__xludf.DUMMYFUNCTION("""COMPUTED_VALUE"""),"Desechables")</f>
        <v>Desechables</v>
      </c>
      <c r="G76" s="45">
        <f t="shared" ca="1" si="0"/>
        <v>7414.0143337199997</v>
      </c>
      <c r="H76" s="45">
        <f t="shared" ca="1" si="1"/>
        <v>1408.6627234068001</v>
      </c>
      <c r="I76" s="47">
        <f t="shared" ca="1" si="2"/>
        <v>8822.6770571267989</v>
      </c>
      <c r="J76" s="15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9.5" customHeight="1">
      <c r="A77" s="24"/>
      <c r="B77" s="24" t="str">
        <f ca="1">IFERROR(__xludf.DUMMYFUNCTION("""COMPUTED_VALUE"""),"cubre barba")</f>
        <v>cubre barba</v>
      </c>
      <c r="C77" s="24">
        <v>0</v>
      </c>
      <c r="D77" s="43">
        <f ca="1">IFERROR(__xludf.DUMMYFUNCTION("""COMPUTED_VALUE"""),46.5)</f>
        <v>46.5</v>
      </c>
      <c r="E77" s="24" t="str">
        <f ca="1">IFERROR(__xludf.DUMMYFUNCTION("""COMPUTED_VALUE"""),"UN")</f>
        <v>UN</v>
      </c>
      <c r="F77" s="44" t="str">
        <f ca="1">IFERROR(__xludf.DUMMYFUNCTION("""COMPUTED_VALUE"""),"Desechables")</f>
        <v>Desechables</v>
      </c>
      <c r="G77" s="45">
        <f t="shared" ca="1" si="0"/>
        <v>0</v>
      </c>
      <c r="H77" s="45">
        <f t="shared" ca="1" si="1"/>
        <v>0</v>
      </c>
      <c r="I77" s="47">
        <f t="shared" ca="1" si="2"/>
        <v>0</v>
      </c>
      <c r="J77" s="15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9.5" customHeight="1">
      <c r="A78" s="24" t="str">
        <f ca="1">IFERROR(__xludf.DUMMYFUNCTION("""COMPUTED_VALUE"""),"ti-ing-6de3399c-b35b-4eb5-ae73-cad819723851")</f>
        <v>ti-ing-6de3399c-b35b-4eb5-ae73-cad819723851</v>
      </c>
      <c r="B78" s="24" t="str">
        <f ca="1">IFERROR(__xludf.DUMMYFUNCTION("""COMPUTED_VALUE"""),"Cubre calzado (100un)")</f>
        <v>Cubre calzado (100un)</v>
      </c>
      <c r="C78" s="24">
        <v>0</v>
      </c>
      <c r="D78" s="43">
        <f ca="1">IFERROR(__xludf.DUMMYFUNCTION("""COMPUTED_VALUE"""),2680)</f>
        <v>2680</v>
      </c>
      <c r="E78" s="24" t="str">
        <f ca="1">IFERROR(__xludf.DUMMYFUNCTION("""COMPUTED_VALUE"""),"UN")</f>
        <v>UN</v>
      </c>
      <c r="F78" s="44" t="str">
        <f ca="1">IFERROR(__xludf.DUMMYFUNCTION("""COMPUTED_VALUE"""),"Desechables")</f>
        <v>Desechables</v>
      </c>
      <c r="G78" s="45">
        <f t="shared" ca="1" si="0"/>
        <v>0</v>
      </c>
      <c r="H78" s="45">
        <f t="shared" ca="1" si="1"/>
        <v>0</v>
      </c>
      <c r="I78" s="47">
        <f t="shared" ca="1" si="2"/>
        <v>0</v>
      </c>
      <c r="J78" s="15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9.5" customHeight="1">
      <c r="A79" s="24" t="str">
        <f ca="1">IFERROR(__xludf.DUMMYFUNCTION("""COMPUTED_VALUE"""),"ti-ing-e90893a4-34b0-4961-9f16-e5dc5dc142a3")</f>
        <v>ti-ing-e90893a4-34b0-4961-9f16-e5dc5dc142a3</v>
      </c>
      <c r="B79" s="24" t="str">
        <f ca="1">IFERROR(__xludf.DUMMYFUNCTION("""COMPUTED_VALUE"""),"POCILLO ADEREZO CON TAPA")</f>
        <v>POCILLO ADEREZO CON TAPA</v>
      </c>
      <c r="C79" s="24">
        <v>178</v>
      </c>
      <c r="D79" s="43">
        <f ca="1">IFERROR(__xludf.DUMMYFUNCTION("""COMPUTED_VALUE"""),9.7284)</f>
        <v>9.7284000000000006</v>
      </c>
      <c r="E79" s="24" t="str">
        <f ca="1">IFERROR(__xludf.DUMMYFUNCTION("""COMPUTED_VALUE"""),"UN")</f>
        <v>UN</v>
      </c>
      <c r="F79" s="44" t="str">
        <f ca="1">IFERROR(__xludf.DUMMYFUNCTION("""COMPUTED_VALUE"""),"Desechables")</f>
        <v>Desechables</v>
      </c>
      <c r="G79" s="45">
        <f t="shared" ca="1" si="0"/>
        <v>1731.6552000000001</v>
      </c>
      <c r="H79" s="45">
        <f t="shared" ca="1" si="1"/>
        <v>329.01448800000003</v>
      </c>
      <c r="I79" s="47">
        <f t="shared" ca="1" si="2"/>
        <v>2060.669688</v>
      </c>
      <c r="J79" s="15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9.5" customHeight="1">
      <c r="A80" s="24" t="str">
        <f ca="1">IFERROR(__xludf.DUMMYFUNCTION("""COMPUTED_VALUE"""),"ti-ing-37f85cc6-1f52-4599-9741-852d98246e09")</f>
        <v>ti-ing-37f85cc6-1f52-4599-9741-852d98246e09</v>
      </c>
      <c r="B80" s="24" t="str">
        <f ca="1">IFERROR(__xludf.DUMMYFUNCTION("""COMPUTED_VALUE"""),"Rollo etiquetas fechera")</f>
        <v>Rollo etiquetas fechera</v>
      </c>
      <c r="C80" s="24">
        <v>1.5</v>
      </c>
      <c r="D80" s="43">
        <f ca="1">IFERROR(__xludf.DUMMYFUNCTION("""COMPUTED_VALUE"""),2800)</f>
        <v>2800</v>
      </c>
      <c r="E80" s="24" t="str">
        <f ca="1">IFERROR(__xludf.DUMMYFUNCTION("""COMPUTED_VALUE"""),"UN")</f>
        <v>UN</v>
      </c>
      <c r="F80" s="44" t="str">
        <f ca="1">IFERROR(__xludf.DUMMYFUNCTION("""COMPUTED_VALUE"""),"Desechables")</f>
        <v>Desechables</v>
      </c>
      <c r="G80" s="45">
        <f t="shared" ca="1" si="0"/>
        <v>4200</v>
      </c>
      <c r="H80" s="45">
        <f t="shared" ca="1" si="1"/>
        <v>798</v>
      </c>
      <c r="I80" s="47">
        <f t="shared" ca="1" si="2"/>
        <v>4998</v>
      </c>
      <c r="J80" s="15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9.5" customHeight="1">
      <c r="A81" s="24" t="str">
        <f ca="1">IFERROR(__xludf.DUMMYFUNCTION("""COMPUTED_VALUE"""),"ti-ing-a2ff1857-13be-46c5-8a38-b1004f73f14b")</f>
        <v>ti-ing-a2ff1857-13be-46c5-8a38-b1004f73f14b</v>
      </c>
      <c r="B81" s="24" t="str">
        <f ca="1">IFERROR(__xludf.DUMMYFUNCTION("""COMPUTED_VALUE"""),"Rollo film pvc 45cm 1400m")</f>
        <v>Rollo film pvc 45cm 1400m</v>
      </c>
      <c r="C81" s="75">
        <v>1</v>
      </c>
      <c r="D81" s="43">
        <f ca="1">IFERROR(__xludf.DUMMYFUNCTION("""COMPUTED_VALUE"""),26360)</f>
        <v>26360</v>
      </c>
      <c r="E81" s="24" t="str">
        <f ca="1">IFERROR(__xludf.DUMMYFUNCTION("""COMPUTED_VALUE"""),"un")</f>
        <v>un</v>
      </c>
      <c r="F81" s="44" t="str">
        <f ca="1">IFERROR(__xludf.DUMMYFUNCTION("""COMPUTED_VALUE"""),"Desechables")</f>
        <v>Desechables</v>
      </c>
      <c r="G81" s="45">
        <f t="shared" ca="1" si="0"/>
        <v>26360</v>
      </c>
      <c r="H81" s="45">
        <f t="shared" ca="1" si="1"/>
        <v>5008.3999999999996</v>
      </c>
      <c r="I81" s="47">
        <f t="shared" ca="1" si="2"/>
        <v>31368.400000000001</v>
      </c>
      <c r="J81" s="15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9.5" customHeight="1">
      <c r="A82" s="24" t="str">
        <f ca="1">IFERROR(__xludf.DUMMYFUNCTION("""COMPUTED_VALUE"""),"ti-ing-eb406216-ee42-4fa1-82a6-91d3d62b5e79")</f>
        <v>ti-ing-eb406216-ee42-4fa1-82a6-91d3d62b5e79</v>
      </c>
      <c r="B82" s="24" t="str">
        <f ca="1">IFERROR(__xludf.DUMMYFUNCTION("""COMPUTED_VALUE"""),"TAPA BOWL 1300 (1X300)")</f>
        <v>TAPA BOWL 1300 (1X300)</v>
      </c>
      <c r="C82" s="24">
        <v>40</v>
      </c>
      <c r="D82" s="43">
        <f ca="1">IFERROR(__xludf.DUMMYFUNCTION("""COMPUTED_VALUE"""),61.6667)</f>
        <v>61.666699999999999</v>
      </c>
      <c r="E82" s="24" t="str">
        <f ca="1">IFERROR(__xludf.DUMMYFUNCTION("""COMPUTED_VALUE"""),"UN")</f>
        <v>UN</v>
      </c>
      <c r="F82" s="44" t="str">
        <f ca="1">IFERROR(__xludf.DUMMYFUNCTION("""COMPUTED_VALUE"""),"Desechables")</f>
        <v>Desechables</v>
      </c>
      <c r="G82" s="45">
        <f t="shared" ca="1" si="0"/>
        <v>2466.6680000000001</v>
      </c>
      <c r="H82" s="45">
        <f t="shared" ca="1" si="1"/>
        <v>468.66692</v>
      </c>
      <c r="I82" s="47">
        <f t="shared" ca="1" si="2"/>
        <v>2935.3349200000002</v>
      </c>
      <c r="J82" s="15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9.5" customHeight="1">
      <c r="A83" s="24" t="str">
        <f ca="1">IFERROR(__xludf.DUMMYFUNCTION("""COMPUTED_VALUE"""),"ti-ing-5f615c7e-0ecf-4925-aeb1-a3e1d6b038f0")</f>
        <v>ti-ing-5f615c7e-0ecf-4925-aeb1-a3e1d6b038f0</v>
      </c>
      <c r="B83" s="24" t="str">
        <f ca="1">IFERROR(__xludf.DUMMYFUNCTION("""COMPUTED_VALUE"""),"Tapa C-18 Transparente")</f>
        <v>Tapa C-18 Transparente</v>
      </c>
      <c r="C83" s="24">
        <v>74</v>
      </c>
      <c r="D83" s="43">
        <f ca="1">IFERROR(__xludf.DUMMYFUNCTION("""COMPUTED_VALUE"""),75.04157)</f>
        <v>75.041569999999993</v>
      </c>
      <c r="E83" s="24" t="str">
        <f ca="1">IFERROR(__xludf.DUMMYFUNCTION("""COMPUTED_VALUE"""),"UN")</f>
        <v>UN</v>
      </c>
      <c r="F83" s="44" t="str">
        <f ca="1">IFERROR(__xludf.DUMMYFUNCTION("""COMPUTED_VALUE"""),"Desechables")</f>
        <v>Desechables</v>
      </c>
      <c r="G83" s="45">
        <f t="shared" ca="1" si="0"/>
        <v>5553.0761799999991</v>
      </c>
      <c r="H83" s="45">
        <f t="shared" ca="1" si="1"/>
        <v>1055.0844741999999</v>
      </c>
      <c r="I83" s="47">
        <f t="shared" ca="1" si="2"/>
        <v>6608.160654199999</v>
      </c>
      <c r="J83" s="15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9.5" customHeight="1">
      <c r="A84" s="24" t="str">
        <f ca="1">IFERROR(__xludf.DUMMYFUNCTION("""COMPUTED_VALUE"""),"ti-ing-233278b8-9ec1-48e3-8a3d-db6dba717065")</f>
        <v>ti-ing-233278b8-9ec1-48e3-8a3d-db6dba717065</v>
      </c>
      <c r="B84" s="24" t="str">
        <f ca="1">IFERROR(__xludf.DUMMYFUNCTION("""COMPUTED_VALUE"""),"AJI AMARILLO")</f>
        <v>AJI AMARILLO</v>
      </c>
      <c r="C84" s="24">
        <v>0</v>
      </c>
      <c r="D84" s="43">
        <f ca="1">IFERROR(__xludf.DUMMYFUNCTION("""COMPUTED_VALUE"""),2950)</f>
        <v>2950</v>
      </c>
      <c r="E84" s="24" t="str">
        <f ca="1">IFERROR(__xludf.DUMMYFUNCTION("""COMPUTED_VALUE"""),"KG")</f>
        <v>KG</v>
      </c>
      <c r="F84" s="44" t="str">
        <f ca="1">IFERROR(__xludf.DUMMYFUNCTION("""COMPUTED_VALUE"""),"Frutas y Verduras")</f>
        <v>Frutas y Verduras</v>
      </c>
      <c r="G84" s="45">
        <f t="shared" ca="1" si="0"/>
        <v>0</v>
      </c>
      <c r="H84" s="45">
        <f t="shared" ca="1" si="1"/>
        <v>0</v>
      </c>
      <c r="I84" s="47">
        <f t="shared" ca="1" si="2"/>
        <v>0</v>
      </c>
      <c r="J84" s="15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9.5" customHeight="1">
      <c r="A85" s="24" t="str">
        <f ca="1">IFERROR(__xludf.DUMMYFUNCTION("""COMPUTED_VALUE"""),"ti-ing-1d7a4c6f-2a94-4486-83b4-9301b1485aef")</f>
        <v>ti-ing-1d7a4c6f-2a94-4486-83b4-9301b1485aef</v>
      </c>
      <c r="B85" s="24" t="str">
        <f ca="1">IFERROR(__xludf.DUMMYFUNCTION("""COMPUTED_VALUE"""),"Ajo kg")</f>
        <v>Ajo kg</v>
      </c>
      <c r="C85" s="24">
        <v>0.53400000000000003</v>
      </c>
      <c r="D85" s="43">
        <f ca="1">IFERROR(__xludf.DUMMYFUNCTION("""COMPUTED_VALUE"""),3479)</f>
        <v>3479</v>
      </c>
      <c r="E85" s="24" t="str">
        <f ca="1">IFERROR(__xludf.DUMMYFUNCTION("""COMPUTED_VALUE"""),"KG")</f>
        <v>KG</v>
      </c>
      <c r="F85" s="44" t="str">
        <f ca="1">IFERROR(__xludf.DUMMYFUNCTION("""COMPUTED_VALUE"""),"Frutas y Verduras")</f>
        <v>Frutas y Verduras</v>
      </c>
      <c r="G85" s="45">
        <f t="shared" ca="1" si="0"/>
        <v>1857.7860000000001</v>
      </c>
      <c r="H85" s="45">
        <f t="shared" ca="1" si="1"/>
        <v>352.97934000000004</v>
      </c>
      <c r="I85" s="47">
        <f t="shared" ca="1" si="2"/>
        <v>2210.7653399999999</v>
      </c>
      <c r="J85" s="15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9.5" customHeight="1">
      <c r="A86" s="24" t="str">
        <f ca="1">IFERROR(__xludf.DUMMYFUNCTION("""COMPUTED_VALUE"""),"ti-ing-75919a0c-e656-46fd-8004-3b3ce3e6a162")</f>
        <v>ti-ing-75919a0c-e656-46fd-8004-3b3ce3e6a162</v>
      </c>
      <c r="B86" s="24" t="str">
        <f ca="1">IFERROR(__xludf.DUMMYFUNCTION("""COMPUTED_VALUE"""),"Albahaca unidad")</f>
        <v>Albahaca unidad</v>
      </c>
      <c r="C86" s="24">
        <v>11</v>
      </c>
      <c r="D86" s="43">
        <f ca="1">IFERROR(__xludf.DUMMYFUNCTION("""COMPUTED_VALUE"""),600)</f>
        <v>600</v>
      </c>
      <c r="E86" s="24" t="str">
        <f ca="1">IFERROR(__xludf.DUMMYFUNCTION("""COMPUTED_VALUE"""),"KG")</f>
        <v>KG</v>
      </c>
      <c r="F86" s="44" t="str">
        <f ca="1">IFERROR(__xludf.DUMMYFUNCTION("""COMPUTED_VALUE"""),"Frutas y Verduras")</f>
        <v>Frutas y Verduras</v>
      </c>
      <c r="G86" s="45">
        <f t="shared" ca="1" si="0"/>
        <v>6600</v>
      </c>
      <c r="H86" s="45">
        <f t="shared" ca="1" si="1"/>
        <v>1254</v>
      </c>
      <c r="I86" s="47">
        <f t="shared" ca="1" si="2"/>
        <v>7854</v>
      </c>
      <c r="J86" s="15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9.5" customHeight="1">
      <c r="A87" s="24" t="str">
        <f ca="1">IFERROR(__xludf.DUMMYFUNCTION("""COMPUTED_VALUE"""),"ti-ing-99fb5592-f8d7-417f-8119-da2a8d2ceb5e")</f>
        <v>ti-ing-99fb5592-f8d7-417f-8119-da2a8d2ceb5e</v>
      </c>
      <c r="B87" s="24" t="str">
        <f ca="1">IFERROR(__xludf.DUMMYFUNCTION("""COMPUTED_VALUE"""),"Apio (Unidad)")</f>
        <v>Apio (Unidad)</v>
      </c>
      <c r="C87" s="24">
        <v>0.5</v>
      </c>
      <c r="D87" s="43">
        <f ca="1">IFERROR(__xludf.DUMMYFUNCTION("""COMPUTED_VALUE"""),1900)</f>
        <v>1900</v>
      </c>
      <c r="E87" s="24" t="str">
        <f ca="1">IFERROR(__xludf.DUMMYFUNCTION("""COMPUTED_VALUE"""),"UN")</f>
        <v>UN</v>
      </c>
      <c r="F87" s="44" t="str">
        <f ca="1">IFERROR(__xludf.DUMMYFUNCTION("""COMPUTED_VALUE"""),"Frutas y Verduras")</f>
        <v>Frutas y Verduras</v>
      </c>
      <c r="G87" s="45">
        <f t="shared" ca="1" si="0"/>
        <v>950</v>
      </c>
      <c r="H87" s="45">
        <f t="shared" ca="1" si="1"/>
        <v>180.5</v>
      </c>
      <c r="I87" s="47">
        <f t="shared" ca="1" si="2"/>
        <v>1130.5</v>
      </c>
      <c r="J87" s="15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9.5" customHeight="1">
      <c r="A88" s="24" t="str">
        <f ca="1">IFERROR(__xludf.DUMMYFUNCTION("""COMPUTED_VALUE"""),"ti-ing-af032640-2aa9-4ce8-b812-3a7a785ecda4")</f>
        <v>ti-ing-af032640-2aa9-4ce8-b812-3a7a785ecda4</v>
      </c>
      <c r="B88" s="24" t="str">
        <f ca="1">IFERROR(__xludf.DUMMYFUNCTION("""COMPUTED_VALUE"""),"Arverja")</f>
        <v>Arverja</v>
      </c>
      <c r="C88" s="24">
        <v>1</v>
      </c>
      <c r="D88" s="43">
        <f ca="1">IFERROR(__xludf.DUMMYFUNCTION("""COMPUTED_VALUE"""),1529)</f>
        <v>1529</v>
      </c>
      <c r="E88" s="24" t="str">
        <f ca="1">IFERROR(__xludf.DUMMYFUNCTION("""COMPUTED_VALUE"""),"KG")</f>
        <v>KG</v>
      </c>
      <c r="F88" s="44" t="str">
        <f ca="1">IFERROR(__xludf.DUMMYFUNCTION("""COMPUTED_VALUE"""),"Frutas y Verduras")</f>
        <v>Frutas y Verduras</v>
      </c>
      <c r="G88" s="45">
        <f t="shared" ca="1" si="0"/>
        <v>1529</v>
      </c>
      <c r="H88" s="45">
        <f t="shared" ca="1" si="1"/>
        <v>290.51</v>
      </c>
      <c r="I88" s="47">
        <f t="shared" ca="1" si="2"/>
        <v>1819.51</v>
      </c>
      <c r="J88" s="15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9.5" customHeight="1">
      <c r="A89" s="24" t="str">
        <f ca="1">IFERROR(__xludf.DUMMYFUNCTION("""COMPUTED_VALUE"""),"ti-ing-ac84c264-48fe-4167-8c4d-d08a41b6535c")</f>
        <v>ti-ing-ac84c264-48fe-4167-8c4d-d08a41b6535c</v>
      </c>
      <c r="B89" s="24" t="str">
        <f ca="1">IFERROR(__xludf.DUMMYFUNCTION("""COMPUTED_VALUE"""),"BETERRAGA")</f>
        <v>BETERRAGA</v>
      </c>
      <c r="C89" s="24">
        <v>0</v>
      </c>
      <c r="D89" s="43">
        <f ca="1">IFERROR(__xludf.DUMMYFUNCTION("""COMPUTED_VALUE"""),1400)</f>
        <v>1400</v>
      </c>
      <c r="E89" s="24" t="str">
        <f ca="1">IFERROR(__xludf.DUMMYFUNCTION("""COMPUTED_VALUE"""),"KG")</f>
        <v>KG</v>
      </c>
      <c r="F89" s="44" t="str">
        <f ca="1">IFERROR(__xludf.DUMMYFUNCTION("""COMPUTED_VALUE"""),"Frutas y Verduras")</f>
        <v>Frutas y Verduras</v>
      </c>
      <c r="G89" s="45">
        <f t="shared" ca="1" si="0"/>
        <v>0</v>
      </c>
      <c r="H89" s="45">
        <f t="shared" ca="1" si="1"/>
        <v>0</v>
      </c>
      <c r="I89" s="47">
        <f t="shared" ca="1" si="2"/>
        <v>0</v>
      </c>
      <c r="J89" s="15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9.5" customHeight="1">
      <c r="A90" s="24" t="str">
        <f ca="1">IFERROR(__xludf.DUMMYFUNCTION("""COMPUTED_VALUE"""),"ti-ing-ad6024d2-c043-487e-b6e3-9c6cd30c1357")</f>
        <v>ti-ing-ad6024d2-c043-487e-b6e3-9c6cd30c1357</v>
      </c>
      <c r="B90" s="24" t="str">
        <f ca="1">IFERROR(__xludf.DUMMYFUNCTION("""COMPUTED_VALUE"""),"Brocoli kg")</f>
        <v>Brocoli kg</v>
      </c>
      <c r="C90" s="24">
        <v>2</v>
      </c>
      <c r="D90" s="43">
        <f ca="1">IFERROR(__xludf.DUMMYFUNCTION("""COMPUTED_VALUE"""),1400)</f>
        <v>1400</v>
      </c>
      <c r="E90" s="24" t="str">
        <f ca="1">IFERROR(__xludf.DUMMYFUNCTION("""COMPUTED_VALUE"""),"UN")</f>
        <v>UN</v>
      </c>
      <c r="F90" s="44" t="str">
        <f ca="1">IFERROR(__xludf.DUMMYFUNCTION("""COMPUTED_VALUE"""),"Frutas y Verduras")</f>
        <v>Frutas y Verduras</v>
      </c>
      <c r="G90" s="45">
        <f t="shared" ca="1" si="0"/>
        <v>2800</v>
      </c>
      <c r="H90" s="45">
        <f t="shared" ca="1" si="1"/>
        <v>532</v>
      </c>
      <c r="I90" s="47">
        <f t="shared" ca="1" si="2"/>
        <v>3332</v>
      </c>
      <c r="J90" s="15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9.5" customHeight="1">
      <c r="A91" s="24" t="str">
        <f ca="1">IFERROR(__xludf.DUMMYFUNCTION("""COMPUTED_VALUE"""),"ti-ing-71dbf12a-c470-4029-b17a-b98f5f165e0c")</f>
        <v>ti-ing-71dbf12a-c470-4029-b17a-b98f5f165e0c</v>
      </c>
      <c r="B91" s="24" t="str">
        <f ca="1">IFERROR(__xludf.DUMMYFUNCTION("""COMPUTED_VALUE"""),"Cebolla blanca (malla)20K")</f>
        <v>Cebolla blanca (malla)20K</v>
      </c>
      <c r="C91" s="24">
        <v>6.8739999999999997</v>
      </c>
      <c r="D91" s="43">
        <f ca="1">IFERROR(__xludf.DUMMYFUNCTION("""COMPUTED_VALUE"""),1000)</f>
        <v>1000</v>
      </c>
      <c r="E91" s="24" t="str">
        <f ca="1">IFERROR(__xludf.DUMMYFUNCTION("""COMPUTED_VALUE"""),"kg")</f>
        <v>kg</v>
      </c>
      <c r="F91" s="44" t="str">
        <f ca="1">IFERROR(__xludf.DUMMYFUNCTION("""COMPUTED_VALUE"""),"Frutas y Verduras")</f>
        <v>Frutas y Verduras</v>
      </c>
      <c r="G91" s="45">
        <f t="shared" ca="1" si="0"/>
        <v>6874</v>
      </c>
      <c r="H91" s="45">
        <f t="shared" ca="1" si="1"/>
        <v>1306.06</v>
      </c>
      <c r="I91" s="47">
        <f t="shared" ca="1" si="2"/>
        <v>8180.0599999999995</v>
      </c>
      <c r="J91" s="15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9.5" customHeight="1">
      <c r="A92" s="24" t="str">
        <f ca="1">IFERROR(__xludf.DUMMYFUNCTION("""COMPUTED_VALUE"""),"ti-ing-b5b09e3f-e0c7-4af4-a2ce-a8d91e01cee7")</f>
        <v>ti-ing-b5b09e3f-e0c7-4af4-a2ce-a8d91e01cee7</v>
      </c>
      <c r="B92" s="24" t="str">
        <f ca="1">IFERROR(__xludf.DUMMYFUNCTION("""COMPUTED_VALUE"""),"Cebolla morada kg")</f>
        <v>Cebolla morada kg</v>
      </c>
      <c r="C92" s="24">
        <v>0</v>
      </c>
      <c r="D92" s="43">
        <f ca="1">IFERROR(__xludf.DUMMYFUNCTION("""COMPUTED_VALUE"""),1000)</f>
        <v>1000</v>
      </c>
      <c r="E92" s="24" t="str">
        <f ca="1">IFERROR(__xludf.DUMMYFUNCTION("""COMPUTED_VALUE"""),"KG")</f>
        <v>KG</v>
      </c>
      <c r="F92" s="44" t="str">
        <f ca="1">IFERROR(__xludf.DUMMYFUNCTION("""COMPUTED_VALUE"""),"Frutas y Verduras")</f>
        <v>Frutas y Verduras</v>
      </c>
      <c r="G92" s="45">
        <f t="shared" ca="1" si="0"/>
        <v>0</v>
      </c>
      <c r="H92" s="45">
        <f t="shared" ca="1" si="1"/>
        <v>0</v>
      </c>
      <c r="I92" s="47">
        <f t="shared" ca="1" si="2"/>
        <v>0</v>
      </c>
      <c r="J92" s="15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9.5" customHeight="1">
      <c r="A93" s="24" t="str">
        <f ca="1">IFERROR(__xludf.DUMMYFUNCTION("""COMPUTED_VALUE"""),"ti-ing-017224a3-3b18-44f7-ae5d-3a1b32df6352")</f>
        <v>ti-ing-017224a3-3b18-44f7-ae5d-3a1b32df6352</v>
      </c>
      <c r="B93" s="24" t="str">
        <f ca="1">IFERROR(__xludf.DUMMYFUNCTION("""COMPUTED_VALUE"""),"CEBOLLIN")</f>
        <v>CEBOLLIN</v>
      </c>
      <c r="C93" s="24">
        <v>1.5</v>
      </c>
      <c r="D93" s="43">
        <f ca="1">IFERROR(__xludf.DUMMYFUNCTION("""COMPUTED_VALUE"""),650)</f>
        <v>650</v>
      </c>
      <c r="E93" s="24" t="str">
        <f ca="1">IFERROR(__xludf.DUMMYFUNCTION("""COMPUTED_VALUE"""),"kg")</f>
        <v>kg</v>
      </c>
      <c r="F93" s="44" t="str">
        <f ca="1">IFERROR(__xludf.DUMMYFUNCTION("""COMPUTED_VALUE"""),"Frutas y Verduras")</f>
        <v>Frutas y Verduras</v>
      </c>
      <c r="G93" s="45">
        <f t="shared" ca="1" si="0"/>
        <v>975</v>
      </c>
      <c r="H93" s="45">
        <f t="shared" ca="1" si="1"/>
        <v>185.25</v>
      </c>
      <c r="I93" s="47">
        <f t="shared" ca="1" si="2"/>
        <v>1160.25</v>
      </c>
      <c r="J93" s="15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9.5" customHeight="1">
      <c r="A94" s="24" t="str">
        <f ca="1">IFERROR(__xludf.DUMMYFUNCTION("""COMPUTED_VALUE"""),"ti-ing-1ecc2f42-d216-410a-a377-c5d2582697ee")</f>
        <v>ti-ing-1ecc2f42-d216-410a-a377-c5d2582697ee</v>
      </c>
      <c r="B94" s="24" t="str">
        <f ca="1">IFERROR(__xludf.DUMMYFUNCTION("""COMPUTED_VALUE"""),"Champiñones kg")</f>
        <v>Champiñones kg</v>
      </c>
      <c r="C94" s="24">
        <v>3.7120000000000002</v>
      </c>
      <c r="D94" s="43">
        <f ca="1">IFERROR(__xludf.DUMMYFUNCTION("""COMPUTED_VALUE"""),6470)</f>
        <v>6470</v>
      </c>
      <c r="E94" s="24" t="str">
        <f ca="1">IFERROR(__xludf.DUMMYFUNCTION("""COMPUTED_VALUE"""),"KG")</f>
        <v>KG</v>
      </c>
      <c r="F94" s="44" t="str">
        <f ca="1">IFERROR(__xludf.DUMMYFUNCTION("""COMPUTED_VALUE"""),"Frutas y Verduras")</f>
        <v>Frutas y Verduras</v>
      </c>
      <c r="G94" s="45">
        <f t="shared" ca="1" si="0"/>
        <v>24016.639999999999</v>
      </c>
      <c r="H94" s="45">
        <f t="shared" ca="1" si="1"/>
        <v>4563.1616000000004</v>
      </c>
      <c r="I94" s="47">
        <f t="shared" ca="1" si="2"/>
        <v>28579.801599999999</v>
      </c>
      <c r="J94" s="15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9.5" customHeight="1">
      <c r="A95" s="24" t="str">
        <f ca="1">IFERROR(__xludf.DUMMYFUNCTION("""COMPUTED_VALUE"""),"ti-ing-bed7973b-9532-4b5a-a24b-c76cd3ec36aa")</f>
        <v>ti-ing-bed7973b-9532-4b5a-a24b-c76cd3ec36aa</v>
      </c>
      <c r="B95" s="24" t="str">
        <f ca="1">IFERROR(__xludf.DUMMYFUNCTION("""COMPUTED_VALUE"""),"Choclo pasta ")</f>
        <v xml:space="preserve">Choclo pasta </v>
      </c>
      <c r="C95" s="24">
        <v>0</v>
      </c>
      <c r="D95" s="43">
        <f ca="1">IFERROR(__xludf.DUMMYFUNCTION("""COMPUTED_VALUE"""),2424)</f>
        <v>2424</v>
      </c>
      <c r="E95" s="24" t="str">
        <f ca="1">IFERROR(__xludf.DUMMYFUNCTION("""COMPUTED_VALUE"""),"KG")</f>
        <v>KG</v>
      </c>
      <c r="F95" s="44" t="str">
        <f ca="1">IFERROR(__xludf.DUMMYFUNCTION("""COMPUTED_VALUE"""),"Frutas y Verduras")</f>
        <v>Frutas y Verduras</v>
      </c>
      <c r="G95" s="45">
        <f t="shared" ca="1" si="0"/>
        <v>0</v>
      </c>
      <c r="H95" s="45">
        <f t="shared" ca="1" si="1"/>
        <v>0</v>
      </c>
      <c r="I95" s="47">
        <f t="shared" ca="1" si="2"/>
        <v>0</v>
      </c>
      <c r="J95" s="15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9.5" customHeight="1">
      <c r="A96" s="24" t="str">
        <f ca="1">IFERROR(__xludf.DUMMYFUNCTION("""COMPUTED_VALUE"""),"ti-ing-a021b4e5-e9a7-453b-a0de-e4adc29277b0")</f>
        <v>ti-ing-a021b4e5-e9a7-453b-a0de-e4adc29277b0</v>
      </c>
      <c r="B96" s="24" t="str">
        <f ca="1">IFERROR(__xludf.DUMMYFUNCTION("""COMPUTED_VALUE"""),"Choclo Picado ")</f>
        <v xml:space="preserve">Choclo Picado </v>
      </c>
      <c r="C96" s="24">
        <v>1</v>
      </c>
      <c r="D96" s="43">
        <f ca="1">IFERROR(__xludf.DUMMYFUNCTION("""COMPUTED_VALUE"""),1541)</f>
        <v>1541</v>
      </c>
      <c r="E96" s="24" t="str">
        <f ca="1">IFERROR(__xludf.DUMMYFUNCTION("""COMPUTED_VALUE"""),"KG")</f>
        <v>KG</v>
      </c>
      <c r="F96" s="44" t="str">
        <f ca="1">IFERROR(__xludf.DUMMYFUNCTION("""COMPUTED_VALUE"""),"Frutas y Verduras")</f>
        <v>Frutas y Verduras</v>
      </c>
      <c r="G96" s="45">
        <f t="shared" ca="1" si="0"/>
        <v>1541</v>
      </c>
      <c r="H96" s="45">
        <f t="shared" ca="1" si="1"/>
        <v>292.79000000000002</v>
      </c>
      <c r="I96" s="47">
        <f t="shared" ca="1" si="2"/>
        <v>1833.79</v>
      </c>
      <c r="J96" s="15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9.5" customHeight="1">
      <c r="A97" s="24" t="str">
        <f ca="1">IFERROR(__xludf.DUMMYFUNCTION("""COMPUTED_VALUE"""),"ti-ing-8c29d18e-9e5c-4200-a46a-8c0a739ac694")</f>
        <v>ti-ing-8c29d18e-9e5c-4200-a46a-8c0a739ac694</v>
      </c>
      <c r="B97" s="24" t="str">
        <f ca="1">IFERROR(__xludf.DUMMYFUNCTION("""COMPUTED_VALUE"""),"Choclo un")</f>
        <v>Choclo un</v>
      </c>
      <c r="C97" s="24">
        <v>0</v>
      </c>
      <c r="D97" s="43">
        <f ca="1">IFERROR(__xludf.DUMMYFUNCTION("""COMPUTED_VALUE"""),500)</f>
        <v>500</v>
      </c>
      <c r="E97" s="24" t="str">
        <f ca="1">IFERROR(__xludf.DUMMYFUNCTION("""COMPUTED_VALUE"""),"UN")</f>
        <v>UN</v>
      </c>
      <c r="F97" s="44" t="str">
        <f ca="1">IFERROR(__xludf.DUMMYFUNCTION("""COMPUTED_VALUE"""),"Frutas y Verduras")</f>
        <v>Frutas y Verduras</v>
      </c>
      <c r="G97" s="45">
        <f t="shared" ca="1" si="0"/>
        <v>0</v>
      </c>
      <c r="H97" s="45">
        <f t="shared" ca="1" si="1"/>
        <v>0</v>
      </c>
      <c r="I97" s="47">
        <f t="shared" ca="1" si="2"/>
        <v>0</v>
      </c>
      <c r="J97" s="15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9.5" customHeight="1">
      <c r="A98" s="24" t="str">
        <f ca="1">IFERROR(__xludf.DUMMYFUNCTION("""COMPUTED_VALUE"""),"ti-ing-1c153d40-1847-4176-98eb-158c12c1b4ce")</f>
        <v>ti-ing-1c153d40-1847-4176-98eb-158c12c1b4ce</v>
      </c>
      <c r="B98" s="24" t="str">
        <f ca="1">IFERROR(__xludf.DUMMYFUNCTION("""COMPUTED_VALUE"""),"Cilantro")</f>
        <v>Cilantro</v>
      </c>
      <c r="C98" s="24">
        <v>1</v>
      </c>
      <c r="D98" s="43">
        <f ca="1">IFERROR(__xludf.DUMMYFUNCTION("""COMPUTED_VALUE"""),900)</f>
        <v>900</v>
      </c>
      <c r="E98" s="24" t="str">
        <f ca="1">IFERROR(__xludf.DUMMYFUNCTION("""COMPUTED_VALUE"""),"UN")</f>
        <v>UN</v>
      </c>
      <c r="F98" s="44" t="str">
        <f ca="1">IFERROR(__xludf.DUMMYFUNCTION("""COMPUTED_VALUE"""),"Frutas y Verduras")</f>
        <v>Frutas y Verduras</v>
      </c>
      <c r="G98" s="45">
        <f t="shared" ca="1" si="0"/>
        <v>900</v>
      </c>
      <c r="H98" s="45">
        <f t="shared" ca="1" si="1"/>
        <v>171</v>
      </c>
      <c r="I98" s="47">
        <f t="shared" ca="1" si="2"/>
        <v>1071</v>
      </c>
      <c r="J98" s="15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9.5" customHeight="1">
      <c r="A99" s="24" t="str">
        <f ca="1">IFERROR(__xludf.DUMMYFUNCTION("""COMPUTED_VALUE"""),"ti-ing-223edded-4746-4eeb-adba-6396efcf98a1")</f>
        <v>ti-ing-223edded-4746-4eeb-adba-6396efcf98a1</v>
      </c>
      <c r="B99" s="24" t="str">
        <f ca="1">IFERROR(__xludf.DUMMYFUNCTION("""COMPUTED_VALUE"""),"Espinaca")</f>
        <v>Espinaca</v>
      </c>
      <c r="C99" s="24">
        <v>0</v>
      </c>
      <c r="D99" s="43">
        <f ca="1">IFERROR(__xludf.DUMMYFUNCTION("""COMPUTED_VALUE"""),800)</f>
        <v>800</v>
      </c>
      <c r="E99" s="24" t="str">
        <f ca="1">IFERROR(__xludf.DUMMYFUNCTION("""COMPUTED_VALUE"""),"UN")</f>
        <v>UN</v>
      </c>
      <c r="F99" s="44" t="str">
        <f ca="1">IFERROR(__xludf.DUMMYFUNCTION("""COMPUTED_VALUE"""),"Frutas y Verduras")</f>
        <v>Frutas y Verduras</v>
      </c>
      <c r="G99" s="45">
        <f t="shared" ca="1" si="0"/>
        <v>0</v>
      </c>
      <c r="H99" s="45">
        <f t="shared" ca="1" si="1"/>
        <v>0</v>
      </c>
      <c r="I99" s="47">
        <f t="shared" ca="1" si="2"/>
        <v>0</v>
      </c>
      <c r="J99" s="15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9.5" customHeight="1">
      <c r="A100" s="24" t="str">
        <f ca="1">IFERROR(__xludf.DUMMYFUNCTION("""COMPUTED_VALUE"""),"ti-ing-95855f99-76a5-4b8f-9010-41fdb238c9f0")</f>
        <v>ti-ing-95855f99-76a5-4b8f-9010-41fdb238c9f0</v>
      </c>
      <c r="B100" s="24" t="str">
        <f ca="1">IFERROR(__xludf.DUMMYFUNCTION("""COMPUTED_VALUE"""),"jengibre")</f>
        <v>jengibre</v>
      </c>
      <c r="C100" s="24">
        <v>0</v>
      </c>
      <c r="D100" s="43">
        <f ca="1">IFERROR(__xludf.DUMMYFUNCTION("""COMPUTED_VALUE"""),3900)</f>
        <v>3900</v>
      </c>
      <c r="E100" s="24" t="str">
        <f ca="1">IFERROR(__xludf.DUMMYFUNCTION("""COMPUTED_VALUE"""),"KG")</f>
        <v>KG</v>
      </c>
      <c r="F100" s="44" t="str">
        <f ca="1">IFERROR(__xludf.DUMMYFUNCTION("""COMPUTED_VALUE"""),"Frutas y Verduras")</f>
        <v>Frutas y Verduras</v>
      </c>
      <c r="G100" s="45">
        <f t="shared" ca="1" si="0"/>
        <v>0</v>
      </c>
      <c r="H100" s="45">
        <f t="shared" ca="1" si="1"/>
        <v>0</v>
      </c>
      <c r="I100" s="47">
        <f t="shared" ca="1" si="2"/>
        <v>0</v>
      </c>
      <c r="J100" s="15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9.5" customHeight="1">
      <c r="A101" s="24" t="str">
        <f ca="1">IFERROR(__xludf.DUMMYFUNCTION("""COMPUTED_VALUE"""),"ti-ing-a497b86b-3af9-4b4b-8c05-6b268e0b6b75")</f>
        <v>ti-ing-a497b86b-3af9-4b4b-8c05-6b268e0b6b75</v>
      </c>
      <c r="B101" s="24" t="str">
        <f ca="1">IFERROR(__xludf.DUMMYFUNCTION("""COMPUTED_VALUE"""),"Lechuga Escarola")</f>
        <v>Lechuga Escarola</v>
      </c>
      <c r="C101" s="24">
        <v>0</v>
      </c>
      <c r="D101" s="43">
        <f ca="1">IFERROR(__xludf.DUMMYFUNCTION("""COMPUTED_VALUE"""),600)</f>
        <v>600</v>
      </c>
      <c r="E101" s="24" t="str">
        <f ca="1">IFERROR(__xludf.DUMMYFUNCTION("""COMPUTED_VALUE"""),"UN")</f>
        <v>UN</v>
      </c>
      <c r="F101" s="44" t="str">
        <f ca="1">IFERROR(__xludf.DUMMYFUNCTION("""COMPUTED_VALUE"""),"Frutas y Verduras")</f>
        <v>Frutas y Verduras</v>
      </c>
      <c r="G101" s="45">
        <f t="shared" ca="1" si="0"/>
        <v>0</v>
      </c>
      <c r="H101" s="45">
        <f t="shared" ca="1" si="1"/>
        <v>0</v>
      </c>
      <c r="I101" s="47">
        <f t="shared" ca="1" si="2"/>
        <v>0</v>
      </c>
      <c r="J101" s="15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9.5" customHeight="1">
      <c r="A102" s="24" t="str">
        <f ca="1">IFERROR(__xludf.DUMMYFUNCTION("""COMPUTED_VALUE"""),"ti-ing-8bf96dab-12d3-4116-89cd-da4f697199c8")</f>
        <v>ti-ing-8bf96dab-12d3-4116-89cd-da4f697199c8</v>
      </c>
      <c r="B102" s="24" t="str">
        <f ca="1">IFERROR(__xludf.DUMMYFUNCTION("""COMPUTED_VALUE"""),"Lechuga Hidropónica (unidad)")</f>
        <v>Lechuga Hidropónica (unidad)</v>
      </c>
      <c r="C102" s="24">
        <v>51</v>
      </c>
      <c r="D102" s="43">
        <f ca="1">IFERROR(__xludf.DUMMYFUNCTION("""COMPUTED_VALUE"""),600)</f>
        <v>600</v>
      </c>
      <c r="E102" s="24" t="str">
        <f ca="1">IFERROR(__xludf.DUMMYFUNCTION("""COMPUTED_VALUE"""),"UN")</f>
        <v>UN</v>
      </c>
      <c r="F102" s="44" t="str">
        <f ca="1">IFERROR(__xludf.DUMMYFUNCTION("""COMPUTED_VALUE"""),"Frutas y Verduras")</f>
        <v>Frutas y Verduras</v>
      </c>
      <c r="G102" s="45">
        <f t="shared" ca="1" si="0"/>
        <v>30600</v>
      </c>
      <c r="H102" s="45">
        <f t="shared" ca="1" si="1"/>
        <v>5814</v>
      </c>
      <c r="I102" s="47">
        <f t="shared" ca="1" si="2"/>
        <v>36414</v>
      </c>
      <c r="J102" s="15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9.5" customHeight="1">
      <c r="A103" s="24" t="str">
        <f ca="1">IFERROR(__xludf.DUMMYFUNCTION("""COMPUTED_VALUE"""),"ti-ing-1fd461da-d8b8-447a-9306-56977c2434ec")</f>
        <v>ti-ing-1fd461da-d8b8-447a-9306-56977c2434ec</v>
      </c>
      <c r="B103" s="24" t="str">
        <f ca="1">IFERROR(__xludf.DUMMYFUNCTION("""COMPUTED_VALUE"""),"Limon Sutil")</f>
        <v>Limon Sutil</v>
      </c>
      <c r="C103" s="24">
        <v>0</v>
      </c>
      <c r="D103" s="43">
        <f ca="1">IFERROR(__xludf.DUMMYFUNCTION("""COMPUTED_VALUE"""),1990.51)</f>
        <v>1990.51</v>
      </c>
      <c r="E103" s="24" t="str">
        <f ca="1">IFERROR(__xludf.DUMMYFUNCTION("""COMPUTED_VALUE"""),"KG")</f>
        <v>KG</v>
      </c>
      <c r="F103" s="44" t="str">
        <f ca="1">IFERROR(__xludf.DUMMYFUNCTION("""COMPUTED_VALUE"""),"Frutas y Verduras")</f>
        <v>Frutas y Verduras</v>
      </c>
      <c r="G103" s="45">
        <f t="shared" ca="1" si="0"/>
        <v>0</v>
      </c>
      <c r="H103" s="45">
        <f t="shared" ca="1" si="1"/>
        <v>0</v>
      </c>
      <c r="I103" s="47">
        <f t="shared" ca="1" si="2"/>
        <v>0</v>
      </c>
      <c r="J103" s="15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9.5" customHeight="1">
      <c r="A104" s="24" t="str">
        <f ca="1">IFERROR(__xludf.DUMMYFUNCTION("""COMPUTED_VALUE"""),"ti-ing-c474d6cb-0840-4bd3-9ce3-7b1461a7647c")</f>
        <v>ti-ing-c474d6cb-0840-4bd3-9ce3-7b1461a7647c</v>
      </c>
      <c r="B104" s="24" t="str">
        <f ca="1">IFERROR(__xludf.DUMMYFUNCTION("""COMPUTED_VALUE"""),"Palta kg")</f>
        <v>Palta kg</v>
      </c>
      <c r="C104" s="24">
        <v>4.9379999999999997</v>
      </c>
      <c r="D104" s="43">
        <f ca="1">IFERROR(__xludf.DUMMYFUNCTION("""COMPUTED_VALUE"""),3000)</f>
        <v>3000</v>
      </c>
      <c r="E104" s="24" t="str">
        <f ca="1">IFERROR(__xludf.DUMMYFUNCTION("""COMPUTED_VALUE"""),"KG")</f>
        <v>KG</v>
      </c>
      <c r="F104" s="44" t="str">
        <f ca="1">IFERROR(__xludf.DUMMYFUNCTION("""COMPUTED_VALUE"""),"Frutas y Verduras")</f>
        <v>Frutas y Verduras</v>
      </c>
      <c r="G104" s="45">
        <f t="shared" ca="1" si="0"/>
        <v>14814</v>
      </c>
      <c r="H104" s="45">
        <f t="shared" ca="1" si="1"/>
        <v>2814.66</v>
      </c>
      <c r="I104" s="47">
        <f t="shared" ca="1" si="2"/>
        <v>17628.66</v>
      </c>
      <c r="J104" s="15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9.5" customHeight="1">
      <c r="A105" s="24" t="str">
        <f ca="1">IFERROR(__xludf.DUMMYFUNCTION("""COMPUTED_VALUE"""),"ti-ing-0c5af1ab-51d2-45bc-8d83-07f28a2070d7")</f>
        <v>ti-ing-0c5af1ab-51d2-45bc-8d83-07f28a2070d7</v>
      </c>
      <c r="B105" s="24" t="str">
        <f ca="1">IFERROR(__xludf.DUMMYFUNCTION("""COMPUTED_VALUE"""),"Papa ( 20K )")</f>
        <v>Papa ( 20K )</v>
      </c>
      <c r="C105" s="24">
        <v>18.995999999999999</v>
      </c>
      <c r="D105" s="43">
        <f ca="1">IFERROR(__xludf.DUMMYFUNCTION("""COMPUTED_VALUE"""),1150)</f>
        <v>1150</v>
      </c>
      <c r="E105" s="24" t="str">
        <f ca="1">IFERROR(__xludf.DUMMYFUNCTION("""COMPUTED_VALUE"""),"KG")</f>
        <v>KG</v>
      </c>
      <c r="F105" s="44" t="str">
        <f ca="1">IFERROR(__xludf.DUMMYFUNCTION("""COMPUTED_VALUE"""),"Frutas y Verduras")</f>
        <v>Frutas y Verduras</v>
      </c>
      <c r="G105" s="45">
        <f t="shared" ca="1" si="0"/>
        <v>21845.399999999998</v>
      </c>
      <c r="H105" s="45">
        <f t="shared" ca="1" si="1"/>
        <v>4150.6259999999993</v>
      </c>
      <c r="I105" s="47">
        <f t="shared" ca="1" si="2"/>
        <v>25996.025999999998</v>
      </c>
      <c r="J105" s="15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9.5" customHeight="1">
      <c r="A106" s="24" t="str">
        <f ca="1">IFERROR(__xludf.DUMMYFUNCTION("""COMPUTED_VALUE"""),"ti-ing-01dd937e-f3e1-45bd-ac68-e7d6c9700360")</f>
        <v>ti-ing-01dd937e-f3e1-45bd-ac68-e7d6c9700360</v>
      </c>
      <c r="B106" s="24" t="str">
        <f ca="1">IFERROR(__xludf.DUMMYFUNCTION("""COMPUTED_VALUE"""),"Pepino unidad")</f>
        <v>Pepino unidad</v>
      </c>
      <c r="C106" s="24">
        <v>4.5</v>
      </c>
      <c r="D106" s="43">
        <f ca="1">IFERROR(__xludf.DUMMYFUNCTION("""COMPUTED_VALUE"""),600)</f>
        <v>600</v>
      </c>
      <c r="E106" s="24" t="str">
        <f ca="1">IFERROR(__xludf.DUMMYFUNCTION("""COMPUTED_VALUE"""),"un")</f>
        <v>un</v>
      </c>
      <c r="F106" s="44" t="str">
        <f ca="1">IFERROR(__xludf.DUMMYFUNCTION("""COMPUTED_VALUE"""),"Frutas y Verduras")</f>
        <v>Frutas y Verduras</v>
      </c>
      <c r="G106" s="45">
        <f t="shared" ca="1" si="0"/>
        <v>2700</v>
      </c>
      <c r="H106" s="45">
        <f t="shared" ca="1" si="1"/>
        <v>513</v>
      </c>
      <c r="I106" s="47">
        <f t="shared" ca="1" si="2"/>
        <v>3213</v>
      </c>
      <c r="J106" s="15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9.5" customHeight="1">
      <c r="A107" s="24" t="str">
        <f ca="1">IFERROR(__xludf.DUMMYFUNCTION("""COMPUTED_VALUE"""),"ti-ing-da4ed1b9-498c-45d1-abc1-fc2bae7914fa")</f>
        <v>ti-ing-da4ed1b9-498c-45d1-abc1-fc2bae7914fa</v>
      </c>
      <c r="B107" s="24" t="str">
        <f ca="1">IFERROR(__xludf.DUMMYFUNCTION("""COMPUTED_VALUE"""),"Peras")</f>
        <v>Peras</v>
      </c>
      <c r="C107" s="24">
        <v>4.4080000000000004</v>
      </c>
      <c r="D107" s="43">
        <f ca="1">IFERROR(__xludf.DUMMYFUNCTION("""COMPUTED_VALUE"""),1500)</f>
        <v>1500</v>
      </c>
      <c r="E107" s="24" t="str">
        <f ca="1">IFERROR(__xludf.DUMMYFUNCTION("""COMPUTED_VALUE"""),"KG")</f>
        <v>KG</v>
      </c>
      <c r="F107" s="44" t="str">
        <f ca="1">IFERROR(__xludf.DUMMYFUNCTION("""COMPUTED_VALUE"""),"Frutas y Verduras")</f>
        <v>Frutas y Verduras</v>
      </c>
      <c r="G107" s="45">
        <f t="shared" ca="1" si="0"/>
        <v>6612.0000000000009</v>
      </c>
      <c r="H107" s="45">
        <f t="shared" ca="1" si="1"/>
        <v>1256.2800000000002</v>
      </c>
      <c r="I107" s="47">
        <f t="shared" ca="1" si="2"/>
        <v>7868.2800000000007</v>
      </c>
      <c r="J107" s="15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9.5" customHeight="1">
      <c r="A108" s="24" t="str">
        <f ca="1">IFERROR(__xludf.DUMMYFUNCTION("""COMPUTED_VALUE"""),"ti-ing-074f1cb2-96a4-409c-834d-d7729059054a")</f>
        <v>ti-ing-074f1cb2-96a4-409c-834d-d7729059054a</v>
      </c>
      <c r="B108" s="24" t="str">
        <f ca="1">IFERROR(__xludf.DUMMYFUNCTION("""COMPUTED_VALUE"""),"Perejil")</f>
        <v>Perejil</v>
      </c>
      <c r="C108" s="24">
        <v>1.5</v>
      </c>
      <c r="D108" s="43">
        <f ca="1">IFERROR(__xludf.DUMMYFUNCTION("""COMPUTED_VALUE"""),500)</f>
        <v>500</v>
      </c>
      <c r="E108" s="24" t="str">
        <f ca="1">IFERROR(__xludf.DUMMYFUNCTION("""COMPUTED_VALUE"""),"un")</f>
        <v>un</v>
      </c>
      <c r="F108" s="44" t="str">
        <f ca="1">IFERROR(__xludf.DUMMYFUNCTION("""COMPUTED_VALUE"""),"Frutas y Verduras")</f>
        <v>Frutas y Verduras</v>
      </c>
      <c r="G108" s="45">
        <f t="shared" ca="1" si="0"/>
        <v>750</v>
      </c>
      <c r="H108" s="45">
        <f t="shared" ca="1" si="1"/>
        <v>142.5</v>
      </c>
      <c r="I108" s="47">
        <f t="shared" ca="1" si="2"/>
        <v>892.5</v>
      </c>
      <c r="J108" s="15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9.5" customHeight="1">
      <c r="A109" s="24" t="str">
        <f ca="1">IFERROR(__xludf.DUMMYFUNCTION("""COMPUTED_VALUE"""),"ti-ing-b74ef0eb-9db1-48f6-9155-794b5239e202")</f>
        <v>ti-ing-b74ef0eb-9db1-48f6-9155-794b5239e202</v>
      </c>
      <c r="B109" s="24" t="str">
        <f ca="1">IFERROR(__xludf.DUMMYFUNCTION("""COMPUTED_VALUE"""),"Pimenton rojo")</f>
        <v>Pimenton rojo</v>
      </c>
      <c r="C109" s="24">
        <v>1</v>
      </c>
      <c r="D109" s="43">
        <f ca="1">IFERROR(__xludf.DUMMYFUNCTION("""COMPUTED_VALUE"""),1000)</f>
        <v>1000</v>
      </c>
      <c r="E109" s="24" t="str">
        <f ca="1">IFERROR(__xludf.DUMMYFUNCTION("""COMPUTED_VALUE"""),"UN")</f>
        <v>UN</v>
      </c>
      <c r="F109" s="44" t="str">
        <f ca="1">IFERROR(__xludf.DUMMYFUNCTION("""COMPUTED_VALUE"""),"Frutas y Verduras")</f>
        <v>Frutas y Verduras</v>
      </c>
      <c r="G109" s="45">
        <f t="shared" ca="1" si="0"/>
        <v>1000</v>
      </c>
      <c r="H109" s="45">
        <f t="shared" ca="1" si="1"/>
        <v>190</v>
      </c>
      <c r="I109" s="47">
        <f t="shared" ca="1" si="2"/>
        <v>1190</v>
      </c>
      <c r="J109" s="15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9.5" customHeight="1">
      <c r="A110" s="24" t="str">
        <f ca="1">IFERROR(__xludf.DUMMYFUNCTION("""COMPUTED_VALUE"""),"ti-ing-74243ecf-c7ba-4592-9f0c-a15b8e01c4d2")</f>
        <v>ti-ing-74243ecf-c7ba-4592-9f0c-a15b8e01c4d2</v>
      </c>
      <c r="B110" s="24" t="str">
        <f ca="1">IFERROR(__xludf.DUMMYFUNCTION("""COMPUTED_VALUE"""),"Platano Kg")</f>
        <v>Platano Kg</v>
      </c>
      <c r="C110" s="24">
        <v>0</v>
      </c>
      <c r="D110" s="43">
        <f ca="1">IFERROR(__xludf.DUMMYFUNCTION("""COMPUTED_VALUE"""),3000)</f>
        <v>3000</v>
      </c>
      <c r="E110" s="24" t="str">
        <f ca="1">IFERROR(__xludf.DUMMYFUNCTION("""COMPUTED_VALUE"""),"KG")</f>
        <v>KG</v>
      </c>
      <c r="F110" s="44" t="str">
        <f ca="1">IFERROR(__xludf.DUMMYFUNCTION("""COMPUTED_VALUE"""),"Frutas y Verduras")</f>
        <v>Frutas y Verduras</v>
      </c>
      <c r="G110" s="45">
        <f t="shared" ca="1" si="0"/>
        <v>0</v>
      </c>
      <c r="H110" s="45">
        <f t="shared" ca="1" si="1"/>
        <v>0</v>
      </c>
      <c r="I110" s="47">
        <f t="shared" ca="1" si="2"/>
        <v>0</v>
      </c>
      <c r="J110" s="15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9.5" customHeight="1">
      <c r="A111" s="24" t="str">
        <f ca="1">IFERROR(__xludf.DUMMYFUNCTION("""COMPUTED_VALUE"""),"ti-ing-39dee339-dcff-456d-b5f1-cf03744d2cc0")</f>
        <v>ti-ing-39dee339-dcff-456d-b5f1-cf03744d2cc0</v>
      </c>
      <c r="B111" s="24" t="str">
        <f ca="1">IFERROR(__xludf.DUMMYFUNCTION("""COMPUTED_VALUE"""),"Repollo")</f>
        <v>Repollo</v>
      </c>
      <c r="C111" s="24">
        <v>0</v>
      </c>
      <c r="D111" s="43">
        <f ca="1">IFERROR(__xludf.DUMMYFUNCTION("""COMPUTED_VALUE"""),2200)</f>
        <v>2200</v>
      </c>
      <c r="E111" s="24" t="str">
        <f ca="1">IFERROR(__xludf.DUMMYFUNCTION("""COMPUTED_VALUE"""),"KG")</f>
        <v>KG</v>
      </c>
      <c r="F111" s="44" t="str">
        <f ca="1">IFERROR(__xludf.DUMMYFUNCTION("""COMPUTED_VALUE"""),"Frutas y Verduras")</f>
        <v>Frutas y Verduras</v>
      </c>
      <c r="G111" s="45">
        <f t="shared" ca="1" si="0"/>
        <v>0</v>
      </c>
      <c r="H111" s="45">
        <f t="shared" ca="1" si="1"/>
        <v>0</v>
      </c>
      <c r="I111" s="47">
        <f t="shared" ca="1" si="2"/>
        <v>0</v>
      </c>
      <c r="J111" s="15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9.5" customHeight="1">
      <c r="A112" s="24" t="str">
        <f ca="1">IFERROR(__xludf.DUMMYFUNCTION("""COMPUTED_VALUE"""),"ti-ing-a4410a7c-ce20-46c2-b8b2-6a81683bcb6f")</f>
        <v>ti-ing-a4410a7c-ce20-46c2-b8b2-6a81683bcb6f</v>
      </c>
      <c r="B112" s="24" t="str">
        <f ca="1">IFERROR(__xludf.DUMMYFUNCTION("""COMPUTED_VALUE"""),"ROCOTO")</f>
        <v>ROCOTO</v>
      </c>
      <c r="C112" s="24">
        <v>0</v>
      </c>
      <c r="D112" s="43">
        <f ca="1">IFERROR(__xludf.DUMMYFUNCTION("""COMPUTED_VALUE"""),5782)</f>
        <v>5782</v>
      </c>
      <c r="E112" s="24" t="str">
        <f ca="1">IFERROR(__xludf.DUMMYFUNCTION("""COMPUTED_VALUE"""),"Kg")</f>
        <v>Kg</v>
      </c>
      <c r="F112" s="44" t="str">
        <f ca="1">IFERROR(__xludf.DUMMYFUNCTION("""COMPUTED_VALUE"""),"Frutas y Verduras")</f>
        <v>Frutas y Verduras</v>
      </c>
      <c r="G112" s="45">
        <f t="shared" ca="1" si="0"/>
        <v>0</v>
      </c>
      <c r="H112" s="45">
        <f t="shared" ca="1" si="1"/>
        <v>0</v>
      </c>
      <c r="I112" s="47">
        <f t="shared" ca="1" si="2"/>
        <v>0</v>
      </c>
      <c r="J112" s="15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9.5" customHeight="1">
      <c r="A113" s="24" t="str">
        <f ca="1">IFERROR(__xludf.DUMMYFUNCTION("""COMPUTED_VALUE"""),"ti-ing-7bcfd367-90bd-4cb7-92e4-61a4a00c6384")</f>
        <v>ti-ing-7bcfd367-90bd-4cb7-92e4-61a4a00c6384</v>
      </c>
      <c r="B113" s="24" t="str">
        <f ca="1">IFERROR(__xludf.DUMMYFUNCTION("""COMPUTED_VALUE"""),"Rucula")</f>
        <v>Rucula</v>
      </c>
      <c r="C113" s="24">
        <v>1.8320000000000001</v>
      </c>
      <c r="D113" s="43">
        <f ca="1">IFERROR(__xludf.DUMMYFUNCTION("""COMPUTED_VALUE"""),6000)</f>
        <v>6000</v>
      </c>
      <c r="E113" s="24" t="str">
        <f ca="1">IFERROR(__xludf.DUMMYFUNCTION("""COMPUTED_VALUE"""),"UN")</f>
        <v>UN</v>
      </c>
      <c r="F113" s="44" t="str">
        <f ca="1">IFERROR(__xludf.DUMMYFUNCTION("""COMPUTED_VALUE"""),"Frutas y Verduras")</f>
        <v>Frutas y Verduras</v>
      </c>
      <c r="G113" s="45">
        <f t="shared" ca="1" si="0"/>
        <v>10992</v>
      </c>
      <c r="H113" s="45">
        <f t="shared" ca="1" si="1"/>
        <v>2088.48</v>
      </c>
      <c r="I113" s="47">
        <f t="shared" ca="1" si="2"/>
        <v>13080.48</v>
      </c>
      <c r="J113" s="15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9.5" customHeight="1">
      <c r="A114" s="24" t="str">
        <f ca="1">IFERROR(__xludf.DUMMYFUNCTION("""COMPUTED_VALUE"""),"ti-ing-8ee71fe9-911e-4b0c-a4d6-91d304ab0b7e")</f>
        <v>ti-ing-8ee71fe9-911e-4b0c-a4d6-91d304ab0b7e</v>
      </c>
      <c r="B114" s="24" t="str">
        <f ca="1">IFERROR(__xludf.DUMMYFUNCTION("""COMPUTED_VALUE"""),"Tomate cherry kg")</f>
        <v>Tomate cherry kg</v>
      </c>
      <c r="C114" s="24">
        <v>3.1280000000000001</v>
      </c>
      <c r="D114" s="43">
        <f ca="1">IFERROR(__xludf.DUMMYFUNCTION("""COMPUTED_VALUE"""),2500)</f>
        <v>2500</v>
      </c>
      <c r="E114" s="24" t="str">
        <f ca="1">IFERROR(__xludf.DUMMYFUNCTION("""COMPUTED_VALUE"""),"KG")</f>
        <v>KG</v>
      </c>
      <c r="F114" s="44" t="str">
        <f ca="1">IFERROR(__xludf.DUMMYFUNCTION("""COMPUTED_VALUE"""),"Frutas y Verduras")</f>
        <v>Frutas y Verduras</v>
      </c>
      <c r="G114" s="45">
        <f t="shared" ca="1" si="0"/>
        <v>7820</v>
      </c>
      <c r="H114" s="45">
        <f t="shared" ca="1" si="1"/>
        <v>1485.8</v>
      </c>
      <c r="I114" s="47">
        <f t="shared" ca="1" si="2"/>
        <v>9305.7999999999993</v>
      </c>
      <c r="J114" s="15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9.5" customHeight="1">
      <c r="A115" s="24" t="str">
        <f ca="1">IFERROR(__xludf.DUMMYFUNCTION("""COMPUTED_VALUE"""),"ti-ing-c63927ca-5c1f-4291-bb57-3db682f6681b")</f>
        <v>ti-ing-c63927ca-5c1f-4291-bb57-3db682f6681b</v>
      </c>
      <c r="B115" s="24" t="str">
        <f ca="1">IFERROR(__xludf.DUMMYFUNCTION("""COMPUTED_VALUE"""),"Tomate grande")</f>
        <v>Tomate grande</v>
      </c>
      <c r="C115" s="24">
        <v>14</v>
      </c>
      <c r="D115" s="43">
        <f ca="1">IFERROR(__xludf.DUMMYFUNCTION("""COMPUTED_VALUE"""),1411.765)</f>
        <v>1411.7650000000001</v>
      </c>
      <c r="E115" s="24" t="str">
        <f ca="1">IFERROR(__xludf.DUMMYFUNCTION("""COMPUTED_VALUE"""),"KG")</f>
        <v>KG</v>
      </c>
      <c r="F115" s="44" t="str">
        <f ca="1">IFERROR(__xludf.DUMMYFUNCTION("""COMPUTED_VALUE"""),"Frutas y Verduras")</f>
        <v>Frutas y Verduras</v>
      </c>
      <c r="G115" s="45">
        <f t="shared" ca="1" si="0"/>
        <v>19764.710000000003</v>
      </c>
      <c r="H115" s="45">
        <f t="shared" ca="1" si="1"/>
        <v>3755.2949000000008</v>
      </c>
      <c r="I115" s="47">
        <f t="shared" ca="1" si="2"/>
        <v>23520.004900000004</v>
      </c>
      <c r="J115" s="15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9.5" customHeight="1">
      <c r="A116" s="24" t="str">
        <f ca="1">IFERROR(__xludf.DUMMYFUNCTION("""COMPUTED_VALUE"""),"ti-ing-98634312-a220-4946-90a7-2f004d514564")</f>
        <v>ti-ing-98634312-a220-4946-90a7-2f004d514564</v>
      </c>
      <c r="B116" s="24" t="str">
        <f ca="1">IFERROR(__xludf.DUMMYFUNCTION("""COMPUTED_VALUE"""),"Zanahoria kg")</f>
        <v>Zanahoria kg</v>
      </c>
      <c r="C116" s="24">
        <v>1.806</v>
      </c>
      <c r="D116" s="43">
        <f ca="1">IFERROR(__xludf.DUMMYFUNCTION("""COMPUTED_VALUE"""),1600)</f>
        <v>1600</v>
      </c>
      <c r="E116" s="24" t="str">
        <f ca="1">IFERROR(__xludf.DUMMYFUNCTION("""COMPUTED_VALUE"""),"KG")</f>
        <v>KG</v>
      </c>
      <c r="F116" s="44" t="str">
        <f ca="1">IFERROR(__xludf.DUMMYFUNCTION("""COMPUTED_VALUE"""),"Frutas y Verduras")</f>
        <v>Frutas y Verduras</v>
      </c>
      <c r="G116" s="45">
        <f t="shared" ca="1" si="0"/>
        <v>2889.6</v>
      </c>
      <c r="H116" s="45">
        <f t="shared" ca="1" si="1"/>
        <v>549.024</v>
      </c>
      <c r="I116" s="47">
        <f t="shared" ca="1" si="2"/>
        <v>3438.6239999999998</v>
      </c>
      <c r="J116" s="15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9.5" customHeight="1">
      <c r="A117" s="24" t="str">
        <f ca="1">IFERROR(__xludf.DUMMYFUNCTION("""COMPUTED_VALUE"""),"ti-ing-30894a55-8681-416c-904c-c561603ec97c")</f>
        <v>ti-ing-30894a55-8681-416c-904c-c561603ec97c</v>
      </c>
      <c r="B117" s="24" t="str">
        <f ca="1">IFERROR(__xludf.DUMMYFUNCTION("""COMPUTED_VALUE"""),"Zapallo")</f>
        <v>Zapallo</v>
      </c>
      <c r="C117" s="24">
        <v>0</v>
      </c>
      <c r="D117" s="43">
        <f ca="1">IFERROR(__xludf.DUMMYFUNCTION("""COMPUTED_VALUE"""),800)</f>
        <v>800</v>
      </c>
      <c r="E117" s="24" t="str">
        <f ca="1">IFERROR(__xludf.DUMMYFUNCTION("""COMPUTED_VALUE"""),"KG")</f>
        <v>KG</v>
      </c>
      <c r="F117" s="44" t="str">
        <f ca="1">IFERROR(__xludf.DUMMYFUNCTION("""COMPUTED_VALUE"""),"Frutas y Verduras")</f>
        <v>Frutas y Verduras</v>
      </c>
      <c r="G117" s="45">
        <f t="shared" ca="1" si="0"/>
        <v>0</v>
      </c>
      <c r="H117" s="45">
        <f t="shared" ca="1" si="1"/>
        <v>0</v>
      </c>
      <c r="I117" s="47">
        <f t="shared" ca="1" si="2"/>
        <v>0</v>
      </c>
      <c r="J117" s="15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9.5" customHeight="1">
      <c r="A118" s="24" t="str">
        <f ca="1">IFERROR(__xludf.DUMMYFUNCTION("""COMPUTED_VALUE"""),"ti-ing-3321c80d-49fa-4d55-9973-cfc988156e46")</f>
        <v>ti-ing-3321c80d-49fa-4d55-9973-cfc988156e46</v>
      </c>
      <c r="B118" s="24" t="str">
        <f ca="1">IFERROR(__xludf.DUMMYFUNCTION("""COMPUTED_VALUE"""),"Zapallo Italiano (unidad)")</f>
        <v>Zapallo Italiano (unidad)</v>
      </c>
      <c r="C118" s="24">
        <v>1.5</v>
      </c>
      <c r="D118" s="43">
        <f ca="1">IFERROR(__xludf.DUMMYFUNCTION("""COMPUTED_VALUE"""),600)</f>
        <v>600</v>
      </c>
      <c r="E118" s="24" t="str">
        <f ca="1">IFERROR(__xludf.DUMMYFUNCTION("""COMPUTED_VALUE"""),"UN")</f>
        <v>UN</v>
      </c>
      <c r="F118" s="44" t="str">
        <f ca="1">IFERROR(__xludf.DUMMYFUNCTION("""COMPUTED_VALUE"""),"Frutas y Verduras")</f>
        <v>Frutas y Verduras</v>
      </c>
      <c r="G118" s="45">
        <f t="shared" ca="1" si="0"/>
        <v>900</v>
      </c>
      <c r="H118" s="45">
        <f t="shared" ca="1" si="1"/>
        <v>171</v>
      </c>
      <c r="I118" s="47">
        <f t="shared" ca="1" si="2"/>
        <v>1071</v>
      </c>
      <c r="J118" s="15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9.5" customHeight="1">
      <c r="A119" s="24" t="str">
        <f ca="1">IFERROR(__xludf.DUMMYFUNCTION("""COMPUTED_VALUE"""),"ti-ing-63bb439b-2f54-484e-8af1-634f36b26a2f")</f>
        <v>ti-ing-63bb439b-2f54-484e-8af1-634f36b26a2f</v>
      </c>
      <c r="B119" s="24" t="str">
        <f ca="1">IFERROR(__xludf.DUMMYFUNCTION("""COMPUTED_VALUE"""),"Harina Super la estampa")</f>
        <v>Harina Super la estampa</v>
      </c>
      <c r="C119" s="24">
        <v>0.53600000000000003</v>
      </c>
      <c r="D119" s="43">
        <f ca="1">IFERROR(__xludf.DUMMYFUNCTION("""COMPUTED_VALUE"""),590.24)</f>
        <v>590.24</v>
      </c>
      <c r="E119" s="24" t="str">
        <f ca="1">IFERROR(__xludf.DUMMYFUNCTION("""COMPUTED_VALUE"""),"KG")</f>
        <v>KG</v>
      </c>
      <c r="F119" s="44" t="str">
        <f ca="1">IFERROR(__xludf.DUMMYFUNCTION("""COMPUTED_VALUE"""),"Harinas")</f>
        <v>Harinas</v>
      </c>
      <c r="G119" s="45">
        <f t="shared" ca="1" si="0"/>
        <v>316.36864000000003</v>
      </c>
      <c r="H119" s="45">
        <f t="shared" ca="1" si="1"/>
        <v>60.110041600000002</v>
      </c>
      <c r="I119" s="47">
        <f t="shared" ca="1" si="2"/>
        <v>376.47868160000002</v>
      </c>
      <c r="J119" s="15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9.5" customHeight="1">
      <c r="A120" s="24" t="str">
        <f ca="1">IFERROR(__xludf.DUMMYFUNCTION("""COMPUTED_VALUE"""),"ti-ing-aa29f857-a1c6-4602-83d9-a873366a6e06")</f>
        <v>ti-ing-aa29f857-a1c6-4602-83d9-a873366a6e06</v>
      </c>
      <c r="B120" s="24" t="str">
        <f ca="1">IFERROR(__xludf.DUMMYFUNCTION("""COMPUTED_VALUE"""),"Crema de leche animal")</f>
        <v>Crema de leche animal</v>
      </c>
      <c r="C120" s="24">
        <v>3</v>
      </c>
      <c r="D120" s="78">
        <f ca="1">IFERROR(__xludf.DUMMYFUNCTION("""COMPUTED_VALUE"""),3413.667)</f>
        <v>3413.6669999999999</v>
      </c>
      <c r="E120" s="24" t="str">
        <f ca="1">IFERROR(__xludf.DUMMYFUNCTION("""COMPUTED_VALUE"""),"LT")</f>
        <v>LT</v>
      </c>
      <c r="F120" s="44" t="str">
        <f ca="1">IFERROR(__xludf.DUMMYFUNCTION("""COMPUTED_VALUE"""),"Lácteos y Quesos")</f>
        <v>Lácteos y Quesos</v>
      </c>
      <c r="G120" s="45">
        <f t="shared" ca="1" si="0"/>
        <v>10241.001</v>
      </c>
      <c r="H120" s="45">
        <f t="shared" ca="1" si="1"/>
        <v>1945.7901900000002</v>
      </c>
      <c r="I120" s="47">
        <f t="shared" ca="1" si="2"/>
        <v>12186.79119</v>
      </c>
      <c r="J120" s="15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9.5" customHeight="1">
      <c r="A121" s="24" t="str">
        <f ca="1">IFERROR(__xludf.DUMMYFUNCTION("""COMPUTED_VALUE"""),"ti-ing-f217056d-5d63-4d3a-850f-a0137c3c2bc8")</f>
        <v>ti-ing-f217056d-5d63-4d3a-850f-a0137c3c2bc8</v>
      </c>
      <c r="B121" s="24" t="str">
        <f ca="1">IFERROR(__xludf.DUMMYFUNCTION("""COMPUTED_VALUE"""),"Leche entera 1 lt")</f>
        <v>Leche entera 1 lt</v>
      </c>
      <c r="C121" s="24">
        <v>7</v>
      </c>
      <c r="D121" s="43">
        <f ca="1">IFERROR(__xludf.DUMMYFUNCTION("""COMPUTED_VALUE"""),1022.3333)</f>
        <v>1022.3333</v>
      </c>
      <c r="E121" s="24" t="str">
        <f ca="1">IFERROR(__xludf.DUMMYFUNCTION("""COMPUTED_VALUE"""),"LT")</f>
        <v>LT</v>
      </c>
      <c r="F121" s="44" t="str">
        <f ca="1">IFERROR(__xludf.DUMMYFUNCTION("""COMPUTED_VALUE"""),"Lácteos y Quesos")</f>
        <v>Lácteos y Quesos</v>
      </c>
      <c r="G121" s="45">
        <f t="shared" ca="1" si="0"/>
        <v>7156.3330999999998</v>
      </c>
      <c r="H121" s="45">
        <f t="shared" ca="1" si="1"/>
        <v>1359.703289</v>
      </c>
      <c r="I121" s="47">
        <f t="shared" ca="1" si="2"/>
        <v>8516.0363890000008</v>
      </c>
      <c r="J121" s="15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9.5" customHeight="1">
      <c r="A122" s="24" t="str">
        <f ca="1">IFERROR(__xludf.DUMMYFUNCTION("""COMPUTED_VALUE"""),"ti-ing-efbb157d-1cf5-48ff-aa74-a931c248d95b")</f>
        <v>ti-ing-efbb157d-1cf5-48ff-aa74-a931c248d95b</v>
      </c>
      <c r="B122" s="24" t="str">
        <f ca="1">IFERROR(__xludf.DUMMYFUNCTION("""COMPUTED_VALUE"""),"Leche evaporada (1 tarro)")</f>
        <v>Leche evaporada (1 tarro)</v>
      </c>
      <c r="C122" s="24">
        <v>0</v>
      </c>
      <c r="D122" s="43">
        <f ca="1">IFERROR(__xludf.DUMMYFUNCTION("""COMPUTED_VALUE"""),1277)</f>
        <v>1277</v>
      </c>
      <c r="E122" s="24" t="str">
        <f ca="1">IFERROR(__xludf.DUMMYFUNCTION("""COMPUTED_VALUE"""),"UN")</f>
        <v>UN</v>
      </c>
      <c r="F122" s="44" t="str">
        <f ca="1">IFERROR(__xludf.DUMMYFUNCTION("""COMPUTED_VALUE"""),"Lácteos y Quesos")</f>
        <v>Lácteos y Quesos</v>
      </c>
      <c r="G122" s="45">
        <f t="shared" ca="1" si="0"/>
        <v>0</v>
      </c>
      <c r="H122" s="45">
        <f t="shared" ca="1" si="1"/>
        <v>0</v>
      </c>
      <c r="I122" s="47">
        <f t="shared" ca="1" si="2"/>
        <v>0</v>
      </c>
      <c r="J122" s="15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9.5" customHeight="1">
      <c r="A123" s="24" t="str">
        <f ca="1">IFERROR(__xludf.DUMMYFUNCTION("""COMPUTED_VALUE"""),"ti-ing-ecd37d53-82cc-47dc-a91b-bd72d972df17")</f>
        <v>ti-ing-ecd37d53-82cc-47dc-a91b-bd72d972df17</v>
      </c>
      <c r="B123" s="24" t="str">
        <f ca="1">IFERROR(__xludf.DUMMYFUNCTION("""COMPUTED_VALUE"""),"Mantequilla sin sal")</f>
        <v>Mantequilla sin sal</v>
      </c>
      <c r="C123" s="24">
        <v>0</v>
      </c>
      <c r="D123" s="43">
        <f ca="1">IFERROR(__xludf.DUMMYFUNCTION("""COMPUTED_VALUE"""),8415.28)</f>
        <v>8415.2800000000007</v>
      </c>
      <c r="E123" s="24" t="str">
        <f ca="1">IFERROR(__xludf.DUMMYFUNCTION("""COMPUTED_VALUE"""),"KG")</f>
        <v>KG</v>
      </c>
      <c r="F123" s="44" t="str">
        <f ca="1">IFERROR(__xludf.DUMMYFUNCTION("""COMPUTED_VALUE"""),"Lácteos y Quesos")</f>
        <v>Lácteos y Quesos</v>
      </c>
      <c r="G123" s="45">
        <f t="shared" ca="1" si="0"/>
        <v>0</v>
      </c>
      <c r="H123" s="45">
        <f t="shared" ca="1" si="1"/>
        <v>0</v>
      </c>
      <c r="I123" s="47">
        <f t="shared" ca="1" si="2"/>
        <v>0</v>
      </c>
      <c r="J123" s="15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9.5" customHeight="1">
      <c r="A124" s="24" t="str">
        <f ca="1">IFERROR(__xludf.DUMMYFUNCTION("""COMPUTED_VALUE"""),"ti-ing-394cb55d-70a0-42fe-8aa8-6190a0ee4eba")</f>
        <v>ti-ing-394cb55d-70a0-42fe-8aa8-6190a0ee4eba</v>
      </c>
      <c r="B124" s="24" t="str">
        <f ca="1">IFERROR(__xludf.DUMMYFUNCTION("""COMPUTED_VALUE"""),"Queso Cheddar")</f>
        <v>Queso Cheddar</v>
      </c>
      <c r="C124" s="24">
        <v>3.27</v>
      </c>
      <c r="D124" s="43">
        <f ca="1">IFERROR(__xludf.DUMMYFUNCTION("""COMPUTED_VALUE"""),7606.608)</f>
        <v>7606.6080000000002</v>
      </c>
      <c r="E124" s="24" t="str">
        <f ca="1">IFERROR(__xludf.DUMMYFUNCTION("""COMPUTED_VALUE"""),"KG")</f>
        <v>KG</v>
      </c>
      <c r="F124" s="44" t="str">
        <f ca="1">IFERROR(__xludf.DUMMYFUNCTION("""COMPUTED_VALUE"""),"Lácteos y Quesos")</f>
        <v>Lácteos y Quesos</v>
      </c>
      <c r="G124" s="45">
        <f t="shared" ca="1" si="0"/>
        <v>24873.60816</v>
      </c>
      <c r="H124" s="45">
        <f t="shared" ca="1" si="1"/>
        <v>4725.9855503999997</v>
      </c>
      <c r="I124" s="47">
        <f t="shared" ca="1" si="2"/>
        <v>29599.5937104</v>
      </c>
      <c r="J124" s="15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9.5" customHeight="1">
      <c r="A125" s="24" t="str">
        <f ca="1">IFERROR(__xludf.DUMMYFUNCTION("""COMPUTED_VALUE"""),"ti-ing-324f9eaf-eb5a-46b5-a6d2-169579eb50d8")</f>
        <v>ti-ing-324f9eaf-eb5a-46b5-a6d2-169579eb50d8</v>
      </c>
      <c r="B125" s="24" t="str">
        <f ca="1">IFERROR(__xludf.DUMMYFUNCTION("""COMPUTED_VALUE"""),"Queso crema KG")</f>
        <v>Queso crema KG</v>
      </c>
      <c r="C125" s="24">
        <v>4.4020000000000001</v>
      </c>
      <c r="D125" s="43">
        <f ca="1">IFERROR(__xludf.DUMMYFUNCTION("""COMPUTED_VALUE"""),7235.278)</f>
        <v>7235.2780000000002</v>
      </c>
      <c r="E125" s="24" t="str">
        <f ca="1">IFERROR(__xludf.DUMMYFUNCTION("""COMPUTED_VALUE"""),"KG")</f>
        <v>KG</v>
      </c>
      <c r="F125" s="44" t="str">
        <f ca="1">IFERROR(__xludf.DUMMYFUNCTION("""COMPUTED_VALUE"""),"Lácteos y Quesos")</f>
        <v>Lácteos y Quesos</v>
      </c>
      <c r="G125" s="45">
        <f t="shared" ca="1" si="0"/>
        <v>31849.693756000001</v>
      </c>
      <c r="H125" s="45">
        <f t="shared" ca="1" si="1"/>
        <v>6051.44181364</v>
      </c>
      <c r="I125" s="47">
        <f t="shared" ca="1" si="2"/>
        <v>37901.135569639999</v>
      </c>
      <c r="J125" s="15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9.5" customHeight="1">
      <c r="A126" s="24" t="str">
        <f ca="1">IFERROR(__xludf.DUMMYFUNCTION("""COMPUTED_VALUE"""),"ti-ing-62682093-03dc-415f-a6a1-8cf0bc2c626e")</f>
        <v>ti-ing-62682093-03dc-415f-a6a1-8cf0bc2c626e</v>
      </c>
      <c r="B126" s="24" t="str">
        <f ca="1">IFERROR(__xludf.DUMMYFUNCTION("""COMPUTED_VALUE"""),"Queso gouda kg")</f>
        <v>Queso gouda kg</v>
      </c>
      <c r="C126" s="24">
        <v>9.2439999999999998</v>
      </c>
      <c r="D126" s="43">
        <f ca="1">IFERROR(__xludf.DUMMYFUNCTION("""COMPUTED_VALUE"""),5212.698)</f>
        <v>5212.6980000000003</v>
      </c>
      <c r="E126" s="24" t="str">
        <f ca="1">IFERROR(__xludf.DUMMYFUNCTION("""COMPUTED_VALUE"""),"KG")</f>
        <v>KG</v>
      </c>
      <c r="F126" s="44" t="str">
        <f ca="1">IFERROR(__xludf.DUMMYFUNCTION("""COMPUTED_VALUE"""),"Lácteos y Quesos")</f>
        <v>Lácteos y Quesos</v>
      </c>
      <c r="G126" s="45">
        <f t="shared" ca="1" si="0"/>
        <v>48186.180312000004</v>
      </c>
      <c r="H126" s="45">
        <f t="shared" ca="1" si="1"/>
        <v>9155.3742592800008</v>
      </c>
      <c r="I126" s="47">
        <f t="shared" ca="1" si="2"/>
        <v>57341.554571280009</v>
      </c>
      <c r="J126" s="15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9.5" customHeight="1">
      <c r="A127" s="24" t="str">
        <f ca="1">IFERROR(__xludf.DUMMYFUNCTION("""COMPUTED_VALUE"""),"ti-ing-ecdb926c-effc-4bbd-9881-dcd99b2ab00d")</f>
        <v>ti-ing-ecdb926c-effc-4bbd-9881-dcd99b2ab00d</v>
      </c>
      <c r="B127" s="24" t="str">
        <f ca="1">IFERROR(__xludf.DUMMYFUNCTION("""COMPUTED_VALUE"""),"Camaron 36/40")</f>
        <v>Camaron 36/40</v>
      </c>
      <c r="C127" s="24">
        <v>3</v>
      </c>
      <c r="D127" s="43">
        <f ca="1">IFERROR(__xludf.DUMMYFUNCTION("""COMPUTED_VALUE"""),6705)</f>
        <v>6705</v>
      </c>
      <c r="E127" s="24" t="str">
        <f ca="1">IFERROR(__xludf.DUMMYFUNCTION("""COMPUTED_VALUE"""),"KG")</f>
        <v>KG</v>
      </c>
      <c r="F127" s="44" t="str">
        <f ca="1">IFERROR(__xludf.DUMMYFUNCTION("""COMPUTED_VALUE"""),"Pescados y Mariscos")</f>
        <v>Pescados y Mariscos</v>
      </c>
      <c r="G127" s="45">
        <f t="shared" ca="1" si="0"/>
        <v>20115</v>
      </c>
      <c r="H127" s="45">
        <f t="shared" ca="1" si="1"/>
        <v>3821.85</v>
      </c>
      <c r="I127" s="47">
        <f t="shared" ca="1" si="2"/>
        <v>23936.85</v>
      </c>
      <c r="J127" s="15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9.5" customHeight="1">
      <c r="A128" s="24" t="str">
        <f ca="1">IFERROR(__xludf.DUMMYFUNCTION("""COMPUTED_VALUE"""),"ti-ing-3dd04f4f-adfa-49b2-96e0-90abb176580b")</f>
        <v>ti-ing-3dd04f4f-adfa-49b2-96e0-90abb176580b</v>
      </c>
      <c r="B128" s="24" t="str">
        <f ca="1">IFERROR(__xludf.DUMMYFUNCTION("""COMPUTED_VALUE"""),"REINETA")</f>
        <v>REINETA</v>
      </c>
      <c r="C128" s="24">
        <v>0</v>
      </c>
      <c r="D128" s="43">
        <f ca="1">IFERROR(__xludf.DUMMYFUNCTION("""COMPUTED_VALUE"""),10900)</f>
        <v>10900</v>
      </c>
      <c r="E128" s="24" t="str">
        <f ca="1">IFERROR(__xludf.DUMMYFUNCTION("""COMPUTED_VALUE"""),"KG")</f>
        <v>KG</v>
      </c>
      <c r="F128" s="44" t="str">
        <f ca="1">IFERROR(__xludf.DUMMYFUNCTION("""COMPUTED_VALUE"""),"Pescados y Mariscos")</f>
        <v>Pescados y Mariscos</v>
      </c>
      <c r="G128" s="45">
        <f t="shared" ca="1" si="0"/>
        <v>0</v>
      </c>
      <c r="H128" s="45">
        <f t="shared" ca="1" si="1"/>
        <v>0</v>
      </c>
      <c r="I128" s="47">
        <f t="shared" ca="1" si="2"/>
        <v>0</v>
      </c>
      <c r="J128" s="15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9.5" customHeight="1">
      <c r="A129" s="24" t="str">
        <f ca="1">IFERROR(__xludf.DUMMYFUNCTION("""COMPUTED_VALUE"""),"ti-ing-793e326a-c51d-446c-a1b0-7a72b70b1794")</f>
        <v>ti-ing-793e326a-c51d-446c-a1b0-7a72b70b1794</v>
      </c>
      <c r="B129" s="24" t="str">
        <f ca="1">IFERROR(__xludf.DUMMYFUNCTION("""COMPUTED_VALUE"""),"Aderezo para crotones")</f>
        <v>Aderezo para crotones</v>
      </c>
      <c r="C129" s="24">
        <v>0</v>
      </c>
      <c r="D129" s="82">
        <f ca="1">IFERROR(__xludf.DUMMYFUNCTION("""COMPUTED_VALUE"""),2500)</f>
        <v>2500</v>
      </c>
      <c r="E129" s="24" t="str">
        <f ca="1">IFERROR(__xludf.DUMMYFUNCTION("""COMPUTED_VALUE"""),"KG")</f>
        <v>KG</v>
      </c>
      <c r="F129" s="44" t="str">
        <f ca="1">IFERROR(__xludf.DUMMYFUNCTION("""COMPUTED_VALUE"""),"Productos Elaborados")</f>
        <v>Productos Elaborados</v>
      </c>
      <c r="G129" s="45">
        <f t="shared" ca="1" si="0"/>
        <v>0</v>
      </c>
      <c r="H129" s="45">
        <f t="shared" ca="1" si="1"/>
        <v>0</v>
      </c>
      <c r="I129" s="47">
        <f t="shared" ca="1" si="2"/>
        <v>0</v>
      </c>
      <c r="J129" s="15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9.5" customHeight="1">
      <c r="A130" s="24" t="str">
        <f ca="1">IFERROR(__xludf.DUMMYFUNCTION("""COMPUTED_VALUE"""),"ti-ing-05be2238-913d-4290-9cd4-f440d8887d3e")</f>
        <v>ti-ing-05be2238-913d-4290-9cd4-f440d8887d3e</v>
      </c>
      <c r="B130" s="24" t="str">
        <f ca="1">IFERROR(__xludf.DUMMYFUNCTION("""COMPUTED_VALUE"""),"Baguette jamon lechuga tomate,salame")</f>
        <v>Baguette jamon lechuga tomate,salame</v>
      </c>
      <c r="C130" s="24">
        <v>8</v>
      </c>
      <c r="D130" s="43">
        <f ca="1">IFERROR(__xludf.DUMMYFUNCTION("""COMPUTED_VALUE"""),800)</f>
        <v>800</v>
      </c>
      <c r="E130" s="24" t="str">
        <f ca="1">IFERROR(__xludf.DUMMYFUNCTION("""COMPUTED_VALUE"""),"UN")</f>
        <v>UN</v>
      </c>
      <c r="F130" s="44" t="str">
        <f ca="1">IFERROR(__xludf.DUMMYFUNCTION("""COMPUTED_VALUE"""),"Productos Elaborados")</f>
        <v>Productos Elaborados</v>
      </c>
      <c r="G130" s="45">
        <f t="shared" ca="1" si="0"/>
        <v>6400</v>
      </c>
      <c r="H130" s="45">
        <f t="shared" ca="1" si="1"/>
        <v>1216</v>
      </c>
      <c r="I130" s="47">
        <f t="shared" ca="1" si="2"/>
        <v>7616</v>
      </c>
      <c r="J130" s="15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9.5" customHeight="1">
      <c r="A131" s="24" t="str">
        <f ca="1">IFERROR(__xludf.DUMMYFUNCTION("""COMPUTED_VALUE"""),"ti-ing-a378583d-145c-4c6c-86b9-6f1b2c7019f1")</f>
        <v>ti-ing-a378583d-145c-4c6c-86b9-6f1b2c7019f1</v>
      </c>
      <c r="B131" s="24" t="str">
        <f ca="1">IFERROR(__xludf.DUMMYFUNCTION("""COMPUTED_VALUE"""),"Baguette queso crema, jamon , rucula")</f>
        <v>Baguette queso crema, jamon , rucula</v>
      </c>
      <c r="C131" s="24">
        <v>18</v>
      </c>
      <c r="D131" s="43">
        <f ca="1">IFERROR(__xludf.DUMMYFUNCTION("""COMPUTED_VALUE"""),800)</f>
        <v>800</v>
      </c>
      <c r="E131" s="24" t="str">
        <f ca="1">IFERROR(__xludf.DUMMYFUNCTION("""COMPUTED_VALUE"""),"UN")</f>
        <v>UN</v>
      </c>
      <c r="F131" s="44" t="str">
        <f ca="1">IFERROR(__xludf.DUMMYFUNCTION("""COMPUTED_VALUE"""),"Productos Elaborados")</f>
        <v>Productos Elaborados</v>
      </c>
      <c r="G131" s="45">
        <f t="shared" ca="1" si="0"/>
        <v>14400</v>
      </c>
      <c r="H131" s="45">
        <f t="shared" ca="1" si="1"/>
        <v>2736</v>
      </c>
      <c r="I131" s="47">
        <f t="shared" ca="1" si="2"/>
        <v>17136</v>
      </c>
      <c r="J131" s="15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9.5" customHeight="1">
      <c r="A132" s="24" t="str">
        <f ca="1">IFERROR(__xludf.DUMMYFUNCTION("""COMPUTED_VALUE"""),"ti-ing-c75016b9-53c7-477c-9b89-9a5d7585640f")</f>
        <v>ti-ing-c75016b9-53c7-477c-9b89-9a5d7585640f</v>
      </c>
      <c r="B132" s="24" t="str">
        <f ca="1">IFERROR(__xludf.DUMMYFUNCTION("""COMPUTED_VALUE"""),"Caprese, (queso tomate albahaca)")</f>
        <v>Caprese, (queso tomate albahaca)</v>
      </c>
      <c r="C132" s="24">
        <v>0</v>
      </c>
      <c r="D132" s="43">
        <f ca="1">IFERROR(__xludf.DUMMYFUNCTION("""COMPUTED_VALUE"""),1500)</f>
        <v>1500</v>
      </c>
      <c r="E132" s="24" t="str">
        <f ca="1">IFERROR(__xludf.DUMMYFUNCTION("""COMPUTED_VALUE"""),"UN")</f>
        <v>UN</v>
      </c>
      <c r="F132" s="44" t="str">
        <f ca="1">IFERROR(__xludf.DUMMYFUNCTION("""COMPUTED_VALUE"""),"Productos Elaborados")</f>
        <v>Productos Elaborados</v>
      </c>
      <c r="G132" s="45">
        <f t="shared" ca="1" si="0"/>
        <v>0</v>
      </c>
      <c r="H132" s="45">
        <f t="shared" ca="1" si="1"/>
        <v>0</v>
      </c>
      <c r="I132" s="47">
        <f t="shared" ca="1" si="2"/>
        <v>0</v>
      </c>
      <c r="J132" s="15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9.5" customHeight="1">
      <c r="A133" s="24"/>
      <c r="B133" s="24" t="str">
        <f ca="1">IFERROR(__xludf.DUMMYFUNCTION("""COMPUTED_VALUE"""),"cebollla caramelizada ")</f>
        <v xml:space="preserve">cebollla caramelizada </v>
      </c>
      <c r="C133" s="24">
        <v>0</v>
      </c>
      <c r="D133" s="82">
        <f ca="1">IFERROR(__xludf.DUMMYFUNCTION("""COMPUTED_VALUE"""),2500)</f>
        <v>2500</v>
      </c>
      <c r="E133" s="24" t="str">
        <f ca="1">IFERROR(__xludf.DUMMYFUNCTION("""COMPUTED_VALUE"""),"KG")</f>
        <v>KG</v>
      </c>
      <c r="F133" s="44" t="str">
        <f ca="1">IFERROR(__xludf.DUMMYFUNCTION("""COMPUTED_VALUE"""),"Productos Elaborados")</f>
        <v>Productos Elaborados</v>
      </c>
      <c r="G133" s="45">
        <f t="shared" ca="1" si="0"/>
        <v>0</v>
      </c>
      <c r="H133" s="45">
        <f t="shared" ca="1" si="1"/>
        <v>0</v>
      </c>
      <c r="I133" s="47">
        <f t="shared" ca="1" si="2"/>
        <v>0</v>
      </c>
      <c r="J133" s="15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9.5" customHeight="1">
      <c r="A134" s="24" t="str">
        <f ca="1">IFERROR(__xludf.DUMMYFUNCTION("""COMPUTED_VALUE"""),"ti-ing-0e4e529b-91b8-4c4a-92fe-3d5064baa651")</f>
        <v>ti-ing-0e4e529b-91b8-4c4a-92fe-3d5064baa651</v>
      </c>
      <c r="B134" s="24" t="str">
        <f ca="1">IFERROR(__xludf.DUMMYFUNCTION("""COMPUTED_VALUE"""),"Chicken bowl")</f>
        <v>Chicken bowl</v>
      </c>
      <c r="C134" s="24">
        <v>0</v>
      </c>
      <c r="D134" s="43">
        <f ca="1">IFERROR(__xludf.DUMMYFUNCTION("""COMPUTED_VALUE"""),2500)</f>
        <v>2500</v>
      </c>
      <c r="E134" s="24" t="str">
        <f ca="1">IFERROR(__xludf.DUMMYFUNCTION("""COMPUTED_VALUE"""),"UN")</f>
        <v>UN</v>
      </c>
      <c r="F134" s="44" t="str">
        <f ca="1">IFERROR(__xludf.DUMMYFUNCTION("""COMPUTED_VALUE"""),"Productos Elaborados")</f>
        <v>Productos Elaborados</v>
      </c>
      <c r="G134" s="45">
        <f t="shared" ca="1" si="0"/>
        <v>0</v>
      </c>
      <c r="H134" s="45">
        <f t="shared" ca="1" si="1"/>
        <v>0</v>
      </c>
      <c r="I134" s="47">
        <f t="shared" ca="1" si="2"/>
        <v>0</v>
      </c>
      <c r="J134" s="15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9.5" customHeight="1">
      <c r="A135" s="24" t="str">
        <f ca="1">IFERROR(__xludf.DUMMYFUNCTION("""COMPUTED_VALUE"""),"ti-ing-9772d9be-68ae-4ae1-8101-c9ccbbf7e8f1")</f>
        <v>ti-ing-9772d9be-68ae-4ae1-8101-c9ccbbf7e8f1</v>
      </c>
      <c r="B135" s="24" t="str">
        <f ca="1">IFERROR(__xludf.DUMMYFUNCTION("""COMPUTED_VALUE"""),"Ciabatta")</f>
        <v>Ciabatta</v>
      </c>
      <c r="C135" s="24">
        <v>0</v>
      </c>
      <c r="D135" s="43">
        <f ca="1">IFERROR(__xludf.DUMMYFUNCTION("""COMPUTED_VALUE"""),1315.67)</f>
        <v>1315.67</v>
      </c>
      <c r="E135" s="24" t="str">
        <f ca="1">IFERROR(__xludf.DUMMYFUNCTION("""COMPUTED_VALUE"""),"KG")</f>
        <v>KG</v>
      </c>
      <c r="F135" s="44" t="str">
        <f ca="1">IFERROR(__xludf.DUMMYFUNCTION("""COMPUTED_VALUE"""),"Productos Elaborados")</f>
        <v>Productos Elaborados</v>
      </c>
      <c r="G135" s="45">
        <f t="shared" ca="1" si="0"/>
        <v>0</v>
      </c>
      <c r="H135" s="45">
        <f t="shared" ca="1" si="1"/>
        <v>0</v>
      </c>
      <c r="I135" s="47">
        <f t="shared" ca="1" si="2"/>
        <v>0</v>
      </c>
      <c r="J135" s="15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9.5" customHeight="1">
      <c r="A136" s="24" t="str">
        <f ca="1">IFERROR(__xludf.DUMMYFUNCTION("""COMPUTED_VALUE"""),"ti-ing-36c2f8ce-3f60-4a52-9f14-503c24abcaf4")</f>
        <v>ti-ing-36c2f8ce-3f60-4a52-9f14-503c24abcaf4</v>
      </c>
      <c r="B136" s="24" t="str">
        <f ca="1">IFERROR(__xludf.DUMMYFUNCTION("""COMPUTED_VALUE"""),"Ciabatta integral semillas ")</f>
        <v xml:space="preserve">Ciabatta integral semillas </v>
      </c>
      <c r="C136" s="24">
        <v>0</v>
      </c>
      <c r="D136" s="43">
        <f ca="1">IFERROR(__xludf.DUMMYFUNCTION("""COMPUTED_VALUE"""),300)</f>
        <v>300</v>
      </c>
      <c r="E136" s="24" t="str">
        <f ca="1">IFERROR(__xludf.DUMMYFUNCTION("""COMPUTED_VALUE"""),"KG")</f>
        <v>KG</v>
      </c>
      <c r="F136" s="44" t="str">
        <f ca="1">IFERROR(__xludf.DUMMYFUNCTION("""COMPUTED_VALUE"""),"Productos Elaborados")</f>
        <v>Productos Elaborados</v>
      </c>
      <c r="G136" s="45">
        <f t="shared" ca="1" si="0"/>
        <v>0</v>
      </c>
      <c r="H136" s="45">
        <f t="shared" ca="1" si="1"/>
        <v>0</v>
      </c>
      <c r="I136" s="47">
        <f t="shared" ca="1" si="2"/>
        <v>0</v>
      </c>
      <c r="J136" s="15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9.5" customHeight="1">
      <c r="A137" s="24" t="str">
        <f ca="1">IFERROR(__xludf.DUMMYFUNCTION("""COMPUTED_VALUE"""),"ti-ing-86dda2ed-6250-4ef9-9121-ed2cfc92c5e6")</f>
        <v>ti-ing-86dda2ed-6250-4ef9-9121-ed2cfc92c5e6</v>
      </c>
      <c r="B137" s="24" t="str">
        <f ca="1">IFERROR(__xludf.DUMMYFUNCTION("""COMPUTED_VALUE"""),"Ciabatta semillas sandwich")</f>
        <v>Ciabatta semillas sandwich</v>
      </c>
      <c r="C137" s="24">
        <v>0</v>
      </c>
      <c r="D137" s="43">
        <f ca="1">IFERROR(__xludf.DUMMYFUNCTION("""COMPUTED_VALUE"""),300)</f>
        <v>300</v>
      </c>
      <c r="E137" s="24" t="str">
        <f ca="1">IFERROR(__xludf.DUMMYFUNCTION("""COMPUTED_VALUE"""),"UN")</f>
        <v>UN</v>
      </c>
      <c r="F137" s="44" t="str">
        <f ca="1">IFERROR(__xludf.DUMMYFUNCTION("""COMPUTED_VALUE"""),"Productos Elaborados")</f>
        <v>Productos Elaborados</v>
      </c>
      <c r="G137" s="45">
        <f t="shared" ca="1" si="0"/>
        <v>0</v>
      </c>
      <c r="H137" s="45">
        <f t="shared" ca="1" si="1"/>
        <v>0</v>
      </c>
      <c r="I137" s="47">
        <f t="shared" ca="1" si="2"/>
        <v>0</v>
      </c>
      <c r="J137" s="15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9.5" customHeight="1">
      <c r="A138" s="24" t="str">
        <f ca="1">IFERROR(__xludf.DUMMYFUNCTION("""COMPUTED_VALUE"""),"ti-ing-44241e67-c82b-428d-ba7c-986da86900c1")</f>
        <v>ti-ing-44241e67-c82b-428d-ba7c-986da86900c1</v>
      </c>
      <c r="B138" s="24" t="str">
        <f ca="1">IFERROR(__xludf.DUMMYFUNCTION("""COMPUTED_VALUE"""),"COBB DEL CAMPO")</f>
        <v>COBB DEL CAMPO</v>
      </c>
      <c r="C138" s="24">
        <v>7</v>
      </c>
      <c r="D138" s="43">
        <f ca="1">IFERROR(__xludf.DUMMYFUNCTION("""COMPUTED_VALUE"""),2000)</f>
        <v>2000</v>
      </c>
      <c r="E138" s="24" t="str">
        <f ca="1">IFERROR(__xludf.DUMMYFUNCTION("""COMPUTED_VALUE"""),"UN")</f>
        <v>UN</v>
      </c>
      <c r="F138" s="44" t="str">
        <f ca="1">IFERROR(__xludf.DUMMYFUNCTION("""COMPUTED_VALUE"""),"Productos Elaborados")</f>
        <v>Productos Elaborados</v>
      </c>
      <c r="G138" s="45">
        <f t="shared" ca="1" si="0"/>
        <v>14000</v>
      </c>
      <c r="H138" s="45">
        <f t="shared" ca="1" si="1"/>
        <v>2660</v>
      </c>
      <c r="I138" s="47">
        <f t="shared" ca="1" si="2"/>
        <v>16660</v>
      </c>
      <c r="J138" s="15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9.5" customHeight="1">
      <c r="A139" s="24" t="str">
        <f ca="1">IFERROR(__xludf.DUMMYFUNCTION("""COMPUTED_VALUE"""),"ti-ing-4264b4d8-2063-4b41-b98b-f349dcdd3ee1")</f>
        <v>ti-ing-4264b4d8-2063-4b41-b98b-f349dcdd3ee1</v>
      </c>
      <c r="B139" s="24" t="str">
        <f ca="1">IFERROR(__xludf.DUMMYFUNCTION("""COMPUTED_VALUE"""),"Croissant 140 base")</f>
        <v>Croissant 140 base</v>
      </c>
      <c r="C139" s="24">
        <v>9</v>
      </c>
      <c r="D139" s="43">
        <f ca="1">IFERROR(__xludf.DUMMYFUNCTION("""COMPUTED_VALUE"""),571)</f>
        <v>571</v>
      </c>
      <c r="E139" s="24" t="str">
        <f ca="1">IFERROR(__xludf.DUMMYFUNCTION("""COMPUTED_VALUE"""),"UN")</f>
        <v>UN</v>
      </c>
      <c r="F139" s="44" t="str">
        <f ca="1">IFERROR(__xludf.DUMMYFUNCTION("""COMPUTED_VALUE"""),"Productos Elaborados")</f>
        <v>Productos Elaborados</v>
      </c>
      <c r="G139" s="45">
        <f t="shared" ca="1" si="0"/>
        <v>5139</v>
      </c>
      <c r="H139" s="45">
        <f t="shared" ca="1" si="1"/>
        <v>976.41</v>
      </c>
      <c r="I139" s="47">
        <f t="shared" ca="1" si="2"/>
        <v>6115.41</v>
      </c>
      <c r="J139" s="15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9.5" customHeight="1">
      <c r="A140" s="24" t="str">
        <f ca="1">IFERROR(__xludf.DUMMYFUNCTION("""COMPUTED_VALUE"""),"ti-ing-11586505-0d9e-453b-ab1e-c16f8f20aeb8")</f>
        <v>ti-ing-11586505-0d9e-453b-ab1e-c16f8f20aeb8</v>
      </c>
      <c r="B140" s="24" t="str">
        <f ca="1">IFERROR(__xludf.DUMMYFUNCTION("""COMPUTED_VALUE"""),"Croissant americano")</f>
        <v>Croissant americano</v>
      </c>
      <c r="C140" s="24">
        <v>11</v>
      </c>
      <c r="D140" s="43">
        <f ca="1">IFERROR(__xludf.DUMMYFUNCTION("""COMPUTED_VALUE"""),650)</f>
        <v>650</v>
      </c>
      <c r="E140" s="24" t="str">
        <f ca="1">IFERROR(__xludf.DUMMYFUNCTION("""COMPUTED_VALUE"""),"UN")</f>
        <v>UN</v>
      </c>
      <c r="F140" s="44" t="str">
        <f ca="1">IFERROR(__xludf.DUMMYFUNCTION("""COMPUTED_VALUE"""),"Productos Elaborados")</f>
        <v>Productos Elaborados</v>
      </c>
      <c r="G140" s="45">
        <f t="shared" ca="1" si="0"/>
        <v>7150</v>
      </c>
      <c r="H140" s="45">
        <f t="shared" ca="1" si="1"/>
        <v>1358.5</v>
      </c>
      <c r="I140" s="47">
        <f t="shared" ca="1" si="2"/>
        <v>8508.5</v>
      </c>
      <c r="J140" s="15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9.5" customHeight="1">
      <c r="A141" s="24" t="str">
        <f ca="1">IFERROR(__xludf.DUMMYFUNCTION("""COMPUTED_VALUE"""),"ti-ing-77833d98-8cb6-471d-8d32-5d23fff65977")</f>
        <v>ti-ing-77833d98-8cb6-471d-8d32-5d23fff65977</v>
      </c>
      <c r="B141" s="24" t="str">
        <f ca="1">IFERROR(__xludf.DUMMYFUNCTION("""COMPUTED_VALUE"""),"Croissant ave mayo")</f>
        <v>Croissant ave mayo</v>
      </c>
      <c r="C141" s="24">
        <v>3</v>
      </c>
      <c r="D141" s="43">
        <f ca="1">IFERROR(__xludf.DUMMYFUNCTION("""COMPUTED_VALUE"""),650)</f>
        <v>650</v>
      </c>
      <c r="E141" s="24" t="str">
        <f ca="1">IFERROR(__xludf.DUMMYFUNCTION("""COMPUTED_VALUE"""),"UN")</f>
        <v>UN</v>
      </c>
      <c r="F141" s="44" t="str">
        <f ca="1">IFERROR(__xludf.DUMMYFUNCTION("""COMPUTED_VALUE"""),"Productos Elaborados")</f>
        <v>Productos Elaborados</v>
      </c>
      <c r="G141" s="45">
        <f t="shared" ca="1" si="0"/>
        <v>1950</v>
      </c>
      <c r="H141" s="45">
        <f t="shared" ca="1" si="1"/>
        <v>370.5</v>
      </c>
      <c r="I141" s="47">
        <f t="shared" ca="1" si="2"/>
        <v>2320.5</v>
      </c>
      <c r="J141" s="15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9.5" customHeight="1">
      <c r="A142" s="24" t="str">
        <f ca="1">IFERROR(__xludf.DUMMYFUNCTION("""COMPUTED_VALUE"""),"ti-ing-4d76446e-8596-485c-abfe-24a2c90231f5")</f>
        <v>ti-ing-4d76446e-8596-485c-abfe-24a2c90231f5</v>
      </c>
      <c r="B142" s="24" t="str">
        <f ca="1">IFERROR(__xludf.DUMMYFUNCTION("""COMPUTED_VALUE"""),"Croissant jamon queso")</f>
        <v>Croissant jamon queso</v>
      </c>
      <c r="C142" s="24">
        <v>8</v>
      </c>
      <c r="D142" s="43">
        <f ca="1">IFERROR(__xludf.DUMMYFUNCTION("""COMPUTED_VALUE"""),650)</f>
        <v>650</v>
      </c>
      <c r="E142" s="24" t="str">
        <f ca="1">IFERROR(__xludf.DUMMYFUNCTION("""COMPUTED_VALUE"""),"UN")</f>
        <v>UN</v>
      </c>
      <c r="F142" s="44" t="str">
        <f ca="1">IFERROR(__xludf.DUMMYFUNCTION("""COMPUTED_VALUE"""),"Productos Elaborados")</f>
        <v>Productos Elaborados</v>
      </c>
      <c r="G142" s="45">
        <f t="shared" ca="1" si="0"/>
        <v>5200</v>
      </c>
      <c r="H142" s="45">
        <f t="shared" ca="1" si="1"/>
        <v>988</v>
      </c>
      <c r="I142" s="47">
        <f t="shared" ca="1" si="2"/>
        <v>6188</v>
      </c>
      <c r="J142" s="15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9.5" customHeight="1">
      <c r="A143" s="24" t="str">
        <f ca="1">IFERROR(__xludf.DUMMYFUNCTION("""COMPUTED_VALUE"""),"ti-ing-7812aaa4-e1af-40cf-a808-503971a007f1")</f>
        <v>ti-ing-7812aaa4-e1af-40cf-a808-503971a007f1</v>
      </c>
      <c r="B143" s="24" t="str">
        <f ca="1">IFERROR(__xludf.DUMMYFUNCTION("""COMPUTED_VALUE"""),"Croque monseriur")</f>
        <v>Croque monseriur</v>
      </c>
      <c r="C143" s="24">
        <v>0</v>
      </c>
      <c r="D143" s="43">
        <f ca="1">IFERROR(__xludf.DUMMYFUNCTION("""COMPUTED_VALUE"""),2500)</f>
        <v>2500</v>
      </c>
      <c r="E143" s="24" t="str">
        <f ca="1">IFERROR(__xludf.DUMMYFUNCTION("""COMPUTED_VALUE"""),"UN")</f>
        <v>UN</v>
      </c>
      <c r="F143" s="44" t="str">
        <f ca="1">IFERROR(__xludf.DUMMYFUNCTION("""COMPUTED_VALUE"""),"Productos Elaborados")</f>
        <v>Productos Elaborados</v>
      </c>
      <c r="G143" s="45">
        <f t="shared" ca="1" si="0"/>
        <v>0</v>
      </c>
      <c r="H143" s="45">
        <f t="shared" ca="1" si="1"/>
        <v>0</v>
      </c>
      <c r="I143" s="47">
        <f t="shared" ca="1" si="2"/>
        <v>0</v>
      </c>
      <c r="J143" s="15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9.5" customHeight="1">
      <c r="A144" s="24" t="str">
        <f ca="1">IFERROR(__xludf.DUMMYFUNCTION("""COMPUTED_VALUE"""),"ti-ing-ce48bbcb-56ff-4884-81c6-ec6f6ace9d60")</f>
        <v>ti-ing-ce48bbcb-56ff-4884-81c6-ec6f6ace9d60</v>
      </c>
      <c r="B144" s="24" t="str">
        <f ca="1">IFERROR(__xludf.DUMMYFUNCTION("""COMPUTED_VALUE"""),"Empanada Camaron Queso")</f>
        <v>Empanada Camaron Queso</v>
      </c>
      <c r="C144" s="24">
        <v>0</v>
      </c>
      <c r="D144" s="43">
        <f ca="1">IFERROR(__xludf.DUMMYFUNCTION("""COMPUTED_VALUE"""),850)</f>
        <v>850</v>
      </c>
      <c r="E144" s="24" t="str">
        <f ca="1">IFERROR(__xludf.DUMMYFUNCTION("""COMPUTED_VALUE"""),"UN")</f>
        <v>UN</v>
      </c>
      <c r="F144" s="44" t="str">
        <f ca="1">IFERROR(__xludf.DUMMYFUNCTION("""COMPUTED_VALUE"""),"Productos Elaborados")</f>
        <v>Productos Elaborados</v>
      </c>
      <c r="G144" s="45">
        <f t="shared" ca="1" si="0"/>
        <v>0</v>
      </c>
      <c r="H144" s="45">
        <f t="shared" ca="1" si="1"/>
        <v>0</v>
      </c>
      <c r="I144" s="47">
        <f t="shared" ca="1" si="2"/>
        <v>0</v>
      </c>
      <c r="J144" s="15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9.5" customHeight="1">
      <c r="A145" s="24" t="str">
        <f ca="1">IFERROR(__xludf.DUMMYFUNCTION("""COMPUTED_VALUE"""),"ti-ing-8049a4fb-a9e4-4157-85dc-384f65313e52")</f>
        <v>ti-ing-8049a4fb-a9e4-4157-85dc-384f65313e52</v>
      </c>
      <c r="B145" s="24" t="str">
        <f ca="1">IFERROR(__xludf.DUMMYFUNCTION("""COMPUTED_VALUE"""),"Empanada de pino")</f>
        <v>Empanada de pino</v>
      </c>
      <c r="C145" s="24">
        <v>1</v>
      </c>
      <c r="D145" s="43">
        <f ca="1">IFERROR(__xludf.DUMMYFUNCTION("""COMPUTED_VALUE"""),850)</f>
        <v>850</v>
      </c>
      <c r="E145" s="24" t="str">
        <f ca="1">IFERROR(__xludf.DUMMYFUNCTION("""COMPUTED_VALUE"""),"un")</f>
        <v>un</v>
      </c>
      <c r="F145" s="44" t="str">
        <f ca="1">IFERROR(__xludf.DUMMYFUNCTION("""COMPUTED_VALUE"""),"Productos Elaborados")</f>
        <v>Productos Elaborados</v>
      </c>
      <c r="G145" s="45">
        <f t="shared" ca="1" si="0"/>
        <v>850</v>
      </c>
      <c r="H145" s="45">
        <f t="shared" ca="1" si="1"/>
        <v>161.5</v>
      </c>
      <c r="I145" s="47">
        <f t="shared" ca="1" si="2"/>
        <v>1011.5</v>
      </c>
      <c r="J145" s="15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9.5" customHeight="1">
      <c r="A146" s="24" t="str">
        <f ca="1">IFERROR(__xludf.DUMMYFUNCTION("""COMPUTED_VALUE"""),"ti-ing-e3a99d1d-11ef-4653-8ebb-d9ad8e15d2d1")</f>
        <v>ti-ing-e3a99d1d-11ef-4653-8ebb-d9ad8e15d2d1</v>
      </c>
      <c r="B146" s="24" t="str">
        <f ca="1">IFERROR(__xludf.DUMMYFUNCTION("""COMPUTED_VALUE"""),"Empanada napolitana")</f>
        <v>Empanada napolitana</v>
      </c>
      <c r="C146" s="24">
        <v>1</v>
      </c>
      <c r="D146" s="43">
        <f ca="1">IFERROR(__xludf.DUMMYFUNCTION("""COMPUTED_VALUE"""),850)</f>
        <v>850</v>
      </c>
      <c r="E146" s="24" t="str">
        <f ca="1">IFERROR(__xludf.DUMMYFUNCTION("""COMPUTED_VALUE"""),"UN")</f>
        <v>UN</v>
      </c>
      <c r="F146" s="44" t="str">
        <f ca="1">IFERROR(__xludf.DUMMYFUNCTION("""COMPUTED_VALUE"""),"Productos Elaborados")</f>
        <v>Productos Elaborados</v>
      </c>
      <c r="G146" s="45">
        <f t="shared" ca="1" si="0"/>
        <v>850</v>
      </c>
      <c r="H146" s="45">
        <f t="shared" ca="1" si="1"/>
        <v>161.5</v>
      </c>
      <c r="I146" s="47">
        <f t="shared" ca="1" si="2"/>
        <v>1011.5</v>
      </c>
      <c r="J146" s="15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9.5" customHeight="1">
      <c r="A147" s="24" t="str">
        <f ca="1">IFERROR(__xludf.DUMMYFUNCTION("""COMPUTED_VALUE"""),"ti-ing-3622e28c-4496-4ac4-b200-7ca115e04875")</f>
        <v>ti-ing-3622e28c-4496-4ac4-b200-7ca115e04875</v>
      </c>
      <c r="B147" s="24" t="str">
        <f ca="1">IFERROR(__xludf.DUMMYFUNCTION("""COMPUTED_VALUE"""),"Empanada Queso champíñon")</f>
        <v>Empanada Queso champíñon</v>
      </c>
      <c r="C147" s="24">
        <v>1</v>
      </c>
      <c r="D147" s="43">
        <f ca="1">IFERROR(__xludf.DUMMYFUNCTION("""COMPUTED_VALUE"""),850)</f>
        <v>850</v>
      </c>
      <c r="E147" s="24" t="str">
        <f ca="1">IFERROR(__xludf.DUMMYFUNCTION("""COMPUTED_VALUE"""),"UN")</f>
        <v>UN</v>
      </c>
      <c r="F147" s="44" t="str">
        <f ca="1">IFERROR(__xludf.DUMMYFUNCTION("""COMPUTED_VALUE"""),"Productos Elaborados")</f>
        <v>Productos Elaborados</v>
      </c>
      <c r="G147" s="45">
        <f t="shared" ca="1" si="0"/>
        <v>850</v>
      </c>
      <c r="H147" s="45">
        <f t="shared" ca="1" si="1"/>
        <v>161.5</v>
      </c>
      <c r="I147" s="47">
        <f t="shared" ca="1" si="2"/>
        <v>1011.5</v>
      </c>
      <c r="J147" s="15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9.5" customHeight="1">
      <c r="A148" s="24" t="str">
        <f ca="1">IFERROR(__xludf.DUMMYFUNCTION("""COMPUTED_VALUE"""),"ti-ing-a54d8eda-c295-4b5f-91ae-7d7c3ed26908")</f>
        <v>ti-ing-a54d8eda-c295-4b5f-91ae-7d7c3ed26908</v>
      </c>
      <c r="B148" s="24" t="str">
        <f ca="1">IFERROR(__xludf.DUMMYFUNCTION("""COMPUTED_VALUE"""),"ENSALADA CESAR")</f>
        <v>ENSALADA CESAR</v>
      </c>
      <c r="C148" s="24">
        <v>0</v>
      </c>
      <c r="D148" s="43">
        <f ca="1">IFERROR(__xludf.DUMMYFUNCTION("""COMPUTED_VALUE"""),1500)</f>
        <v>1500</v>
      </c>
      <c r="E148" s="24" t="str">
        <f ca="1">IFERROR(__xludf.DUMMYFUNCTION("""COMPUTED_VALUE"""),"UN")</f>
        <v>UN</v>
      </c>
      <c r="F148" s="44" t="str">
        <f ca="1">IFERROR(__xludf.DUMMYFUNCTION("""COMPUTED_VALUE"""),"Productos Elaborados")</f>
        <v>Productos Elaborados</v>
      </c>
      <c r="G148" s="45">
        <f t="shared" ca="1" si="0"/>
        <v>0</v>
      </c>
      <c r="H148" s="45">
        <f t="shared" ca="1" si="1"/>
        <v>0</v>
      </c>
      <c r="I148" s="47">
        <f t="shared" ca="1" si="2"/>
        <v>0</v>
      </c>
      <c r="J148" s="15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9.5" customHeight="1">
      <c r="A149" s="24" t="str">
        <f ca="1">IFERROR(__xludf.DUMMYFUNCTION("""COMPUTED_VALUE"""),"ti-ing-23fdc89f-36ef-4620-ba52-752d4cf69a01")</f>
        <v>ti-ing-23fdc89f-36ef-4620-ba52-752d4cf69a01</v>
      </c>
      <c r="B149" s="24" t="str">
        <f ca="1">IFERROR(__xludf.DUMMYFUNCTION("""COMPUTED_VALUE"""),"Focaccia ")</f>
        <v xml:space="preserve">Focaccia </v>
      </c>
      <c r="C149" s="24">
        <v>0</v>
      </c>
      <c r="D149" s="43">
        <f ca="1">IFERROR(__xludf.DUMMYFUNCTION("""COMPUTED_VALUE"""),729)</f>
        <v>729</v>
      </c>
      <c r="E149" s="24" t="str">
        <f ca="1">IFERROR(__xludf.DUMMYFUNCTION("""COMPUTED_VALUE"""),"UN")</f>
        <v>UN</v>
      </c>
      <c r="F149" s="44" t="str">
        <f ca="1">IFERROR(__xludf.DUMMYFUNCTION("""COMPUTED_VALUE"""),"Productos Elaborados")</f>
        <v>Productos Elaborados</v>
      </c>
      <c r="G149" s="45">
        <f t="shared" ca="1" si="0"/>
        <v>0</v>
      </c>
      <c r="H149" s="45">
        <f t="shared" ca="1" si="1"/>
        <v>0</v>
      </c>
      <c r="I149" s="47">
        <f t="shared" ca="1" si="2"/>
        <v>0</v>
      </c>
      <c r="J149" s="15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9.5" customHeight="1">
      <c r="A150" s="24" t="str">
        <f ca="1">IFERROR(__xludf.DUMMYFUNCTION("""COMPUTED_VALUE"""),"ti-ing-16d711f1-e4bd-49d3-85f4-7dd3e05b588b")</f>
        <v>ti-ing-16d711f1-e4bd-49d3-85f4-7dd3e05b588b</v>
      </c>
      <c r="B150" s="24" t="str">
        <f ca="1">IFERROR(__xludf.DUMMYFUNCTION("""COMPUTED_VALUE"""),"Focaccia Sandwich")</f>
        <v>Focaccia Sandwich</v>
      </c>
      <c r="C150" s="24">
        <v>0</v>
      </c>
      <c r="D150" s="43">
        <f ca="1">IFERROR(__xludf.DUMMYFUNCTION("""COMPUTED_VALUE"""),800)</f>
        <v>800</v>
      </c>
      <c r="E150" s="24" t="str">
        <f ca="1">IFERROR(__xludf.DUMMYFUNCTION("""COMPUTED_VALUE"""),"UN")</f>
        <v>UN</v>
      </c>
      <c r="F150" s="44" t="str">
        <f ca="1">IFERROR(__xludf.DUMMYFUNCTION("""COMPUTED_VALUE"""),"Productos Elaborados")</f>
        <v>Productos Elaborados</v>
      </c>
      <c r="G150" s="45">
        <f t="shared" ca="1" si="0"/>
        <v>0</v>
      </c>
      <c r="H150" s="45">
        <f t="shared" ca="1" si="1"/>
        <v>0</v>
      </c>
      <c r="I150" s="47">
        <f t="shared" ca="1" si="2"/>
        <v>0</v>
      </c>
      <c r="J150" s="15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9.5" customHeight="1">
      <c r="A151" s="24" t="str">
        <f ca="1">IFERROR(__xludf.DUMMYFUNCTION("""COMPUTED_VALUE"""),"ti-ing-75ba9837-ada2-47c9-8144-1df6f485a444")</f>
        <v>ti-ing-75ba9837-ada2-47c9-8144-1df6f485a444</v>
      </c>
      <c r="B151" s="24" t="str">
        <f ca="1">IFERROR(__xludf.DUMMYFUNCTION("""COMPUTED_VALUE"""),"LASAÑA")</f>
        <v>LASAÑA</v>
      </c>
      <c r="C151" s="24">
        <v>9</v>
      </c>
      <c r="D151" s="43">
        <f ca="1">IFERROR(__xludf.DUMMYFUNCTION("""COMPUTED_VALUE"""),2000)</f>
        <v>2000</v>
      </c>
      <c r="E151" s="24" t="str">
        <f ca="1">IFERROR(__xludf.DUMMYFUNCTION("""COMPUTED_VALUE"""),"UN")</f>
        <v>UN</v>
      </c>
      <c r="F151" s="44" t="str">
        <f ca="1">IFERROR(__xludf.DUMMYFUNCTION("""COMPUTED_VALUE"""),"Productos Elaborados")</f>
        <v>Productos Elaborados</v>
      </c>
      <c r="G151" s="45">
        <f t="shared" ca="1" si="0"/>
        <v>18000</v>
      </c>
      <c r="H151" s="45">
        <f t="shared" ca="1" si="1"/>
        <v>3420</v>
      </c>
      <c r="I151" s="47">
        <f t="shared" ca="1" si="2"/>
        <v>21420</v>
      </c>
      <c r="J151" s="15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9.5" customHeight="1">
      <c r="A152" s="24" t="str">
        <f ca="1">IFERROR(__xludf.DUMMYFUNCTION("""COMPUTED_VALUE"""),"ti-ing-cfca69d1-d4c1-47d4-a2e3-39448a32e40a")</f>
        <v>ti-ing-cfca69d1-d4c1-47d4-a2e3-39448a32e40a</v>
      </c>
      <c r="B152" s="24" t="str">
        <f ca="1">IFERROR(__xludf.DUMMYFUNCTION("""COMPUTED_VALUE"""),"Masa empanadas")</f>
        <v>Masa empanadas</v>
      </c>
      <c r="C152" s="24">
        <v>47</v>
      </c>
      <c r="D152" s="43">
        <f ca="1">IFERROR(__xludf.DUMMYFUNCTION("""COMPUTED_VALUE"""),157.94)</f>
        <v>157.94</v>
      </c>
      <c r="E152" s="24" t="str">
        <f ca="1">IFERROR(__xludf.DUMMYFUNCTION("""COMPUTED_VALUE"""),"KG")</f>
        <v>KG</v>
      </c>
      <c r="F152" s="44" t="str">
        <f ca="1">IFERROR(__xludf.DUMMYFUNCTION("""COMPUTED_VALUE"""),"Productos Elaborados")</f>
        <v>Productos Elaborados</v>
      </c>
      <c r="G152" s="45">
        <f t="shared" ca="1" si="0"/>
        <v>7423.18</v>
      </c>
      <c r="H152" s="45">
        <f t="shared" ca="1" si="1"/>
        <v>1410.4042000000002</v>
      </c>
      <c r="I152" s="47">
        <f t="shared" ca="1" si="2"/>
        <v>8833.5842000000011</v>
      </c>
      <c r="J152" s="15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9.5" customHeight="1">
      <c r="A153" s="24"/>
      <c r="B153" s="24" t="str">
        <f ca="1">IFERROR(__xludf.DUMMYFUNCTION("""COMPUTED_VALUE"""),"mayonesa al pesto ")</f>
        <v xml:space="preserve">mayonesa al pesto </v>
      </c>
      <c r="C153" s="24">
        <v>0.68200000000000005</v>
      </c>
      <c r="D153" s="82">
        <f ca="1">IFERROR(__xludf.DUMMYFUNCTION("""COMPUTED_VALUE"""),3500)</f>
        <v>3500</v>
      </c>
      <c r="E153" s="24" t="str">
        <f ca="1">IFERROR(__xludf.DUMMYFUNCTION("""COMPUTED_VALUE"""),"LT")</f>
        <v>LT</v>
      </c>
      <c r="F153" s="44" t="str">
        <f ca="1">IFERROR(__xludf.DUMMYFUNCTION("""COMPUTED_VALUE"""),"Productos Elaborados")</f>
        <v>Productos Elaborados</v>
      </c>
      <c r="G153" s="45">
        <f t="shared" ca="1" si="0"/>
        <v>2387</v>
      </c>
      <c r="H153" s="45">
        <f t="shared" ca="1" si="1"/>
        <v>453.53000000000003</v>
      </c>
      <c r="I153" s="47">
        <f t="shared" ca="1" si="2"/>
        <v>2840.53</v>
      </c>
      <c r="J153" s="15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9.5" customHeight="1">
      <c r="A154" s="24" t="str">
        <f ca="1">IFERROR(__xludf.DUMMYFUNCTION("""COMPUTED_VALUE"""),"ti-ing-89d573e1-3d80-4e74-8a9d-73c23bd74324")</f>
        <v>ti-ing-89d573e1-3d80-4e74-8a9d-73c23bd74324</v>
      </c>
      <c r="B154" s="24" t="str">
        <f ca="1">IFERROR(__xludf.DUMMYFUNCTION("""COMPUTED_VALUE"""),"Molde ave palta")</f>
        <v>Molde ave palta</v>
      </c>
      <c r="C154" s="24">
        <v>0</v>
      </c>
      <c r="D154" s="43">
        <f ca="1">IFERROR(__xludf.DUMMYFUNCTION("""COMPUTED_VALUE"""),3000)</f>
        <v>3000</v>
      </c>
      <c r="E154" s="24" t="str">
        <f ca="1">IFERROR(__xludf.DUMMYFUNCTION("""COMPUTED_VALUE"""),"UN")</f>
        <v>UN</v>
      </c>
      <c r="F154" s="44" t="str">
        <f ca="1">IFERROR(__xludf.DUMMYFUNCTION("""COMPUTED_VALUE"""),"Productos Elaborados")</f>
        <v>Productos Elaborados</v>
      </c>
      <c r="G154" s="45">
        <f t="shared" ca="1" si="0"/>
        <v>0</v>
      </c>
      <c r="H154" s="45">
        <f t="shared" ca="1" si="1"/>
        <v>0</v>
      </c>
      <c r="I154" s="47">
        <f t="shared" ca="1" si="2"/>
        <v>0</v>
      </c>
      <c r="J154" s="15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9.5" customHeight="1">
      <c r="A155" s="24" t="str">
        <f ca="1">IFERROR(__xludf.DUMMYFUNCTION("""COMPUTED_VALUE"""),"ti-ing-49e69d30-05a5-4d2e-9bc5-ec48858a227d")</f>
        <v>ti-ing-49e69d30-05a5-4d2e-9bc5-ec48858a227d</v>
      </c>
      <c r="B155" s="24" t="str">
        <f ca="1">IFERROR(__xludf.DUMMYFUNCTION("""COMPUTED_VALUE"""),"Molde blanco")</f>
        <v>Molde blanco</v>
      </c>
      <c r="C155" s="24">
        <v>0</v>
      </c>
      <c r="D155" s="43">
        <f ca="1">IFERROR(__xludf.DUMMYFUNCTION("""COMPUTED_VALUE"""),2716.27)</f>
        <v>2716.27</v>
      </c>
      <c r="E155" s="24" t="str">
        <f ca="1">IFERROR(__xludf.DUMMYFUNCTION("""COMPUTED_VALUE"""),"UN")</f>
        <v>UN</v>
      </c>
      <c r="F155" s="44" t="str">
        <f ca="1">IFERROR(__xludf.DUMMYFUNCTION("""COMPUTED_VALUE"""),"Productos Elaborados")</f>
        <v>Productos Elaborados</v>
      </c>
      <c r="G155" s="45">
        <f t="shared" ca="1" si="0"/>
        <v>0</v>
      </c>
      <c r="H155" s="45">
        <f t="shared" ca="1" si="1"/>
        <v>0</v>
      </c>
      <c r="I155" s="47">
        <f t="shared" ca="1" si="2"/>
        <v>0</v>
      </c>
      <c r="J155" s="15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9.5" customHeight="1">
      <c r="A156" s="24" t="str">
        <f ca="1">IFERROR(__xludf.DUMMYFUNCTION("""COMPUTED_VALUE"""),"ti-ing-21d3c63d-ce8c-47ef-83ca-893b2689b2f4")</f>
        <v>ti-ing-21d3c63d-ce8c-47ef-83ca-893b2689b2f4</v>
      </c>
      <c r="B156" s="24" t="str">
        <f ca="1">IFERROR(__xludf.DUMMYFUNCTION("""COMPUTED_VALUE"""),"PASTEL DE CHOCLO")</f>
        <v>PASTEL DE CHOCLO</v>
      </c>
      <c r="C156" s="24">
        <v>45</v>
      </c>
      <c r="D156" s="43">
        <f ca="1">IFERROR(__xludf.DUMMYFUNCTION("""COMPUTED_VALUE"""),2500)</f>
        <v>2500</v>
      </c>
      <c r="E156" s="24" t="str">
        <f ca="1">IFERROR(__xludf.DUMMYFUNCTION("""COMPUTED_VALUE"""),"UN")</f>
        <v>UN</v>
      </c>
      <c r="F156" s="44" t="str">
        <f ca="1">IFERROR(__xludf.DUMMYFUNCTION("""COMPUTED_VALUE"""),"Productos Elaborados")</f>
        <v>Productos Elaborados</v>
      </c>
      <c r="G156" s="45">
        <f t="shared" ca="1" si="0"/>
        <v>112500</v>
      </c>
      <c r="H156" s="45">
        <f t="shared" ca="1" si="1"/>
        <v>21375</v>
      </c>
      <c r="I156" s="47">
        <f t="shared" ca="1" si="2"/>
        <v>133875</v>
      </c>
      <c r="J156" s="15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9.5" customHeight="1">
      <c r="A157" s="24" t="str">
        <f ca="1">IFERROR(__xludf.DUMMYFUNCTION("""COMPUTED_VALUE"""),"ti-ing-60e7a5f9-a830-45ba-9562-60f62a8f26ac")</f>
        <v>ti-ing-60e7a5f9-a830-45ba-9562-60f62a8f26ac</v>
      </c>
      <c r="B157" s="24" t="str">
        <f ca="1">IFERROR(__xludf.DUMMYFUNCTION("""COMPUTED_VALUE"""),"PASTEL DE PAPA")</f>
        <v>PASTEL DE PAPA</v>
      </c>
      <c r="C157" s="24">
        <v>0</v>
      </c>
      <c r="D157" s="43">
        <f ca="1">IFERROR(__xludf.DUMMYFUNCTION("""COMPUTED_VALUE"""),2500)</f>
        <v>2500</v>
      </c>
      <c r="E157" s="24" t="str">
        <f ca="1">IFERROR(__xludf.DUMMYFUNCTION("""COMPUTED_VALUE"""),"UN")</f>
        <v>UN</v>
      </c>
      <c r="F157" s="44" t="str">
        <f ca="1">IFERROR(__xludf.DUMMYFUNCTION("""COMPUTED_VALUE"""),"Productos Elaborados")</f>
        <v>Productos Elaborados</v>
      </c>
      <c r="G157" s="45">
        <f t="shared" ca="1" si="0"/>
        <v>0</v>
      </c>
      <c r="H157" s="45">
        <f t="shared" ca="1" si="1"/>
        <v>0</v>
      </c>
      <c r="I157" s="47">
        <f t="shared" ca="1" si="2"/>
        <v>0</v>
      </c>
      <c r="J157" s="15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9.5" customHeight="1">
      <c r="A158" s="24" t="str">
        <f ca="1">IFERROR(__xludf.DUMMYFUNCTION("""COMPUTED_VALUE"""),"ti-ing-9bbce796-50a8-4fb5-8904-04b15a26fe2d")</f>
        <v>ti-ing-9bbce796-50a8-4fb5-8904-04b15a26fe2d</v>
      </c>
      <c r="B158" s="24" t="str">
        <f ca="1">IFERROR(__xludf.DUMMYFUNCTION("""COMPUTED_VALUE"""),"Pesto para sandwiches")</f>
        <v>Pesto para sandwiches</v>
      </c>
      <c r="C158" s="24">
        <v>0.51</v>
      </c>
      <c r="D158" s="82">
        <f ca="1">IFERROR(__xludf.DUMMYFUNCTION("""COMPUTED_VALUE"""),3500)</f>
        <v>3500</v>
      </c>
      <c r="E158" s="24" t="str">
        <f ca="1">IFERROR(__xludf.DUMMYFUNCTION("""COMPUTED_VALUE"""),"KG")</f>
        <v>KG</v>
      </c>
      <c r="F158" s="44" t="str">
        <f ca="1">IFERROR(__xludf.DUMMYFUNCTION("""COMPUTED_VALUE"""),"Productos Elaborados")</f>
        <v>Productos Elaborados</v>
      </c>
      <c r="G158" s="45">
        <f t="shared" ca="1" si="0"/>
        <v>1785</v>
      </c>
      <c r="H158" s="45">
        <f t="shared" ca="1" si="1"/>
        <v>339.15</v>
      </c>
      <c r="I158" s="47">
        <f t="shared" ca="1" si="2"/>
        <v>2124.15</v>
      </c>
      <c r="J158" s="15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9.5" customHeight="1">
      <c r="A159" s="24" t="str">
        <f ca="1">IFERROR(__xludf.DUMMYFUNCTION("""COMPUTED_VALUE"""),"ti-ing-e402010c-9312-4b1c-b5a6-bbc827fd1c18")</f>
        <v>ti-ing-e402010c-9312-4b1c-b5a6-bbc827fd1c18</v>
      </c>
      <c r="B159" s="24" t="str">
        <f ca="1">IFERROR(__xludf.DUMMYFUNCTION("""COMPUTED_VALUE"""),"puré de papas")</f>
        <v>puré de papas</v>
      </c>
      <c r="C159" s="24">
        <v>0</v>
      </c>
      <c r="D159" s="82">
        <f ca="1">IFERROR(__xludf.DUMMYFUNCTION("""COMPUTED_VALUE"""),3000)</f>
        <v>3000</v>
      </c>
      <c r="E159" s="24" t="str">
        <f ca="1">IFERROR(__xludf.DUMMYFUNCTION("""COMPUTED_VALUE"""),"KG")</f>
        <v>KG</v>
      </c>
      <c r="F159" s="44" t="str">
        <f ca="1">IFERROR(__xludf.DUMMYFUNCTION("""COMPUTED_VALUE"""),"Productos Elaborados")</f>
        <v>Productos Elaborados</v>
      </c>
      <c r="G159" s="45">
        <f t="shared" ca="1" si="0"/>
        <v>0</v>
      </c>
      <c r="H159" s="45">
        <f t="shared" ca="1" si="1"/>
        <v>0</v>
      </c>
      <c r="I159" s="47">
        <f t="shared" ca="1" si="2"/>
        <v>0</v>
      </c>
      <c r="J159" s="15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9.5" customHeight="1">
      <c r="A160" s="24" t="str">
        <f ca="1">IFERROR(__xludf.DUMMYFUNCTION("""COMPUTED_VALUE"""),"ti-ing-5d1269a6-072d-4d8d-9365-c6bdd70282b6")</f>
        <v>ti-ing-5d1269a6-072d-4d8d-9365-c6bdd70282b6</v>
      </c>
      <c r="B160" s="24" t="str">
        <f ca="1">IFERROR(__xludf.DUMMYFUNCTION("""COMPUTED_VALUE"""),"QUICHE")</f>
        <v>QUICHE</v>
      </c>
      <c r="C160" s="24">
        <v>10</v>
      </c>
      <c r="D160" s="43">
        <f ca="1">IFERROR(__xludf.DUMMYFUNCTION("""COMPUTED_VALUE"""),1500)</f>
        <v>1500</v>
      </c>
      <c r="E160" s="24" t="str">
        <f ca="1">IFERROR(__xludf.DUMMYFUNCTION("""COMPUTED_VALUE"""),"UN")</f>
        <v>UN</v>
      </c>
      <c r="F160" s="44" t="str">
        <f ca="1">IFERROR(__xludf.DUMMYFUNCTION("""COMPUTED_VALUE"""),"Productos Elaborados")</f>
        <v>Productos Elaborados</v>
      </c>
      <c r="G160" s="45">
        <f t="shared" ca="1" si="0"/>
        <v>15000</v>
      </c>
      <c r="H160" s="45">
        <f t="shared" ca="1" si="1"/>
        <v>2850</v>
      </c>
      <c r="I160" s="47">
        <f t="shared" ca="1" si="2"/>
        <v>17850</v>
      </c>
      <c r="J160" s="15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9.5" customHeight="1">
      <c r="A161" s="24" t="str">
        <f ca="1">IFERROR(__xludf.DUMMYFUNCTION("""COMPUTED_VALUE"""),"ti-ing-7d193ddc-595d-4d13-9ca9-c18bb3ab1d27")</f>
        <v>ti-ing-7d193ddc-595d-4d13-9ca9-c18bb3ab1d27</v>
      </c>
      <c r="B161" s="24" t="str">
        <f ca="1">IFERROR(__xludf.DUMMYFUNCTION("""COMPUTED_VALUE"""),"Quinua griega")</f>
        <v>Quinua griega</v>
      </c>
      <c r="C161" s="24">
        <v>0</v>
      </c>
      <c r="D161" s="43">
        <f ca="1">IFERROR(__xludf.DUMMYFUNCTION("""COMPUTED_VALUE"""),500)</f>
        <v>500</v>
      </c>
      <c r="E161" s="24" t="str">
        <f ca="1">IFERROR(__xludf.DUMMYFUNCTION("""COMPUTED_VALUE"""),"UN")</f>
        <v>UN</v>
      </c>
      <c r="F161" s="44" t="str">
        <f ca="1">IFERROR(__xludf.DUMMYFUNCTION("""COMPUTED_VALUE"""),"Productos Elaborados")</f>
        <v>Productos Elaborados</v>
      </c>
      <c r="G161" s="45">
        <f t="shared" ca="1" si="0"/>
        <v>0</v>
      </c>
      <c r="H161" s="45">
        <f t="shared" ca="1" si="1"/>
        <v>0</v>
      </c>
      <c r="I161" s="47">
        <f t="shared" ca="1" si="2"/>
        <v>0</v>
      </c>
      <c r="J161" s="15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9.5" customHeight="1">
      <c r="A162" s="24" t="str">
        <f ca="1">IFERROR(__xludf.DUMMYFUNCTION("""COMPUTED_VALUE"""),"ti-ing-f1083f8a-a740-4da6-85b3-3e103eb5f89f")</f>
        <v>ti-ing-f1083f8a-a740-4da6-85b3-3e103eb5f89f</v>
      </c>
      <c r="B162" s="24" t="str">
        <f ca="1">IFERROR(__xludf.DUMMYFUNCTION("""COMPUTED_VALUE"""),"RELLENO AVE MAYO")</f>
        <v>RELLENO AVE MAYO</v>
      </c>
      <c r="C162" s="24">
        <v>3.6139999999999999</v>
      </c>
      <c r="D162" s="43">
        <f ca="1">IFERROR(__xludf.DUMMYFUNCTION("""COMPUTED_VALUE"""),3500)</f>
        <v>3500</v>
      </c>
      <c r="E162" s="24" t="str">
        <f ca="1">IFERROR(__xludf.DUMMYFUNCTION("""COMPUTED_VALUE"""),"KG")</f>
        <v>KG</v>
      </c>
      <c r="F162" s="44" t="str">
        <f ca="1">IFERROR(__xludf.DUMMYFUNCTION("""COMPUTED_VALUE"""),"Productos Elaborados")</f>
        <v>Productos Elaborados</v>
      </c>
      <c r="G162" s="45">
        <f t="shared" ca="1" si="0"/>
        <v>12649</v>
      </c>
      <c r="H162" s="45">
        <f t="shared" ca="1" si="1"/>
        <v>2403.31</v>
      </c>
      <c r="I162" s="47">
        <f t="shared" ca="1" si="2"/>
        <v>15052.31</v>
      </c>
      <c r="J162" s="15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9.5" customHeight="1">
      <c r="A163" s="24" t="str">
        <f ca="1">IFERROR(__xludf.DUMMYFUNCTION("""COMPUTED_VALUE"""),"ti-ing-cb6f7c55-dc86-4ae0-b02b-b8e68c0ed58c")</f>
        <v>ti-ing-cb6f7c55-dc86-4ae0-b02b-b8e68c0ed58c</v>
      </c>
      <c r="B163" s="24" t="str">
        <f ca="1">IFERROR(__xludf.DUMMYFUNCTION("""COMPUTED_VALUE"""),"RELLENO NAPOLITANA")</f>
        <v>RELLENO NAPOLITANA</v>
      </c>
      <c r="C163" s="24">
        <v>0</v>
      </c>
      <c r="D163" s="43">
        <f ca="1">IFERROR(__xludf.DUMMYFUNCTION("""COMPUTED_VALUE"""),3500)</f>
        <v>3500</v>
      </c>
      <c r="E163" s="24" t="str">
        <f ca="1">IFERROR(__xludf.DUMMYFUNCTION("""COMPUTED_VALUE"""),"KG")</f>
        <v>KG</v>
      </c>
      <c r="F163" s="44" t="str">
        <f ca="1">IFERROR(__xludf.DUMMYFUNCTION("""COMPUTED_VALUE"""),"Productos Elaborados")</f>
        <v>Productos Elaborados</v>
      </c>
      <c r="G163" s="45">
        <f t="shared" ca="1" si="0"/>
        <v>0</v>
      </c>
      <c r="H163" s="45">
        <f t="shared" ca="1" si="1"/>
        <v>0</v>
      </c>
      <c r="I163" s="47">
        <f t="shared" ca="1" si="2"/>
        <v>0</v>
      </c>
      <c r="J163" s="15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9.5" customHeight="1">
      <c r="A164" s="24" t="str">
        <f ca="1">IFERROR(__xludf.DUMMYFUNCTION("""COMPUTED_VALUE"""),"ti-ing-fdea4891-c517-45ca-8e87-e02663252664")</f>
        <v>ti-ing-fdea4891-c517-45ca-8e87-e02663252664</v>
      </c>
      <c r="B164" s="24" t="str">
        <f ca="1">IFERROR(__xludf.DUMMYFUNCTION("""COMPUTED_VALUE"""),"Relleno pera confitada")</f>
        <v>Relleno pera confitada</v>
      </c>
      <c r="C164" s="24">
        <v>0.98199999999999998</v>
      </c>
      <c r="D164" s="82">
        <f ca="1">IFERROR(__xludf.DUMMYFUNCTION("""COMPUTED_VALUE"""),4000)</f>
        <v>4000</v>
      </c>
      <c r="E164" s="24" t="str">
        <f ca="1">IFERROR(__xludf.DUMMYFUNCTION("""COMPUTED_VALUE"""),"Kg")</f>
        <v>Kg</v>
      </c>
      <c r="F164" s="44" t="str">
        <f ca="1">IFERROR(__xludf.DUMMYFUNCTION("""COMPUTED_VALUE"""),"Productos Elaborados")</f>
        <v>Productos Elaborados</v>
      </c>
      <c r="G164" s="45">
        <f t="shared" ca="1" si="0"/>
        <v>3928</v>
      </c>
      <c r="H164" s="45">
        <f t="shared" ca="1" si="1"/>
        <v>746.32</v>
      </c>
      <c r="I164" s="47">
        <f t="shared" ca="1" si="2"/>
        <v>4674.32</v>
      </c>
      <c r="J164" s="15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9.5" customHeight="1">
      <c r="A165" s="24" t="str">
        <f ca="1">IFERROR(__xludf.DUMMYFUNCTION("""COMPUTED_VALUE"""),"ti-ing-8c88b4f0-fa94-46ed-8196-aa37281f7c51")</f>
        <v>ti-ing-8c88b4f0-fa94-46ed-8196-aa37281f7c51</v>
      </c>
      <c r="B165" s="24" t="str">
        <f ca="1">IFERROR(__xludf.DUMMYFUNCTION("""COMPUTED_VALUE"""),"RELLENO PINO")</f>
        <v>RELLENO PINO</v>
      </c>
      <c r="C165" s="24">
        <v>6.6879999999999997</v>
      </c>
      <c r="D165" s="43">
        <f ca="1">IFERROR(__xludf.DUMMYFUNCTION("""COMPUTED_VALUE"""),7516)</f>
        <v>7516</v>
      </c>
      <c r="E165" s="24" t="str">
        <f ca="1">IFERROR(__xludf.DUMMYFUNCTION("""COMPUTED_VALUE"""),"KG")</f>
        <v>KG</v>
      </c>
      <c r="F165" s="44" t="str">
        <f ca="1">IFERROR(__xludf.DUMMYFUNCTION("""COMPUTED_VALUE"""),"Productos Elaborados")</f>
        <v>Productos Elaborados</v>
      </c>
      <c r="G165" s="45">
        <f t="shared" ca="1" si="0"/>
        <v>50267.007999999994</v>
      </c>
      <c r="H165" s="45">
        <f t="shared" ca="1" si="1"/>
        <v>9550.7315199999994</v>
      </c>
      <c r="I165" s="47">
        <f t="shared" ca="1" si="2"/>
        <v>59817.739519999996</v>
      </c>
      <c r="J165" s="15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9.5" customHeight="1">
      <c r="A166" s="24"/>
      <c r="B166" s="24" t="str">
        <f ca="1">IFERROR(__xludf.DUMMYFUNCTION("""COMPUTED_VALUE"""),"salsa bechamel ")</f>
        <v xml:space="preserve">salsa bechamel </v>
      </c>
      <c r="C166" s="24">
        <v>0</v>
      </c>
      <c r="D166" s="82">
        <f ca="1">IFERROR(__xludf.DUMMYFUNCTION("""COMPUTED_VALUE"""),3500)</f>
        <v>3500</v>
      </c>
      <c r="E166" s="24" t="str">
        <f ca="1">IFERROR(__xludf.DUMMYFUNCTION("""COMPUTED_VALUE"""),"LT")</f>
        <v>LT</v>
      </c>
      <c r="F166" s="44" t="str">
        <f ca="1">IFERROR(__xludf.DUMMYFUNCTION("""COMPUTED_VALUE"""),"Productos Elaborados")</f>
        <v>Productos Elaborados</v>
      </c>
      <c r="G166" s="45">
        <f t="shared" ca="1" si="0"/>
        <v>0</v>
      </c>
      <c r="H166" s="45">
        <f t="shared" ca="1" si="1"/>
        <v>0</v>
      </c>
      <c r="I166" s="47">
        <f t="shared" ca="1" si="2"/>
        <v>0</v>
      </c>
      <c r="J166" s="15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9.5" customHeight="1">
      <c r="A167" s="24" t="str">
        <f ca="1">IFERROR(__xludf.DUMMYFUNCTION("""COMPUTED_VALUE"""),"ti-ing-6ec17360-95b9-4e7c-a4f8-95a7d5b06f22")</f>
        <v>ti-ing-6ec17360-95b9-4e7c-a4f8-95a7d5b06f22</v>
      </c>
      <c r="B167" s="24" t="str">
        <f ca="1">IFERROR(__xludf.DUMMYFUNCTION("""COMPUTED_VALUE"""),"Sandwich Del Dia")</f>
        <v>Sandwich Del Dia</v>
      </c>
      <c r="C167" s="24">
        <v>11</v>
      </c>
      <c r="D167" s="43">
        <f ca="1">IFERROR(__xludf.DUMMYFUNCTION("""COMPUTED_VALUE"""),750)</f>
        <v>750</v>
      </c>
      <c r="E167" s="24" t="str">
        <f ca="1">IFERROR(__xludf.DUMMYFUNCTION("""COMPUTED_VALUE"""),"UN")</f>
        <v>UN</v>
      </c>
      <c r="F167" s="44" t="str">
        <f ca="1">IFERROR(__xludf.DUMMYFUNCTION("""COMPUTED_VALUE"""),"Productos Elaborados")</f>
        <v>Productos Elaborados</v>
      </c>
      <c r="G167" s="45">
        <f t="shared" ca="1" si="0"/>
        <v>8250</v>
      </c>
      <c r="H167" s="45">
        <f t="shared" ca="1" si="1"/>
        <v>1567.5</v>
      </c>
      <c r="I167" s="47">
        <f t="shared" ca="1" si="2"/>
        <v>9817.5</v>
      </c>
      <c r="J167" s="15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9.5" customHeight="1">
      <c r="A168" s="24"/>
      <c r="B168" s="24" t="str">
        <f ca="1">IFERROR(__xludf.DUMMYFUNCTION("""COMPUTED_VALUE"""),"Tomate confitado")</f>
        <v>Tomate confitado</v>
      </c>
      <c r="C168" s="24">
        <v>6.25</v>
      </c>
      <c r="D168" s="82">
        <f ca="1">IFERROR(__xludf.DUMMYFUNCTION("""COMPUTED_VALUE"""),4500)</f>
        <v>4500</v>
      </c>
      <c r="E168" s="24" t="str">
        <f ca="1">IFERROR(__xludf.DUMMYFUNCTION("""COMPUTED_VALUE"""),"KG")</f>
        <v>KG</v>
      </c>
      <c r="F168" s="44" t="str">
        <f ca="1">IFERROR(__xludf.DUMMYFUNCTION("""COMPUTED_VALUE"""),"Productos Elaborados")</f>
        <v>Productos Elaborados</v>
      </c>
      <c r="G168" s="45">
        <f t="shared" ca="1" si="0"/>
        <v>28125</v>
      </c>
      <c r="H168" s="45">
        <f t="shared" ca="1" si="1"/>
        <v>5343.75</v>
      </c>
      <c r="I168" s="47">
        <f t="shared" ca="1" si="2"/>
        <v>33468.75</v>
      </c>
      <c r="J168" s="15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9.5" customHeight="1">
      <c r="A169" s="24"/>
      <c r="B169" s="24" t="s">
        <v>1253</v>
      </c>
      <c r="C169" s="24">
        <v>19.68</v>
      </c>
      <c r="D169" s="86">
        <v>6500</v>
      </c>
      <c r="E169" s="24" t="s">
        <v>32</v>
      </c>
      <c r="F169" s="44" t="s">
        <v>764</v>
      </c>
      <c r="G169" s="45">
        <f t="shared" si="0"/>
        <v>127920</v>
      </c>
      <c r="H169" s="45">
        <f t="shared" si="1"/>
        <v>24304.799999999999</v>
      </c>
      <c r="I169" s="47">
        <f t="shared" si="2"/>
        <v>152224.79999999999</v>
      </c>
      <c r="J169" s="15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9.5" customHeight="1">
      <c r="A170" s="87"/>
      <c r="B170" s="87" t="s">
        <v>1254</v>
      </c>
      <c r="C170" s="87">
        <v>0.85399999999999998</v>
      </c>
      <c r="D170" s="88">
        <v>1000</v>
      </c>
      <c r="E170" s="24" t="s">
        <v>32</v>
      </c>
      <c r="F170" s="44" t="s">
        <v>764</v>
      </c>
      <c r="G170" s="45">
        <f t="shared" si="0"/>
        <v>854</v>
      </c>
      <c r="H170" s="45">
        <f t="shared" si="1"/>
        <v>162.26</v>
      </c>
      <c r="I170" s="47">
        <f t="shared" si="2"/>
        <v>1016.26</v>
      </c>
      <c r="J170" s="15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9.5" customHeight="1">
      <c r="A171" s="24"/>
      <c r="B171" s="24" t="s">
        <v>1255</v>
      </c>
      <c r="C171" s="24">
        <v>1.1259999999999999</v>
      </c>
      <c r="D171" s="86">
        <v>1000</v>
      </c>
      <c r="E171" s="24" t="s">
        <v>27</v>
      </c>
      <c r="F171" s="44" t="s">
        <v>764</v>
      </c>
      <c r="G171" s="90">
        <f t="shared" si="0"/>
        <v>1126</v>
      </c>
      <c r="H171" s="92">
        <f t="shared" si="1"/>
        <v>213.94</v>
      </c>
      <c r="I171" s="93">
        <f t="shared" si="2"/>
        <v>1339.94</v>
      </c>
      <c r="J171" s="15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9.5" customHeight="1">
      <c r="A172" s="24"/>
      <c r="B172" s="24" t="s">
        <v>1256</v>
      </c>
      <c r="C172" s="24">
        <v>3.5</v>
      </c>
      <c r="D172" s="86">
        <v>7790</v>
      </c>
      <c r="E172" s="24" t="s">
        <v>37</v>
      </c>
      <c r="F172" s="24"/>
      <c r="G172" s="90">
        <f t="shared" si="0"/>
        <v>27265</v>
      </c>
      <c r="H172" s="92">
        <f t="shared" si="1"/>
        <v>5180.3500000000004</v>
      </c>
      <c r="I172" s="93">
        <f t="shared" si="2"/>
        <v>32445.35</v>
      </c>
      <c r="J172" s="15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9.5" customHeight="1">
      <c r="A173" s="24"/>
      <c r="B173" s="24" t="s">
        <v>1258</v>
      </c>
      <c r="C173" s="24">
        <v>76</v>
      </c>
      <c r="D173" s="86">
        <v>450</v>
      </c>
      <c r="E173" s="24" t="s">
        <v>1259</v>
      </c>
      <c r="F173" s="24"/>
      <c r="G173" s="97">
        <f t="shared" si="0"/>
        <v>34200</v>
      </c>
      <c r="H173" s="97">
        <f t="shared" si="1"/>
        <v>6498</v>
      </c>
      <c r="I173" s="97">
        <f t="shared" si="2"/>
        <v>40698</v>
      </c>
      <c r="J173" s="15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9.5" customHeight="1">
      <c r="A174" s="24"/>
      <c r="B174" s="24"/>
      <c r="C174" s="24"/>
      <c r="D174" s="24"/>
      <c r="E174" s="24"/>
      <c r="F174" s="24"/>
      <c r="G174" s="97">
        <f t="shared" si="0"/>
        <v>0</v>
      </c>
      <c r="H174" s="97">
        <f t="shared" si="1"/>
        <v>0</v>
      </c>
      <c r="I174" s="97">
        <f t="shared" si="2"/>
        <v>0</v>
      </c>
      <c r="J174" s="15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8.75">
      <c r="A175" s="24"/>
      <c r="B175" s="24"/>
      <c r="C175" s="24"/>
      <c r="D175" s="24"/>
      <c r="E175" s="24"/>
      <c r="F175" s="24"/>
      <c r="G175" s="97">
        <f t="shared" si="0"/>
        <v>0</v>
      </c>
      <c r="H175" s="97">
        <f t="shared" si="1"/>
        <v>0</v>
      </c>
      <c r="I175" s="97">
        <f t="shared" si="2"/>
        <v>0</v>
      </c>
      <c r="J175" s="15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8.75">
      <c r="A176" s="7"/>
      <c r="B176" s="7"/>
      <c r="C176" s="7"/>
      <c r="D176" s="7"/>
      <c r="E176" s="7"/>
      <c r="F176" s="7"/>
      <c r="G176" s="97">
        <f t="shared" si="0"/>
        <v>0</v>
      </c>
      <c r="H176" s="97">
        <f t="shared" si="1"/>
        <v>0</v>
      </c>
      <c r="I176" s="97">
        <f t="shared" si="2"/>
        <v>0</v>
      </c>
      <c r="J176" s="15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8.75">
      <c r="A177" s="7"/>
      <c r="B177" s="7"/>
      <c r="C177" s="7"/>
      <c r="D177" s="7"/>
      <c r="E177" s="7"/>
      <c r="F177" s="7"/>
      <c r="G177" s="97">
        <f t="shared" si="0"/>
        <v>0</v>
      </c>
      <c r="H177" s="97">
        <f t="shared" si="1"/>
        <v>0</v>
      </c>
      <c r="I177" s="97">
        <f t="shared" si="2"/>
        <v>0</v>
      </c>
      <c r="J177" s="15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8.75">
      <c r="A178" s="7"/>
      <c r="B178" s="7"/>
      <c r="C178" s="7"/>
      <c r="D178" s="7"/>
      <c r="E178" s="7"/>
      <c r="F178" s="7"/>
      <c r="G178" s="97">
        <f t="shared" si="0"/>
        <v>0</v>
      </c>
      <c r="H178" s="97">
        <f t="shared" si="1"/>
        <v>0</v>
      </c>
      <c r="I178" s="97">
        <f t="shared" si="2"/>
        <v>0</v>
      </c>
      <c r="J178" s="15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8.75">
      <c r="A179" s="7"/>
      <c r="B179" s="7"/>
      <c r="C179" s="7"/>
      <c r="D179" s="7"/>
      <c r="E179" s="7"/>
      <c r="F179" s="7"/>
      <c r="G179" s="97">
        <f t="shared" si="0"/>
        <v>0</v>
      </c>
      <c r="H179" s="97">
        <f t="shared" si="1"/>
        <v>0</v>
      </c>
      <c r="I179" s="97">
        <f t="shared" si="2"/>
        <v>0</v>
      </c>
      <c r="J179" s="15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8.75">
      <c r="A180" s="4"/>
      <c r="B180" s="4"/>
      <c r="C180" s="4"/>
      <c r="D180" s="4"/>
      <c r="E180" s="4"/>
      <c r="F180" s="4"/>
      <c r="G180" s="97">
        <f t="shared" si="0"/>
        <v>0</v>
      </c>
      <c r="H180" s="97">
        <f t="shared" si="1"/>
        <v>0</v>
      </c>
      <c r="I180" s="97">
        <f t="shared" si="2"/>
        <v>0</v>
      </c>
      <c r="J180" s="15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8.75">
      <c r="A181" s="4"/>
      <c r="B181" s="4"/>
      <c r="C181" s="4"/>
      <c r="D181" s="4"/>
      <c r="E181" s="4"/>
      <c r="F181" s="4"/>
      <c r="G181" s="97">
        <f t="shared" si="0"/>
        <v>0</v>
      </c>
      <c r="H181" s="97">
        <f t="shared" si="1"/>
        <v>0</v>
      </c>
      <c r="I181" s="97">
        <f t="shared" si="2"/>
        <v>0</v>
      </c>
      <c r="J181" s="15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8.75">
      <c r="A182" s="4"/>
      <c r="B182" s="4"/>
      <c r="C182" s="4"/>
      <c r="D182" s="4"/>
      <c r="E182" s="4"/>
      <c r="F182" s="4"/>
      <c r="G182" s="105">
        <f ca="1">SUM(G3:G175)</f>
        <v>1390169.1342097826</v>
      </c>
      <c r="H182" s="107"/>
      <c r="I182" s="108">
        <f ca="1">SUM(I3:I175)</f>
        <v>1654301.2697096418</v>
      </c>
      <c r="J182" s="15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>
      <c r="A183" s="4"/>
      <c r="B183" s="4"/>
      <c r="C183" s="4"/>
      <c r="D183" s="4"/>
      <c r="E183" s="4"/>
      <c r="F183" s="4"/>
      <c r="G183" s="4"/>
      <c r="H183" s="4"/>
      <c r="I183" s="4"/>
      <c r="J183" s="15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>
      <c r="A184" s="4"/>
      <c r="B184" s="4"/>
      <c r="C184" s="4"/>
      <c r="D184" s="4"/>
      <c r="E184" s="4"/>
      <c r="F184" s="4"/>
      <c r="G184" s="4"/>
      <c r="H184" s="4"/>
      <c r="I184" s="4"/>
      <c r="J184" s="15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>
      <c r="A185" s="4"/>
      <c r="B185" s="4"/>
      <c r="C185" s="4"/>
      <c r="D185" s="4"/>
      <c r="E185" s="4"/>
      <c r="F185" s="4"/>
      <c r="G185" s="4"/>
      <c r="H185" s="4"/>
      <c r="I185" s="4"/>
      <c r="J185" s="15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>
      <c r="A186" s="4"/>
      <c r="B186" s="4"/>
      <c r="C186" s="4"/>
      <c r="D186" s="4"/>
      <c r="E186" s="4"/>
      <c r="F186" s="4"/>
      <c r="G186" s="4"/>
      <c r="H186" s="4"/>
      <c r="I186" s="4"/>
      <c r="J186" s="15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>
      <c r="A187" s="4"/>
      <c r="B187" s="4"/>
      <c r="C187" s="4"/>
      <c r="D187" s="4"/>
      <c r="E187" s="4"/>
      <c r="F187" s="4"/>
      <c r="G187" s="4"/>
      <c r="H187" s="4"/>
      <c r="I187" s="4"/>
      <c r="J187" s="15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>
      <c r="A188" s="4"/>
      <c r="B188" s="4"/>
      <c r="C188" s="4"/>
      <c r="D188" s="4"/>
      <c r="E188" s="4"/>
      <c r="F188" s="4"/>
      <c r="G188" s="4"/>
      <c r="H188" s="4"/>
      <c r="I188" s="4"/>
      <c r="J188" s="15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>
      <c r="A189" s="4"/>
      <c r="B189" s="4"/>
      <c r="C189" s="4"/>
      <c r="D189" s="4"/>
      <c r="E189" s="4"/>
      <c r="F189" s="4"/>
      <c r="G189" s="4"/>
      <c r="H189" s="4"/>
      <c r="I189" s="4"/>
      <c r="J189" s="15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>
      <c r="A190" s="4"/>
      <c r="B190" s="4"/>
      <c r="C190" s="4"/>
      <c r="D190" s="4"/>
      <c r="E190" s="4"/>
      <c r="F190" s="4"/>
      <c r="G190" s="4"/>
      <c r="H190" s="4"/>
      <c r="I190" s="4"/>
      <c r="J190" s="15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>
      <c r="A191" s="4"/>
      <c r="B191" s="4"/>
      <c r="C191" s="4"/>
      <c r="D191" s="4"/>
      <c r="E191" s="4"/>
      <c r="F191" s="4"/>
      <c r="G191" s="4"/>
      <c r="H191" s="4"/>
      <c r="I191" s="4"/>
      <c r="J191" s="15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>
      <c r="A192" s="4"/>
      <c r="B192" s="4"/>
      <c r="C192" s="4"/>
      <c r="D192" s="4"/>
      <c r="E192" s="4"/>
      <c r="F192" s="4"/>
      <c r="G192" s="4"/>
      <c r="H192" s="4"/>
      <c r="I192" s="4"/>
      <c r="J192" s="156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>
      <c r="A193" s="4"/>
      <c r="B193" s="4"/>
      <c r="C193" s="4"/>
      <c r="D193" s="4"/>
      <c r="E193" s="4"/>
      <c r="F193" s="4"/>
      <c r="G193" s="4"/>
      <c r="H193" s="4"/>
      <c r="I193" s="4"/>
      <c r="J193" s="156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>
      <c r="A194" s="4"/>
      <c r="B194" s="4"/>
      <c r="C194" s="4"/>
      <c r="D194" s="4"/>
      <c r="E194" s="4"/>
      <c r="F194" s="4"/>
      <c r="G194" s="4"/>
      <c r="H194" s="4"/>
      <c r="I194" s="4"/>
      <c r="J194" s="15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>
      <c r="A195" s="4"/>
      <c r="B195" s="4"/>
      <c r="C195" s="4"/>
      <c r="D195" s="4"/>
      <c r="E195" s="4"/>
      <c r="F195" s="4"/>
      <c r="G195" s="4"/>
      <c r="H195" s="4"/>
      <c r="I195" s="4"/>
      <c r="J195" s="15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>
      <c r="A196" s="4"/>
      <c r="B196" s="4"/>
      <c r="C196" s="4"/>
      <c r="D196" s="4"/>
      <c r="E196" s="4"/>
      <c r="F196" s="4"/>
      <c r="G196" s="4"/>
      <c r="H196" s="4"/>
      <c r="I196" s="4"/>
      <c r="J196" s="15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>
      <c r="A197" s="4"/>
      <c r="B197" s="4"/>
      <c r="C197" s="4"/>
      <c r="D197" s="4"/>
      <c r="E197" s="4"/>
      <c r="F197" s="4"/>
      <c r="G197" s="4"/>
      <c r="H197" s="4"/>
      <c r="I197" s="4"/>
      <c r="J197" s="15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>
      <c r="A198" s="4"/>
      <c r="B198" s="4"/>
      <c r="C198" s="4"/>
      <c r="D198" s="4"/>
      <c r="E198" s="4"/>
      <c r="F198" s="4"/>
      <c r="G198" s="4"/>
      <c r="H198" s="4"/>
      <c r="I198" s="4"/>
      <c r="J198" s="156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>
      <c r="A199" s="4"/>
      <c r="B199" s="4"/>
      <c r="C199" s="4"/>
      <c r="D199" s="4"/>
      <c r="E199" s="4"/>
      <c r="F199" s="4"/>
      <c r="G199" s="4"/>
      <c r="H199" s="4"/>
      <c r="I199" s="4"/>
      <c r="J199" s="15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>
      <c r="A200" s="4"/>
      <c r="B200" s="4"/>
      <c r="C200" s="4"/>
      <c r="D200" s="4"/>
      <c r="E200" s="4"/>
      <c r="F200" s="4"/>
      <c r="G200" s="4"/>
      <c r="H200" s="4"/>
      <c r="I200" s="4"/>
      <c r="J200" s="15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>
      <c r="A201" s="4"/>
      <c r="B201" s="4"/>
      <c r="C201" s="4"/>
      <c r="D201" s="4"/>
      <c r="E201" s="4"/>
      <c r="F201" s="4"/>
      <c r="G201" s="4"/>
      <c r="H201" s="4"/>
      <c r="I201" s="4"/>
      <c r="J201" s="15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>
      <c r="A202" s="4"/>
      <c r="B202" s="4"/>
      <c r="C202" s="4"/>
      <c r="D202" s="4"/>
      <c r="E202" s="4"/>
      <c r="F202" s="4"/>
      <c r="G202" s="4"/>
      <c r="H202" s="4"/>
      <c r="I202" s="4"/>
      <c r="J202" s="15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>
      <c r="A203" s="4"/>
      <c r="B203" s="4"/>
      <c r="C203" s="4"/>
      <c r="D203" s="4"/>
      <c r="E203" s="4"/>
      <c r="F203" s="4"/>
      <c r="G203" s="4"/>
      <c r="H203" s="4"/>
      <c r="I203" s="4"/>
      <c r="J203" s="15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>
      <c r="A204" s="4"/>
      <c r="B204" s="4"/>
      <c r="C204" s="4"/>
      <c r="D204" s="4"/>
      <c r="E204" s="4"/>
      <c r="F204" s="4"/>
      <c r="G204" s="4"/>
      <c r="H204" s="4"/>
      <c r="I204" s="4"/>
      <c r="J204" s="15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>
      <c r="A205" s="4"/>
      <c r="B205" s="4"/>
      <c r="C205" s="4"/>
      <c r="D205" s="4"/>
      <c r="E205" s="4"/>
      <c r="F205" s="4"/>
      <c r="G205" s="4"/>
      <c r="H205" s="4"/>
      <c r="I205" s="4"/>
      <c r="J205" s="15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>
      <c r="A206" s="4"/>
      <c r="B206" s="4"/>
      <c r="C206" s="4"/>
      <c r="D206" s="4"/>
      <c r="E206" s="4"/>
      <c r="F206" s="4"/>
      <c r="G206" s="4"/>
      <c r="H206" s="4"/>
      <c r="I206" s="4"/>
      <c r="J206" s="15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>
      <c r="A207" s="4"/>
      <c r="B207" s="4"/>
      <c r="C207" s="4"/>
      <c r="D207" s="4"/>
      <c r="E207" s="4"/>
      <c r="F207" s="4"/>
      <c r="G207" s="4"/>
      <c r="H207" s="4"/>
      <c r="I207" s="4"/>
      <c r="J207" s="156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>
      <c r="A208" s="4"/>
      <c r="B208" s="4"/>
      <c r="C208" s="4"/>
      <c r="D208" s="4"/>
      <c r="E208" s="4"/>
      <c r="F208" s="4"/>
      <c r="G208" s="4"/>
      <c r="H208" s="4"/>
      <c r="I208" s="4"/>
      <c r="J208" s="15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>
      <c r="A209" s="4"/>
      <c r="B209" s="4"/>
      <c r="C209" s="4"/>
      <c r="D209" s="4"/>
      <c r="E209" s="4"/>
      <c r="F209" s="4"/>
      <c r="G209" s="4"/>
      <c r="H209" s="4"/>
      <c r="I209" s="4"/>
      <c r="J209" s="15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>
      <c r="A210" s="4"/>
      <c r="B210" s="4"/>
      <c r="C210" s="4"/>
      <c r="D210" s="4"/>
      <c r="E210" s="4"/>
      <c r="F210" s="4"/>
      <c r="G210" s="4"/>
      <c r="H210" s="4"/>
      <c r="I210" s="4"/>
      <c r="J210" s="156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>
      <c r="A211" s="4"/>
      <c r="B211" s="4"/>
      <c r="C211" s="4"/>
      <c r="D211" s="4"/>
      <c r="E211" s="4"/>
      <c r="F211" s="4"/>
      <c r="G211" s="4"/>
      <c r="H211" s="4"/>
      <c r="I211" s="4"/>
      <c r="J211" s="15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>
      <c r="A212" s="4"/>
      <c r="B212" s="4"/>
      <c r="C212" s="4"/>
      <c r="D212" s="4"/>
      <c r="E212" s="4"/>
      <c r="F212" s="4"/>
      <c r="G212" s="4"/>
      <c r="H212" s="4"/>
      <c r="I212" s="4"/>
      <c r="J212" s="15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>
      <c r="A213" s="4"/>
      <c r="B213" s="4"/>
      <c r="C213" s="4"/>
      <c r="D213" s="4"/>
      <c r="E213" s="4"/>
      <c r="F213" s="4"/>
      <c r="G213" s="4"/>
      <c r="H213" s="4"/>
      <c r="I213" s="4"/>
      <c r="J213" s="15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>
      <c r="A214" s="4"/>
      <c r="B214" s="4"/>
      <c r="C214" s="4"/>
      <c r="D214" s="4"/>
      <c r="E214" s="4"/>
      <c r="F214" s="4"/>
      <c r="G214" s="4"/>
      <c r="H214" s="4"/>
      <c r="I214" s="4"/>
      <c r="J214" s="15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>
      <c r="A215" s="4"/>
      <c r="B215" s="4"/>
      <c r="C215" s="4"/>
      <c r="D215" s="4"/>
      <c r="E215" s="4"/>
      <c r="F215" s="4"/>
      <c r="G215" s="4"/>
      <c r="H215" s="4"/>
      <c r="I215" s="4"/>
      <c r="J215" s="15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>
      <c r="A216" s="4"/>
      <c r="B216" s="4"/>
      <c r="C216" s="4"/>
      <c r="D216" s="4"/>
      <c r="E216" s="4"/>
      <c r="F216" s="4"/>
      <c r="G216" s="4"/>
      <c r="H216" s="4"/>
      <c r="I216" s="4"/>
      <c r="J216" s="15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>
      <c r="A217" s="4"/>
      <c r="B217" s="4"/>
      <c r="C217" s="4"/>
      <c r="D217" s="4"/>
      <c r="E217" s="4"/>
      <c r="F217" s="4"/>
      <c r="G217" s="4"/>
      <c r="H217" s="4"/>
      <c r="I217" s="4"/>
      <c r="J217" s="15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>
      <c r="A218" s="4"/>
      <c r="B218" s="4"/>
      <c r="C218" s="4"/>
      <c r="D218" s="4"/>
      <c r="E218" s="4"/>
      <c r="F218" s="4"/>
      <c r="G218" s="4"/>
      <c r="H218" s="4"/>
      <c r="I218" s="4"/>
      <c r="J218" s="156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>
      <c r="A219" s="4"/>
      <c r="B219" s="4"/>
      <c r="C219" s="4"/>
      <c r="D219" s="4"/>
      <c r="E219" s="4"/>
      <c r="F219" s="4"/>
      <c r="G219" s="4"/>
      <c r="H219" s="4"/>
      <c r="I219" s="4"/>
      <c r="J219" s="15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>
      <c r="A220" s="4"/>
      <c r="B220" s="4"/>
      <c r="C220" s="4"/>
      <c r="D220" s="4"/>
      <c r="E220" s="4"/>
      <c r="F220" s="4"/>
      <c r="G220" s="4"/>
      <c r="H220" s="4"/>
      <c r="I220" s="4"/>
      <c r="J220" s="15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>
      <c r="A221" s="4"/>
      <c r="B221" s="4"/>
      <c r="C221" s="4"/>
      <c r="D221" s="4"/>
      <c r="E221" s="4"/>
      <c r="F221" s="4"/>
      <c r="G221" s="4"/>
      <c r="H221" s="4"/>
      <c r="I221" s="4"/>
      <c r="J221" s="15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>
      <c r="A222" s="4"/>
      <c r="B222" s="4"/>
      <c r="C222" s="4"/>
      <c r="D222" s="4"/>
      <c r="E222" s="4"/>
      <c r="F222" s="4"/>
      <c r="G222" s="4"/>
      <c r="H222" s="4"/>
      <c r="I222" s="4"/>
      <c r="J222" s="15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>
      <c r="A223" s="4"/>
      <c r="B223" s="4"/>
      <c r="C223" s="4"/>
      <c r="D223" s="4"/>
      <c r="E223" s="4"/>
      <c r="F223" s="4"/>
      <c r="G223" s="4"/>
      <c r="H223" s="4"/>
      <c r="I223" s="4"/>
      <c r="J223" s="156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>
      <c r="A224" s="4"/>
      <c r="B224" s="4"/>
      <c r="C224" s="4"/>
      <c r="D224" s="4"/>
      <c r="E224" s="4"/>
      <c r="F224" s="4"/>
      <c r="G224" s="4"/>
      <c r="H224" s="4"/>
      <c r="I224" s="4"/>
      <c r="J224" s="15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>
      <c r="A225" s="4"/>
      <c r="B225" s="4"/>
      <c r="C225" s="4"/>
      <c r="D225" s="4"/>
      <c r="E225" s="4"/>
      <c r="F225" s="4"/>
      <c r="G225" s="4"/>
      <c r="H225" s="4"/>
      <c r="I225" s="4"/>
      <c r="J225" s="15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>
      <c r="A226" s="4"/>
      <c r="B226" s="4"/>
      <c r="C226" s="4"/>
      <c r="D226" s="4"/>
      <c r="E226" s="4"/>
      <c r="F226" s="4"/>
      <c r="G226" s="4"/>
      <c r="H226" s="4"/>
      <c r="I226" s="4"/>
      <c r="J226" s="15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>
      <c r="A227" s="4"/>
      <c r="B227" s="4"/>
      <c r="C227" s="4"/>
      <c r="D227" s="4"/>
      <c r="E227" s="4"/>
      <c r="F227" s="4"/>
      <c r="G227" s="4"/>
      <c r="H227" s="4"/>
      <c r="I227" s="4"/>
      <c r="J227" s="15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>
      <c r="A228" s="4"/>
      <c r="B228" s="4"/>
      <c r="C228" s="4"/>
      <c r="D228" s="4"/>
      <c r="E228" s="4"/>
      <c r="F228" s="4"/>
      <c r="G228" s="4"/>
      <c r="H228" s="4"/>
      <c r="I228" s="4"/>
      <c r="J228" s="15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>
      <c r="A229" s="4"/>
      <c r="B229" s="4"/>
      <c r="C229" s="4"/>
      <c r="D229" s="4"/>
      <c r="E229" s="4"/>
      <c r="F229" s="4"/>
      <c r="G229" s="4"/>
      <c r="H229" s="4"/>
      <c r="I229" s="4"/>
      <c r="J229" s="15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>
      <c r="A230" s="4"/>
      <c r="B230" s="4"/>
      <c r="C230" s="4"/>
      <c r="D230" s="4"/>
      <c r="E230" s="4"/>
      <c r="F230" s="4"/>
      <c r="G230" s="4"/>
      <c r="H230" s="4"/>
      <c r="I230" s="4"/>
      <c r="J230" s="15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>
      <c r="A231" s="4"/>
      <c r="B231" s="4"/>
      <c r="C231" s="4"/>
      <c r="D231" s="4"/>
      <c r="E231" s="4"/>
      <c r="F231" s="4"/>
      <c r="G231" s="4"/>
      <c r="H231" s="4"/>
      <c r="I231" s="4"/>
      <c r="J231" s="156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>
      <c r="A232" s="4"/>
      <c r="B232" s="4"/>
      <c r="C232" s="4"/>
      <c r="D232" s="4"/>
      <c r="E232" s="4"/>
      <c r="F232" s="4"/>
      <c r="G232" s="4"/>
      <c r="H232" s="4"/>
      <c r="I232" s="4"/>
      <c r="J232" s="15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>
      <c r="A233" s="4"/>
      <c r="B233" s="4"/>
      <c r="C233" s="4"/>
      <c r="D233" s="4"/>
      <c r="E233" s="4"/>
      <c r="F233" s="4"/>
      <c r="G233" s="4"/>
      <c r="H233" s="4"/>
      <c r="I233" s="4"/>
      <c r="J233" s="15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>
      <c r="A234" s="4"/>
      <c r="B234" s="4"/>
      <c r="C234" s="4"/>
      <c r="D234" s="4"/>
      <c r="E234" s="4"/>
      <c r="F234" s="4"/>
      <c r="G234" s="4"/>
      <c r="H234" s="4"/>
      <c r="I234" s="4"/>
      <c r="J234" s="156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>
      <c r="A235" s="4"/>
      <c r="B235" s="4"/>
      <c r="C235" s="4"/>
      <c r="D235" s="4"/>
      <c r="E235" s="4"/>
      <c r="F235" s="4"/>
      <c r="G235" s="4"/>
      <c r="H235" s="4"/>
      <c r="I235" s="4"/>
      <c r="J235" s="15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>
      <c r="A236" s="4"/>
      <c r="B236" s="4"/>
      <c r="C236" s="4"/>
      <c r="D236" s="4"/>
      <c r="E236" s="4"/>
      <c r="F236" s="4"/>
      <c r="G236" s="4"/>
      <c r="H236" s="4"/>
      <c r="I236" s="4"/>
      <c r="J236" s="15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>
      <c r="A237" s="4"/>
      <c r="B237" s="4"/>
      <c r="C237" s="4"/>
      <c r="D237" s="4"/>
      <c r="E237" s="4"/>
      <c r="F237" s="4"/>
      <c r="G237" s="4"/>
      <c r="H237" s="4"/>
      <c r="I237" s="4"/>
      <c r="J237" s="15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>
      <c r="A238" s="4"/>
      <c r="B238" s="4"/>
      <c r="C238" s="4"/>
      <c r="D238" s="4"/>
      <c r="E238" s="4"/>
      <c r="F238" s="4"/>
      <c r="G238" s="4"/>
      <c r="H238" s="4"/>
      <c r="I238" s="4"/>
      <c r="J238" s="15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>
      <c r="A239" s="4"/>
      <c r="B239" s="4"/>
      <c r="C239" s="4"/>
      <c r="D239" s="4"/>
      <c r="E239" s="4"/>
      <c r="F239" s="4"/>
      <c r="G239" s="4"/>
      <c r="H239" s="4"/>
      <c r="I239" s="4"/>
      <c r="J239" s="15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>
      <c r="A240" s="4"/>
      <c r="B240" s="4"/>
      <c r="C240" s="4"/>
      <c r="D240" s="4"/>
      <c r="E240" s="4"/>
      <c r="F240" s="4"/>
      <c r="G240" s="4"/>
      <c r="H240" s="4"/>
      <c r="I240" s="4"/>
      <c r="J240" s="15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>
      <c r="A241" s="4"/>
      <c r="B241" s="4"/>
      <c r="C241" s="4"/>
      <c r="D241" s="4"/>
      <c r="E241" s="4"/>
      <c r="F241" s="4"/>
      <c r="G241" s="4"/>
      <c r="H241" s="4"/>
      <c r="I241" s="4"/>
      <c r="J241" s="15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>
      <c r="A242" s="4"/>
      <c r="B242" s="4"/>
      <c r="C242" s="4"/>
      <c r="D242" s="4"/>
      <c r="E242" s="4"/>
      <c r="F242" s="4"/>
      <c r="G242" s="4"/>
      <c r="H242" s="4"/>
      <c r="I242" s="4"/>
      <c r="J242" s="15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>
      <c r="A243" s="4"/>
      <c r="B243" s="4"/>
      <c r="C243" s="4"/>
      <c r="D243" s="4"/>
      <c r="E243" s="4"/>
      <c r="F243" s="4"/>
      <c r="G243" s="4"/>
      <c r="H243" s="4"/>
      <c r="I243" s="4"/>
      <c r="J243" s="15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>
      <c r="A244" s="4"/>
      <c r="B244" s="4"/>
      <c r="C244" s="4"/>
      <c r="D244" s="4"/>
      <c r="E244" s="4"/>
      <c r="F244" s="4"/>
      <c r="G244" s="4"/>
      <c r="H244" s="4"/>
      <c r="I244" s="4"/>
      <c r="J244" s="15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>
      <c r="A245" s="4"/>
      <c r="B245" s="4"/>
      <c r="C245" s="4"/>
      <c r="D245" s="4"/>
      <c r="E245" s="4"/>
      <c r="F245" s="4"/>
      <c r="G245" s="4"/>
      <c r="H245" s="4"/>
      <c r="I245" s="4"/>
      <c r="J245" s="15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>
      <c r="A246" s="4"/>
      <c r="B246" s="4"/>
      <c r="C246" s="4"/>
      <c r="D246" s="4"/>
      <c r="E246" s="4"/>
      <c r="F246" s="4"/>
      <c r="G246" s="4"/>
      <c r="H246" s="4"/>
      <c r="I246" s="4"/>
      <c r="J246" s="15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>
      <c r="A247" s="4"/>
      <c r="B247" s="4"/>
      <c r="C247" s="4"/>
      <c r="D247" s="4"/>
      <c r="E247" s="4"/>
      <c r="F247" s="4"/>
      <c r="G247" s="4"/>
      <c r="H247" s="4"/>
      <c r="I247" s="4"/>
      <c r="J247" s="15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>
      <c r="A248" s="4"/>
      <c r="B248" s="4"/>
      <c r="C248" s="4"/>
      <c r="D248" s="4"/>
      <c r="E248" s="4"/>
      <c r="F248" s="4"/>
      <c r="G248" s="4"/>
      <c r="H248" s="4"/>
      <c r="I248" s="4"/>
      <c r="J248" s="15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>
      <c r="A249" s="4"/>
      <c r="B249" s="4"/>
      <c r="C249" s="4"/>
      <c r="D249" s="4"/>
      <c r="E249" s="4"/>
      <c r="F249" s="4"/>
      <c r="G249" s="4"/>
      <c r="H249" s="4"/>
      <c r="I249" s="4"/>
      <c r="J249" s="15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>
      <c r="A250" s="4"/>
      <c r="B250" s="4"/>
      <c r="C250" s="4"/>
      <c r="D250" s="4"/>
      <c r="E250" s="4"/>
      <c r="F250" s="4"/>
      <c r="G250" s="4"/>
      <c r="H250" s="4"/>
      <c r="I250" s="4"/>
      <c r="J250" s="15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>
      <c r="A251" s="4"/>
      <c r="B251" s="4"/>
      <c r="C251" s="4"/>
      <c r="D251" s="4"/>
      <c r="E251" s="4"/>
      <c r="F251" s="4"/>
      <c r="G251" s="4"/>
      <c r="H251" s="4"/>
      <c r="I251" s="4"/>
      <c r="J251" s="15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>
      <c r="A252" s="4"/>
      <c r="B252" s="4"/>
      <c r="C252" s="4"/>
      <c r="D252" s="4"/>
      <c r="E252" s="4"/>
      <c r="F252" s="4"/>
      <c r="G252" s="4"/>
      <c r="H252" s="4"/>
      <c r="I252" s="4"/>
      <c r="J252" s="15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>
      <c r="A253" s="4"/>
      <c r="B253" s="4"/>
      <c r="C253" s="4"/>
      <c r="D253" s="4"/>
      <c r="E253" s="4"/>
      <c r="F253" s="4"/>
      <c r="G253" s="4"/>
      <c r="H253" s="4"/>
      <c r="I253" s="4"/>
      <c r="J253" s="15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>
      <c r="A254" s="4"/>
      <c r="B254" s="4"/>
      <c r="C254" s="4"/>
      <c r="D254" s="4"/>
      <c r="E254" s="4"/>
      <c r="F254" s="4"/>
      <c r="G254" s="4"/>
      <c r="H254" s="4"/>
      <c r="I254" s="4"/>
      <c r="J254" s="15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>
      <c r="A255" s="4"/>
      <c r="B255" s="4"/>
      <c r="C255" s="4"/>
      <c r="D255" s="4"/>
      <c r="E255" s="4"/>
      <c r="F255" s="4"/>
      <c r="G255" s="4"/>
      <c r="H255" s="4"/>
      <c r="I255" s="4"/>
      <c r="J255" s="15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>
      <c r="A256" s="4"/>
      <c r="B256" s="4"/>
      <c r="C256" s="4"/>
      <c r="D256" s="4"/>
      <c r="E256" s="4"/>
      <c r="F256" s="4"/>
      <c r="G256" s="4"/>
      <c r="H256" s="4"/>
      <c r="I256" s="4"/>
      <c r="J256" s="15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>
      <c r="A257" s="4"/>
      <c r="B257" s="4"/>
      <c r="C257" s="4"/>
      <c r="D257" s="4"/>
      <c r="E257" s="4"/>
      <c r="F257" s="4"/>
      <c r="G257" s="4"/>
      <c r="H257" s="4"/>
      <c r="I257" s="4"/>
      <c r="J257" s="15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>
      <c r="A258" s="4"/>
      <c r="B258" s="4"/>
      <c r="C258" s="4"/>
      <c r="D258" s="4"/>
      <c r="E258" s="4"/>
      <c r="F258" s="4"/>
      <c r="G258" s="4"/>
      <c r="H258" s="4"/>
      <c r="I258" s="4"/>
      <c r="J258" s="15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>
      <c r="A259" s="4"/>
      <c r="B259" s="4"/>
      <c r="C259" s="4"/>
      <c r="D259" s="4"/>
      <c r="E259" s="4"/>
      <c r="F259" s="4"/>
      <c r="G259" s="4"/>
      <c r="H259" s="4"/>
      <c r="I259" s="4"/>
      <c r="J259" s="15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>
      <c r="A260" s="4"/>
      <c r="B260" s="4"/>
      <c r="C260" s="4"/>
      <c r="D260" s="4"/>
      <c r="E260" s="4"/>
      <c r="F260" s="4"/>
      <c r="G260" s="4"/>
      <c r="H260" s="4"/>
      <c r="I260" s="4"/>
      <c r="J260" s="15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>
      <c r="A261" s="4"/>
      <c r="B261" s="4"/>
      <c r="C261" s="4"/>
      <c r="D261" s="4"/>
      <c r="E261" s="4"/>
      <c r="F261" s="4"/>
      <c r="G261" s="4"/>
      <c r="H261" s="4"/>
      <c r="I261" s="4"/>
      <c r="J261" s="15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>
      <c r="A262" s="4"/>
      <c r="B262" s="4"/>
      <c r="C262" s="4"/>
      <c r="D262" s="4"/>
      <c r="E262" s="4"/>
      <c r="F262" s="4"/>
      <c r="G262" s="4"/>
      <c r="H262" s="4"/>
      <c r="I262" s="4"/>
      <c r="J262" s="15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>
      <c r="A263" s="4"/>
      <c r="B263" s="4"/>
      <c r="C263" s="4"/>
      <c r="D263" s="4"/>
      <c r="E263" s="4"/>
      <c r="F263" s="4"/>
      <c r="G263" s="4"/>
      <c r="H263" s="4"/>
      <c r="I263" s="4"/>
      <c r="J263" s="15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>
      <c r="A264" s="4"/>
      <c r="B264" s="4"/>
      <c r="C264" s="4"/>
      <c r="D264" s="4"/>
      <c r="E264" s="4"/>
      <c r="F264" s="4"/>
      <c r="G264" s="4"/>
      <c r="H264" s="4"/>
      <c r="I264" s="4"/>
      <c r="J264" s="15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>
      <c r="A265" s="4"/>
      <c r="B265" s="4"/>
      <c r="C265" s="4"/>
      <c r="D265" s="4"/>
      <c r="E265" s="4"/>
      <c r="F265" s="4"/>
      <c r="G265" s="4"/>
      <c r="H265" s="4"/>
      <c r="I265" s="4"/>
      <c r="J265" s="15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>
      <c r="A266" s="4"/>
      <c r="B266" s="4"/>
      <c r="C266" s="4"/>
      <c r="D266" s="4"/>
      <c r="E266" s="4"/>
      <c r="F266" s="4"/>
      <c r="G266" s="4"/>
      <c r="H266" s="4"/>
      <c r="I266" s="4"/>
      <c r="J266" s="15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>
      <c r="A267" s="4"/>
      <c r="B267" s="4"/>
      <c r="C267" s="4"/>
      <c r="D267" s="4"/>
      <c r="E267" s="4"/>
      <c r="F267" s="4"/>
      <c r="G267" s="4"/>
      <c r="H267" s="4"/>
      <c r="I267" s="4"/>
      <c r="J267" s="15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>
      <c r="A268" s="4"/>
      <c r="B268" s="4"/>
      <c r="C268" s="4"/>
      <c r="D268" s="4"/>
      <c r="E268" s="4"/>
      <c r="F268" s="4"/>
      <c r="G268" s="4"/>
      <c r="H268" s="4"/>
      <c r="I268" s="4"/>
      <c r="J268" s="15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>
      <c r="A269" s="4"/>
      <c r="B269" s="4"/>
      <c r="C269" s="4"/>
      <c r="D269" s="4"/>
      <c r="E269" s="4"/>
      <c r="F269" s="4"/>
      <c r="G269" s="4"/>
      <c r="H269" s="4"/>
      <c r="I269" s="4"/>
      <c r="J269" s="15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>
      <c r="A270" s="4"/>
      <c r="B270" s="4"/>
      <c r="C270" s="4"/>
      <c r="D270" s="4"/>
      <c r="E270" s="4"/>
      <c r="F270" s="4"/>
      <c r="G270" s="4"/>
      <c r="H270" s="4"/>
      <c r="I270" s="4"/>
      <c r="J270" s="15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>
      <c r="A271" s="4"/>
      <c r="B271" s="4"/>
      <c r="C271" s="4"/>
      <c r="D271" s="4"/>
      <c r="E271" s="4"/>
      <c r="F271" s="4"/>
      <c r="G271" s="4"/>
      <c r="H271" s="4"/>
      <c r="I271" s="4"/>
      <c r="J271" s="15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>
      <c r="A272" s="4"/>
      <c r="B272" s="4"/>
      <c r="C272" s="4"/>
      <c r="D272" s="4"/>
      <c r="E272" s="4"/>
      <c r="F272" s="4"/>
      <c r="G272" s="4"/>
      <c r="H272" s="4"/>
      <c r="I272" s="4"/>
      <c r="J272" s="15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>
      <c r="A273" s="4"/>
      <c r="B273" s="4"/>
      <c r="C273" s="4"/>
      <c r="D273" s="4"/>
      <c r="E273" s="4"/>
      <c r="F273" s="4"/>
      <c r="G273" s="4"/>
      <c r="H273" s="4"/>
      <c r="I273" s="4"/>
      <c r="J273" s="15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>
      <c r="A274" s="4"/>
      <c r="B274" s="4"/>
      <c r="C274" s="4"/>
      <c r="D274" s="4"/>
      <c r="E274" s="4"/>
      <c r="F274" s="4"/>
      <c r="G274" s="4"/>
      <c r="H274" s="4"/>
      <c r="I274" s="4"/>
      <c r="J274" s="15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>
      <c r="A275" s="4"/>
      <c r="B275" s="4"/>
      <c r="C275" s="4"/>
      <c r="D275" s="4"/>
      <c r="E275" s="4"/>
      <c r="F275" s="4"/>
      <c r="G275" s="4"/>
      <c r="H275" s="4"/>
      <c r="I275" s="4"/>
      <c r="J275" s="15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>
      <c r="A276" s="4"/>
      <c r="B276" s="4"/>
      <c r="C276" s="4"/>
      <c r="D276" s="4"/>
      <c r="E276" s="4"/>
      <c r="F276" s="4"/>
      <c r="G276" s="4"/>
      <c r="H276" s="4"/>
      <c r="I276" s="4"/>
      <c r="J276" s="15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>
      <c r="A277" s="4"/>
      <c r="B277" s="4"/>
      <c r="C277" s="4"/>
      <c r="D277" s="4"/>
      <c r="E277" s="4"/>
      <c r="F277" s="4"/>
      <c r="G277" s="4"/>
      <c r="H277" s="4"/>
      <c r="I277" s="4"/>
      <c r="J277" s="15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>
      <c r="A278" s="4"/>
      <c r="B278" s="4"/>
      <c r="C278" s="4"/>
      <c r="D278" s="4"/>
      <c r="E278" s="4"/>
      <c r="F278" s="4"/>
      <c r="G278" s="4"/>
      <c r="H278" s="4"/>
      <c r="I278" s="4"/>
      <c r="J278" s="15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>
      <c r="A279" s="4"/>
      <c r="B279" s="4"/>
      <c r="C279" s="4"/>
      <c r="D279" s="4"/>
      <c r="E279" s="4"/>
      <c r="F279" s="4"/>
      <c r="G279" s="4"/>
      <c r="H279" s="4"/>
      <c r="I279" s="4"/>
      <c r="J279" s="15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>
      <c r="A280" s="4"/>
      <c r="B280" s="4"/>
      <c r="C280" s="4"/>
      <c r="D280" s="4"/>
      <c r="E280" s="4"/>
      <c r="F280" s="4"/>
      <c r="G280" s="4"/>
      <c r="H280" s="4"/>
      <c r="I280" s="4"/>
      <c r="J280" s="15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>
      <c r="A281" s="4"/>
      <c r="B281" s="4"/>
      <c r="C281" s="4"/>
      <c r="D281" s="4"/>
      <c r="E281" s="4"/>
      <c r="F281" s="4"/>
      <c r="G281" s="4"/>
      <c r="H281" s="4"/>
      <c r="I281" s="4"/>
      <c r="J281" s="15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>
      <c r="A282" s="4"/>
      <c r="B282" s="4"/>
      <c r="C282" s="4"/>
      <c r="D282" s="4"/>
      <c r="E282" s="4"/>
      <c r="F282" s="4"/>
      <c r="G282" s="4"/>
      <c r="H282" s="4"/>
      <c r="I282" s="4"/>
      <c r="J282" s="15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>
      <c r="A283" s="4"/>
      <c r="B283" s="4"/>
      <c r="C283" s="4"/>
      <c r="D283" s="4"/>
      <c r="E283" s="4"/>
      <c r="F283" s="4"/>
      <c r="G283" s="4"/>
      <c r="H283" s="4"/>
      <c r="I283" s="4"/>
      <c r="J283" s="15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>
      <c r="A284" s="4"/>
      <c r="B284" s="4"/>
      <c r="C284" s="4"/>
      <c r="D284" s="4"/>
      <c r="E284" s="4"/>
      <c r="F284" s="4"/>
      <c r="G284" s="4"/>
      <c r="H284" s="4"/>
      <c r="I284" s="4"/>
      <c r="J284" s="15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>
      <c r="A285" s="4"/>
      <c r="B285" s="4"/>
      <c r="C285" s="4"/>
      <c r="D285" s="4"/>
      <c r="E285" s="4"/>
      <c r="F285" s="4"/>
      <c r="G285" s="4"/>
      <c r="H285" s="4"/>
      <c r="I285" s="4"/>
      <c r="J285" s="15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>
      <c r="A286" s="4"/>
      <c r="B286" s="4"/>
      <c r="C286" s="4"/>
      <c r="D286" s="4"/>
      <c r="E286" s="4"/>
      <c r="F286" s="4"/>
      <c r="G286" s="4"/>
      <c r="H286" s="4"/>
      <c r="I286" s="4"/>
      <c r="J286" s="15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>
      <c r="A287" s="4"/>
      <c r="B287" s="4"/>
      <c r="C287" s="4"/>
      <c r="D287" s="4"/>
      <c r="E287" s="4"/>
      <c r="F287" s="4"/>
      <c r="G287" s="4"/>
      <c r="H287" s="4"/>
      <c r="I287" s="4"/>
      <c r="J287" s="15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>
      <c r="A288" s="4"/>
      <c r="B288" s="4"/>
      <c r="C288" s="4"/>
      <c r="D288" s="4"/>
      <c r="E288" s="4"/>
      <c r="F288" s="4"/>
      <c r="G288" s="4"/>
      <c r="H288" s="4"/>
      <c r="I288" s="4"/>
      <c r="J288" s="15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>
      <c r="A289" s="4"/>
      <c r="B289" s="4"/>
      <c r="C289" s="4"/>
      <c r="D289" s="4"/>
      <c r="E289" s="4"/>
      <c r="F289" s="4"/>
      <c r="G289" s="4"/>
      <c r="H289" s="4"/>
      <c r="I289" s="4"/>
      <c r="J289" s="15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>
      <c r="A290" s="4"/>
      <c r="B290" s="4"/>
      <c r="C290" s="4"/>
      <c r="D290" s="4"/>
      <c r="E290" s="4"/>
      <c r="F290" s="4"/>
      <c r="G290" s="4"/>
      <c r="H290" s="4"/>
      <c r="I290" s="4"/>
      <c r="J290" s="15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>
      <c r="A291" s="4"/>
      <c r="B291" s="4"/>
      <c r="C291" s="4"/>
      <c r="D291" s="4"/>
      <c r="E291" s="4"/>
      <c r="F291" s="4"/>
      <c r="G291" s="4"/>
      <c r="H291" s="4"/>
      <c r="I291" s="4"/>
      <c r="J291" s="15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>
      <c r="A292" s="4"/>
      <c r="B292" s="4"/>
      <c r="C292" s="4"/>
      <c r="D292" s="4"/>
      <c r="E292" s="4"/>
      <c r="F292" s="4"/>
      <c r="G292" s="4"/>
      <c r="H292" s="4"/>
      <c r="I292" s="4"/>
      <c r="J292" s="15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>
      <c r="A293" s="4"/>
      <c r="B293" s="4"/>
      <c r="C293" s="4"/>
      <c r="D293" s="4"/>
      <c r="E293" s="4"/>
      <c r="F293" s="4"/>
      <c r="G293" s="4"/>
      <c r="H293" s="4"/>
      <c r="I293" s="4"/>
      <c r="J293" s="15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>
      <c r="A294" s="4"/>
      <c r="B294" s="4"/>
      <c r="C294" s="4"/>
      <c r="D294" s="4"/>
      <c r="E294" s="4"/>
      <c r="F294" s="4"/>
      <c r="G294" s="4"/>
      <c r="H294" s="4"/>
      <c r="I294" s="4"/>
      <c r="J294" s="15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>
      <c r="A295" s="4"/>
      <c r="B295" s="4"/>
      <c r="C295" s="4"/>
      <c r="D295" s="4"/>
      <c r="E295" s="4"/>
      <c r="F295" s="4"/>
      <c r="G295" s="4"/>
      <c r="H295" s="4"/>
      <c r="I295" s="4"/>
      <c r="J295" s="15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>
      <c r="A296" s="4"/>
      <c r="B296" s="4"/>
      <c r="C296" s="4"/>
      <c r="D296" s="4"/>
      <c r="E296" s="4"/>
      <c r="F296" s="4"/>
      <c r="G296" s="4"/>
      <c r="H296" s="4"/>
      <c r="I296" s="4"/>
      <c r="J296" s="15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>
      <c r="A297" s="4"/>
      <c r="B297" s="4"/>
      <c r="C297" s="4"/>
      <c r="D297" s="4"/>
      <c r="E297" s="4"/>
      <c r="F297" s="4"/>
      <c r="G297" s="4"/>
      <c r="H297" s="4"/>
      <c r="I297" s="4"/>
      <c r="J297" s="15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>
      <c r="A298" s="4"/>
      <c r="B298" s="4"/>
      <c r="C298" s="4"/>
      <c r="D298" s="4"/>
      <c r="E298" s="4"/>
      <c r="F298" s="4"/>
      <c r="G298" s="4"/>
      <c r="H298" s="4"/>
      <c r="I298" s="4"/>
      <c r="J298" s="15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>
      <c r="A299" s="4"/>
      <c r="B299" s="4"/>
      <c r="C299" s="4"/>
      <c r="D299" s="4"/>
      <c r="E299" s="4"/>
      <c r="F299" s="4"/>
      <c r="G299" s="4"/>
      <c r="H299" s="4"/>
      <c r="I299" s="4"/>
      <c r="J299" s="15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>
      <c r="A300" s="4"/>
      <c r="B300" s="4"/>
      <c r="C300" s="4"/>
      <c r="D300" s="4"/>
      <c r="E300" s="4"/>
      <c r="F300" s="4"/>
      <c r="G300" s="4"/>
      <c r="H300" s="4"/>
      <c r="I300" s="4"/>
      <c r="J300" s="15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>
      <c r="A301" s="4"/>
      <c r="B301" s="4"/>
      <c r="C301" s="4"/>
      <c r="D301" s="4"/>
      <c r="E301" s="4"/>
      <c r="F301" s="4"/>
      <c r="G301" s="4"/>
      <c r="H301" s="4"/>
      <c r="I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>
      <c r="A306" s="4"/>
      <c r="B306" s="4"/>
      <c r="C306" s="4"/>
      <c r="D306" s="4"/>
      <c r="E306" s="4"/>
      <c r="F306" s="4"/>
      <c r="G306" s="4"/>
      <c r="H306" s="4"/>
      <c r="I306" s="4"/>
      <c r="J306" s="15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>
      <c r="A410" s="4"/>
      <c r="B410" s="4"/>
      <c r="C410" s="4"/>
      <c r="D410" s="4"/>
      <c r="E410" s="4"/>
      <c r="F410" s="4"/>
      <c r="G410" s="4"/>
      <c r="H410" s="4"/>
      <c r="I410" s="4"/>
      <c r="J410" s="8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>
      <c r="A411" s="4"/>
      <c r="B411" s="4"/>
      <c r="C411" s="4"/>
      <c r="D411" s="4"/>
      <c r="E411" s="4"/>
      <c r="F411" s="4"/>
      <c r="G411" s="4"/>
      <c r="H411" s="4"/>
      <c r="I411" s="4"/>
      <c r="J411" s="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>
      <c r="A412" s="4"/>
      <c r="B412" s="4"/>
      <c r="C412" s="4"/>
      <c r="D412" s="4"/>
      <c r="E412" s="4"/>
      <c r="F412" s="4"/>
      <c r="G412" s="4"/>
      <c r="H412" s="4"/>
      <c r="I412" s="4"/>
      <c r="J412" s="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>
      <c r="A413" s="4"/>
      <c r="B413" s="4"/>
      <c r="C413" s="4"/>
      <c r="D413" s="4"/>
      <c r="E413" s="4"/>
      <c r="F413" s="4"/>
      <c r="G413" s="4"/>
      <c r="H413" s="4"/>
      <c r="I413" s="4"/>
      <c r="J413" s="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>
      <c r="A414" s="4"/>
      <c r="B414" s="4"/>
      <c r="C414" s="4"/>
      <c r="D414" s="4"/>
      <c r="E414" s="4"/>
      <c r="F414" s="4"/>
      <c r="G414" s="4"/>
      <c r="H414" s="4"/>
      <c r="I414" s="4"/>
      <c r="J414" s="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>
      <c r="A415" s="4"/>
      <c r="B415" s="4"/>
      <c r="C415" s="4"/>
      <c r="D415" s="4"/>
      <c r="E415" s="4"/>
      <c r="F415" s="4"/>
      <c r="G415" s="4"/>
      <c r="H415" s="4"/>
      <c r="I415" s="4"/>
      <c r="J415" s="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>
      <c r="A416" s="4"/>
      <c r="B416" s="4"/>
      <c r="C416" s="4"/>
      <c r="D416" s="4"/>
      <c r="E416" s="4"/>
      <c r="F416" s="4"/>
      <c r="G416" s="4"/>
      <c r="H416" s="4"/>
      <c r="I416" s="4"/>
      <c r="J416" s="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>
      <c r="A417" s="4"/>
      <c r="B417" s="4"/>
      <c r="C417" s="4"/>
      <c r="D417" s="4"/>
      <c r="E417" s="4"/>
      <c r="F417" s="4"/>
      <c r="G417" s="4"/>
      <c r="H417" s="4"/>
      <c r="I417" s="4"/>
      <c r="J417" s="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>
      <c r="A418" s="4"/>
      <c r="B418" s="4"/>
      <c r="C418" s="4"/>
      <c r="D418" s="4"/>
      <c r="E418" s="4"/>
      <c r="F418" s="4"/>
      <c r="G418" s="4"/>
      <c r="H418" s="4"/>
      <c r="I418" s="4"/>
      <c r="J418" s="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>
      <c r="A419" s="4"/>
      <c r="B419" s="4"/>
      <c r="C419" s="4"/>
      <c r="D419" s="4"/>
      <c r="E419" s="4"/>
      <c r="F419" s="4"/>
      <c r="G419" s="4"/>
      <c r="H419" s="4"/>
      <c r="I419" s="4"/>
      <c r="J419" s="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>
      <c r="A420" s="4"/>
      <c r="B420" s="4"/>
      <c r="C420" s="4"/>
      <c r="D420" s="4"/>
      <c r="E420" s="4"/>
      <c r="F420" s="4"/>
      <c r="G420" s="4"/>
      <c r="H420" s="4"/>
      <c r="I420" s="4"/>
      <c r="J420" s="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>
      <c r="A421" s="4"/>
      <c r="B421" s="4"/>
      <c r="C421" s="4"/>
      <c r="D421" s="4"/>
      <c r="E421" s="4"/>
      <c r="F421" s="4"/>
      <c r="G421" s="4"/>
      <c r="H421" s="4"/>
      <c r="I421" s="4"/>
      <c r="J421" s="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>
      <c r="A422" s="4"/>
      <c r="B422" s="4"/>
      <c r="C422" s="4"/>
      <c r="D422" s="4"/>
      <c r="E422" s="4"/>
      <c r="F422" s="4"/>
      <c r="G422" s="4"/>
      <c r="H422" s="4"/>
      <c r="I422" s="4"/>
      <c r="J422" s="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>
      <c r="A423" s="4"/>
      <c r="B423" s="4"/>
      <c r="C423" s="4"/>
      <c r="D423" s="4"/>
      <c r="E423" s="4"/>
      <c r="F423" s="4"/>
      <c r="G423" s="4"/>
      <c r="H423" s="4"/>
      <c r="I423" s="4"/>
      <c r="J423" s="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>
      <c r="A424" s="4"/>
      <c r="B424" s="4"/>
      <c r="C424" s="4"/>
      <c r="D424" s="4"/>
      <c r="E424" s="4"/>
      <c r="F424" s="4"/>
      <c r="G424" s="4"/>
      <c r="H424" s="4"/>
      <c r="I424" s="4"/>
      <c r="J424" s="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>
      <c r="A425" s="4"/>
      <c r="B425" s="4"/>
      <c r="C425" s="4"/>
      <c r="D425" s="4"/>
      <c r="E425" s="4"/>
      <c r="F425" s="4"/>
      <c r="G425" s="4"/>
      <c r="H425" s="4"/>
      <c r="I425" s="4"/>
      <c r="J425" s="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>
      <c r="A426" s="4"/>
      <c r="B426" s="4"/>
      <c r="C426" s="4"/>
      <c r="D426" s="4"/>
      <c r="E426" s="4"/>
      <c r="F426" s="4"/>
      <c r="G426" s="4"/>
      <c r="H426" s="4"/>
      <c r="I426" s="4"/>
      <c r="J426" s="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>
      <c r="A427" s="4"/>
      <c r="B427" s="4"/>
      <c r="C427" s="4"/>
      <c r="D427" s="4"/>
      <c r="E427" s="4"/>
      <c r="F427" s="4"/>
      <c r="G427" s="4"/>
      <c r="H427" s="4"/>
      <c r="I427" s="4"/>
      <c r="J427" s="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>
      <c r="A428" s="4"/>
      <c r="B428" s="4"/>
      <c r="C428" s="4"/>
      <c r="D428" s="4"/>
      <c r="E428" s="4"/>
      <c r="F428" s="4"/>
      <c r="G428" s="4"/>
      <c r="H428" s="4"/>
      <c r="I428" s="4"/>
      <c r="J428" s="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>
      <c r="A429" s="4"/>
      <c r="B429" s="4"/>
      <c r="C429" s="4"/>
      <c r="D429" s="4"/>
      <c r="E429" s="4"/>
      <c r="F429" s="4"/>
      <c r="G429" s="4"/>
      <c r="H429" s="4"/>
      <c r="I429" s="4"/>
      <c r="J429" s="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>
      <c r="A430" s="4"/>
      <c r="B430" s="4"/>
      <c r="C430" s="4"/>
      <c r="D430" s="4"/>
      <c r="E430" s="4"/>
      <c r="F430" s="4"/>
      <c r="G430" s="4"/>
      <c r="H430" s="4"/>
      <c r="I430" s="4"/>
      <c r="J430" s="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>
      <c r="A431" s="4"/>
      <c r="B431" s="4"/>
      <c r="C431" s="4"/>
      <c r="D431" s="4"/>
      <c r="E431" s="4"/>
      <c r="F431" s="4"/>
      <c r="G431" s="4"/>
      <c r="H431" s="4"/>
      <c r="I431" s="4"/>
      <c r="J431" s="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>
      <c r="A432" s="4"/>
      <c r="B432" s="4"/>
      <c r="C432" s="4"/>
      <c r="D432" s="4"/>
      <c r="E432" s="4"/>
      <c r="F432" s="4"/>
      <c r="G432" s="4"/>
      <c r="H432" s="4"/>
      <c r="I432" s="4"/>
      <c r="J432" s="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>
      <c r="A433" s="4"/>
      <c r="B433" s="4"/>
      <c r="C433" s="4"/>
      <c r="D433" s="4"/>
      <c r="E433" s="4"/>
      <c r="F433" s="4"/>
      <c r="G433" s="4"/>
      <c r="H433" s="4"/>
      <c r="I433" s="4"/>
      <c r="J433" s="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>
      <c r="A434" s="4"/>
      <c r="B434" s="4"/>
      <c r="C434" s="4"/>
      <c r="D434" s="4"/>
      <c r="E434" s="4"/>
      <c r="F434" s="4"/>
      <c r="G434" s="4"/>
      <c r="H434" s="4"/>
      <c r="I434" s="4"/>
      <c r="J434" s="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>
      <c r="A435" s="4"/>
      <c r="B435" s="4"/>
      <c r="C435" s="4"/>
      <c r="D435" s="4"/>
      <c r="E435" s="4"/>
      <c r="F435" s="4"/>
      <c r="G435" s="4"/>
      <c r="H435" s="4"/>
      <c r="I435" s="4"/>
      <c r="J435" s="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>
      <c r="A436" s="4"/>
      <c r="B436" s="4"/>
      <c r="C436" s="4"/>
      <c r="D436" s="4"/>
      <c r="E436" s="4"/>
      <c r="F436" s="4"/>
      <c r="G436" s="4"/>
      <c r="H436" s="4"/>
      <c r="I436" s="4"/>
      <c r="J436" s="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>
      <c r="A437" s="4"/>
      <c r="B437" s="4"/>
      <c r="C437" s="4"/>
      <c r="D437" s="4"/>
      <c r="E437" s="4"/>
      <c r="F437" s="4"/>
      <c r="G437" s="4"/>
      <c r="H437" s="4"/>
      <c r="I437" s="4"/>
      <c r="J437" s="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>
      <c r="A438" s="4"/>
      <c r="B438" s="4"/>
      <c r="C438" s="4"/>
      <c r="D438" s="4"/>
      <c r="E438" s="4"/>
      <c r="F438" s="4"/>
      <c r="G438" s="4"/>
      <c r="H438" s="4"/>
      <c r="I438" s="4"/>
      <c r="J438" s="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>
      <c r="A439" s="4"/>
      <c r="B439" s="4"/>
      <c r="C439" s="4"/>
      <c r="D439" s="4"/>
      <c r="E439" s="4"/>
      <c r="F439" s="4"/>
      <c r="G439" s="4"/>
      <c r="H439" s="4"/>
      <c r="I439" s="4"/>
      <c r="J439" s="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>
      <c r="A440" s="4"/>
      <c r="B440" s="4"/>
      <c r="C440" s="4"/>
      <c r="D440" s="4"/>
      <c r="E440" s="4"/>
      <c r="F440" s="4"/>
      <c r="G440" s="4"/>
      <c r="H440" s="4"/>
      <c r="I440" s="4"/>
      <c r="J440" s="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>
      <c r="A441" s="4"/>
      <c r="B441" s="4"/>
      <c r="C441" s="4"/>
      <c r="D441" s="4"/>
      <c r="E441" s="4"/>
      <c r="F441" s="4"/>
      <c r="G441" s="4"/>
      <c r="H441" s="4"/>
      <c r="I441" s="4"/>
      <c r="J441" s="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>
      <c r="A442" s="4"/>
      <c r="B442" s="4"/>
      <c r="C442" s="4"/>
      <c r="D442" s="4"/>
      <c r="E442" s="4"/>
      <c r="F442" s="4"/>
      <c r="G442" s="4"/>
      <c r="H442" s="4"/>
      <c r="I442" s="4"/>
      <c r="J442" s="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>
      <c r="A443" s="4"/>
      <c r="B443" s="4"/>
      <c r="C443" s="4"/>
      <c r="D443" s="4"/>
      <c r="E443" s="4"/>
      <c r="F443" s="4"/>
      <c r="G443" s="4"/>
      <c r="H443" s="4"/>
      <c r="I443" s="4"/>
      <c r="J443" s="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>
      <c r="A444" s="4"/>
      <c r="B444" s="4"/>
      <c r="C444" s="4"/>
      <c r="D444" s="4"/>
      <c r="E444" s="4"/>
      <c r="F444" s="4"/>
      <c r="G444" s="4"/>
      <c r="H444" s="4"/>
      <c r="I444" s="4"/>
      <c r="J444" s="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>
      <c r="A445" s="4"/>
      <c r="B445" s="4"/>
      <c r="C445" s="4"/>
      <c r="D445" s="4"/>
      <c r="E445" s="4"/>
      <c r="F445" s="4"/>
      <c r="G445" s="4"/>
      <c r="H445" s="4"/>
      <c r="I445" s="4"/>
      <c r="J445" s="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>
      <c r="A446" s="4"/>
      <c r="B446" s="4"/>
      <c r="C446" s="4"/>
      <c r="D446" s="4"/>
      <c r="E446" s="4"/>
      <c r="F446" s="4"/>
      <c r="G446" s="4"/>
      <c r="H446" s="4"/>
      <c r="I446" s="4"/>
      <c r="J446" s="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>
      <c r="A447" s="4"/>
      <c r="B447" s="4"/>
      <c r="C447" s="4"/>
      <c r="D447" s="4"/>
      <c r="E447" s="4"/>
      <c r="F447" s="4"/>
      <c r="G447" s="4"/>
      <c r="H447" s="4"/>
      <c r="I447" s="4"/>
      <c r="J447" s="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>
      <c r="A448" s="4"/>
      <c r="B448" s="4"/>
      <c r="C448" s="4"/>
      <c r="D448" s="4"/>
      <c r="E448" s="4"/>
      <c r="F448" s="4"/>
      <c r="G448" s="4"/>
      <c r="H448" s="4"/>
      <c r="I448" s="4"/>
      <c r="J448" s="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>
      <c r="A449" s="4"/>
      <c r="B449" s="4"/>
      <c r="C449" s="4"/>
      <c r="D449" s="4"/>
      <c r="E449" s="4"/>
      <c r="F449" s="4"/>
      <c r="G449" s="4"/>
      <c r="H449" s="4"/>
      <c r="I449" s="4"/>
      <c r="J449" s="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>
      <c r="A450" s="4"/>
      <c r="B450" s="4"/>
      <c r="C450" s="4"/>
      <c r="D450" s="4"/>
      <c r="E450" s="4"/>
      <c r="F450" s="4"/>
      <c r="G450" s="4"/>
      <c r="H450" s="4"/>
      <c r="I450" s="4"/>
      <c r="J450" s="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>
      <c r="A451" s="4"/>
      <c r="B451" s="4"/>
      <c r="C451" s="4"/>
      <c r="D451" s="4"/>
      <c r="E451" s="4"/>
      <c r="F451" s="4"/>
      <c r="G451" s="4"/>
      <c r="H451" s="4"/>
      <c r="I451" s="4"/>
      <c r="J451" s="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>
      <c r="A452" s="4"/>
      <c r="B452" s="4"/>
      <c r="C452" s="4"/>
      <c r="D452" s="4"/>
      <c r="E452" s="4"/>
      <c r="F452" s="4"/>
      <c r="G452" s="4"/>
      <c r="H452" s="4"/>
      <c r="I452" s="4"/>
      <c r="J452" s="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>
      <c r="A453" s="4"/>
      <c r="B453" s="4"/>
      <c r="C453" s="4"/>
      <c r="D453" s="4"/>
      <c r="E453" s="4"/>
      <c r="F453" s="4"/>
      <c r="G453" s="4"/>
      <c r="H453" s="4"/>
      <c r="I453" s="4"/>
      <c r="J453" s="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>
      <c r="A454" s="4"/>
      <c r="B454" s="4"/>
      <c r="C454" s="4"/>
      <c r="D454" s="4"/>
      <c r="E454" s="4"/>
      <c r="F454" s="4"/>
      <c r="G454" s="4"/>
      <c r="H454" s="4"/>
      <c r="I454" s="4"/>
      <c r="J454" s="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>
      <c r="A455" s="4"/>
      <c r="B455" s="4"/>
      <c r="C455" s="4"/>
      <c r="D455" s="4"/>
      <c r="E455" s="4"/>
      <c r="F455" s="4"/>
      <c r="G455" s="4"/>
      <c r="H455" s="4"/>
      <c r="I455" s="4"/>
      <c r="J455" s="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>
      <c r="A456" s="4"/>
      <c r="B456" s="4"/>
      <c r="C456" s="4"/>
      <c r="D456" s="4"/>
      <c r="E456" s="4"/>
      <c r="F456" s="4"/>
      <c r="G456" s="4"/>
      <c r="H456" s="4"/>
      <c r="I456" s="4"/>
      <c r="J456" s="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>
      <c r="A457" s="4"/>
      <c r="B457" s="4"/>
      <c r="C457" s="4"/>
      <c r="D457" s="4"/>
      <c r="E457" s="4"/>
      <c r="F457" s="4"/>
      <c r="G457" s="4"/>
      <c r="H457" s="4"/>
      <c r="I457" s="4"/>
      <c r="J457" s="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>
      <c r="A458" s="4"/>
      <c r="B458" s="4"/>
      <c r="C458" s="4"/>
      <c r="D458" s="4"/>
      <c r="E458" s="4"/>
      <c r="F458" s="4"/>
      <c r="G458" s="4"/>
      <c r="H458" s="4"/>
      <c r="I458" s="4"/>
      <c r="J458" s="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>
      <c r="A459" s="4"/>
      <c r="B459" s="4"/>
      <c r="C459" s="4"/>
      <c r="D459" s="4"/>
      <c r="E459" s="4"/>
      <c r="F459" s="4"/>
      <c r="G459" s="4"/>
      <c r="H459" s="4"/>
      <c r="I459" s="4"/>
      <c r="J459" s="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>
      <c r="A460" s="4"/>
      <c r="B460" s="4"/>
      <c r="C460" s="4"/>
      <c r="D460" s="4"/>
      <c r="E460" s="4"/>
      <c r="F460" s="4"/>
      <c r="G460" s="4"/>
      <c r="H460" s="4"/>
      <c r="I460" s="4"/>
      <c r="J460" s="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>
      <c r="A461" s="4"/>
      <c r="B461" s="4"/>
      <c r="C461" s="4"/>
      <c r="D461" s="4"/>
      <c r="E461" s="4"/>
      <c r="F461" s="4"/>
      <c r="G461" s="4"/>
      <c r="H461" s="4"/>
      <c r="I461" s="4"/>
      <c r="J461" s="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>
      <c r="A462" s="4"/>
      <c r="B462" s="4"/>
      <c r="C462" s="4"/>
      <c r="D462" s="4"/>
      <c r="E462" s="4"/>
      <c r="F462" s="4"/>
      <c r="G462" s="4"/>
      <c r="H462" s="4"/>
      <c r="I462" s="4"/>
      <c r="J462" s="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>
      <c r="A463" s="4"/>
      <c r="B463" s="4"/>
      <c r="C463" s="4"/>
      <c r="D463" s="4"/>
      <c r="E463" s="4"/>
      <c r="F463" s="4"/>
      <c r="G463" s="4"/>
      <c r="H463" s="4"/>
      <c r="I463" s="4"/>
      <c r="J463" s="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>
      <c r="A464" s="4"/>
      <c r="B464" s="4"/>
      <c r="C464" s="4"/>
      <c r="D464" s="4"/>
      <c r="E464" s="4"/>
      <c r="F464" s="4"/>
      <c r="G464" s="4"/>
      <c r="H464" s="4"/>
      <c r="I464" s="4"/>
      <c r="J464" s="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>
      <c r="A465" s="4"/>
      <c r="B465" s="4"/>
      <c r="C465" s="4"/>
      <c r="D465" s="4"/>
      <c r="E465" s="4"/>
      <c r="F465" s="4"/>
      <c r="G465" s="4"/>
      <c r="H465" s="4"/>
      <c r="I465" s="4"/>
      <c r="J465" s="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>
      <c r="A466" s="4"/>
      <c r="B466" s="4"/>
      <c r="C466" s="4"/>
      <c r="D466" s="4"/>
      <c r="E466" s="4"/>
      <c r="F466" s="4"/>
      <c r="G466" s="4"/>
      <c r="H466" s="4"/>
      <c r="I466" s="4"/>
      <c r="J466" s="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>
      <c r="A467" s="4"/>
      <c r="B467" s="4"/>
      <c r="C467" s="4"/>
      <c r="D467" s="4"/>
      <c r="E467" s="4"/>
      <c r="F467" s="4"/>
      <c r="G467" s="4"/>
      <c r="H467" s="4"/>
      <c r="I467" s="4"/>
      <c r="J467" s="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>
      <c r="A468" s="4"/>
      <c r="B468" s="4"/>
      <c r="C468" s="4"/>
      <c r="D468" s="4"/>
      <c r="E468" s="4"/>
      <c r="F468" s="4"/>
      <c r="G468" s="4"/>
      <c r="H468" s="4"/>
      <c r="I468" s="4"/>
      <c r="J468" s="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>
      <c r="A469" s="4"/>
      <c r="B469" s="4"/>
      <c r="C469" s="4"/>
      <c r="D469" s="4"/>
      <c r="E469" s="4"/>
      <c r="F469" s="4"/>
      <c r="G469" s="4"/>
      <c r="H469" s="4"/>
      <c r="I469" s="4"/>
      <c r="J469" s="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>
      <c r="A470" s="4"/>
      <c r="B470" s="4"/>
      <c r="C470" s="4"/>
      <c r="D470" s="4"/>
      <c r="E470" s="4"/>
      <c r="F470" s="4"/>
      <c r="G470" s="4"/>
      <c r="H470" s="4"/>
      <c r="I470" s="4"/>
      <c r="J470" s="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>
      <c r="A471" s="4"/>
      <c r="B471" s="4"/>
      <c r="C471" s="4"/>
      <c r="D471" s="4"/>
      <c r="E471" s="4"/>
      <c r="F471" s="4"/>
      <c r="G471" s="4"/>
      <c r="H471" s="4"/>
      <c r="I471" s="4"/>
      <c r="J471" s="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>
      <c r="A472" s="4"/>
      <c r="B472" s="4"/>
      <c r="C472" s="4"/>
      <c r="D472" s="4"/>
      <c r="E472" s="4"/>
      <c r="F472" s="4"/>
      <c r="G472" s="4"/>
      <c r="H472" s="4"/>
      <c r="I472" s="4"/>
      <c r="J472" s="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>
      <c r="A473" s="4"/>
      <c r="B473" s="4"/>
      <c r="C473" s="4"/>
      <c r="D473" s="4"/>
      <c r="E473" s="4"/>
      <c r="F473" s="4"/>
      <c r="G473" s="4"/>
      <c r="H473" s="4"/>
      <c r="I473" s="4"/>
      <c r="J473" s="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>
      <c r="A474" s="4"/>
      <c r="B474" s="4"/>
      <c r="C474" s="4"/>
      <c r="D474" s="4"/>
      <c r="E474" s="4"/>
      <c r="F474" s="4"/>
      <c r="G474" s="4"/>
      <c r="H474" s="4"/>
      <c r="I474" s="4"/>
      <c r="J474" s="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>
      <c r="A475" s="4"/>
      <c r="B475" s="4"/>
      <c r="C475" s="4"/>
      <c r="D475" s="4"/>
      <c r="E475" s="4"/>
      <c r="F475" s="4"/>
      <c r="G475" s="4"/>
      <c r="H475" s="4"/>
      <c r="I475" s="4"/>
      <c r="J475" s="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>
      <c r="A476" s="4"/>
      <c r="B476" s="4"/>
      <c r="C476" s="4"/>
      <c r="D476" s="4"/>
      <c r="E476" s="4"/>
      <c r="F476" s="4"/>
      <c r="G476" s="4"/>
      <c r="H476" s="4"/>
      <c r="I476" s="4"/>
      <c r="J476" s="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>
      <c r="A477" s="4"/>
      <c r="B477" s="4"/>
      <c r="C477" s="4"/>
      <c r="D477" s="4"/>
      <c r="E477" s="4"/>
      <c r="F477" s="4"/>
      <c r="G477" s="4"/>
      <c r="H477" s="4"/>
      <c r="I477" s="4"/>
      <c r="J477" s="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>
      <c r="A478" s="4"/>
      <c r="B478" s="4"/>
      <c r="C478" s="4"/>
      <c r="D478" s="4"/>
      <c r="E478" s="4"/>
      <c r="F478" s="4"/>
      <c r="G478" s="4"/>
      <c r="H478" s="4"/>
      <c r="I478" s="4"/>
      <c r="J478" s="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>
      <c r="A479" s="4"/>
      <c r="B479" s="4"/>
      <c r="C479" s="4"/>
      <c r="D479" s="4"/>
      <c r="E479" s="4"/>
      <c r="F479" s="4"/>
      <c r="G479" s="4"/>
      <c r="H479" s="4"/>
      <c r="I479" s="4"/>
      <c r="J479" s="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>
      <c r="A480" s="4"/>
      <c r="B480" s="4"/>
      <c r="C480" s="4"/>
      <c r="D480" s="4"/>
      <c r="E480" s="4"/>
      <c r="F480" s="4"/>
      <c r="G480" s="4"/>
      <c r="H480" s="4"/>
      <c r="I480" s="4"/>
      <c r="J480" s="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>
      <c r="A481" s="4"/>
      <c r="B481" s="4"/>
      <c r="C481" s="4"/>
      <c r="D481" s="4"/>
      <c r="E481" s="4"/>
      <c r="F481" s="4"/>
      <c r="G481" s="4"/>
      <c r="H481" s="4"/>
      <c r="I481" s="4"/>
      <c r="J481" s="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>
      <c r="A482" s="4"/>
      <c r="B482" s="4"/>
      <c r="C482" s="4"/>
      <c r="D482" s="4"/>
      <c r="E482" s="4"/>
      <c r="F482" s="4"/>
      <c r="G482" s="4"/>
      <c r="H482" s="4"/>
      <c r="I482" s="4"/>
      <c r="J482" s="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>
      <c r="A483" s="4"/>
      <c r="B483" s="4"/>
      <c r="C483" s="4"/>
      <c r="D483" s="4"/>
      <c r="E483" s="4"/>
      <c r="F483" s="4"/>
      <c r="G483" s="4"/>
      <c r="H483" s="4"/>
      <c r="I483" s="4"/>
      <c r="J483" s="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>
      <c r="A484" s="4"/>
      <c r="B484" s="4"/>
      <c r="C484" s="4"/>
      <c r="D484" s="4"/>
      <c r="E484" s="4"/>
      <c r="F484" s="4"/>
      <c r="G484" s="4"/>
      <c r="H484" s="4"/>
      <c r="I484" s="4"/>
      <c r="J484" s="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>
      <c r="A485" s="4"/>
      <c r="B485" s="4"/>
      <c r="C485" s="4"/>
      <c r="D485" s="4"/>
      <c r="E485" s="4"/>
      <c r="F485" s="4"/>
      <c r="G485" s="4"/>
      <c r="H485" s="4"/>
      <c r="I485" s="4"/>
      <c r="J485" s="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>
      <c r="A486" s="4"/>
      <c r="B486" s="4"/>
      <c r="C486" s="4"/>
      <c r="D486" s="4"/>
      <c r="E486" s="4"/>
      <c r="F486" s="4"/>
      <c r="G486" s="4"/>
      <c r="H486" s="4"/>
      <c r="I486" s="4"/>
      <c r="J486" s="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>
      <c r="A487" s="4"/>
      <c r="B487" s="4"/>
      <c r="C487" s="4"/>
      <c r="D487" s="4"/>
      <c r="E487" s="4"/>
      <c r="F487" s="4"/>
      <c r="G487" s="4"/>
      <c r="H487" s="4"/>
      <c r="I487" s="4"/>
      <c r="J487" s="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>
      <c r="A488" s="4"/>
      <c r="B488" s="4"/>
      <c r="C488" s="4"/>
      <c r="D488" s="4"/>
      <c r="E488" s="4"/>
      <c r="F488" s="4"/>
      <c r="G488" s="4"/>
      <c r="H488" s="4"/>
      <c r="I488" s="4"/>
      <c r="J488" s="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>
      <c r="A489" s="4"/>
      <c r="B489" s="4"/>
      <c r="C489" s="4"/>
      <c r="D489" s="4"/>
      <c r="E489" s="4"/>
      <c r="F489" s="4"/>
      <c r="G489" s="4"/>
      <c r="H489" s="4"/>
      <c r="I489" s="4"/>
      <c r="J489" s="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>
      <c r="A490" s="4"/>
      <c r="B490" s="4"/>
      <c r="C490" s="4"/>
      <c r="D490" s="4"/>
      <c r="E490" s="4"/>
      <c r="F490" s="4"/>
      <c r="G490" s="4"/>
      <c r="H490" s="4"/>
      <c r="I490" s="4"/>
      <c r="J490" s="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>
      <c r="A491" s="4"/>
      <c r="B491" s="4"/>
      <c r="C491" s="4"/>
      <c r="D491" s="4"/>
      <c r="E491" s="4"/>
      <c r="F491" s="4"/>
      <c r="G491" s="4"/>
      <c r="H491" s="4"/>
      <c r="I491" s="4"/>
      <c r="J491" s="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>
      <c r="A492" s="4"/>
      <c r="B492" s="4"/>
      <c r="C492" s="4"/>
      <c r="D492" s="4"/>
      <c r="E492" s="4"/>
      <c r="F492" s="4"/>
      <c r="G492" s="4"/>
      <c r="H492" s="4"/>
      <c r="I492" s="4"/>
      <c r="J492" s="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>
      <c r="A493" s="4"/>
      <c r="B493" s="4"/>
      <c r="C493" s="4"/>
      <c r="D493" s="4"/>
      <c r="E493" s="4"/>
      <c r="F493" s="4"/>
      <c r="G493" s="4"/>
      <c r="H493" s="4"/>
      <c r="I493" s="4"/>
      <c r="J493" s="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>
      <c r="A494" s="4"/>
      <c r="B494" s="4"/>
      <c r="C494" s="4"/>
      <c r="D494" s="4"/>
      <c r="E494" s="4"/>
      <c r="F494" s="4"/>
      <c r="G494" s="4"/>
      <c r="H494" s="4"/>
      <c r="I494" s="4"/>
      <c r="J494" s="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>
      <c r="A495" s="4"/>
      <c r="B495" s="4"/>
      <c r="C495" s="4"/>
      <c r="D495" s="4"/>
      <c r="E495" s="4"/>
      <c r="F495" s="4"/>
      <c r="G495" s="4"/>
      <c r="H495" s="4"/>
      <c r="I495" s="4"/>
      <c r="J495" s="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>
      <c r="A496" s="4"/>
      <c r="B496" s="4"/>
      <c r="C496" s="4"/>
      <c r="D496" s="4"/>
      <c r="E496" s="4"/>
      <c r="F496" s="4"/>
      <c r="G496" s="4"/>
      <c r="H496" s="4"/>
      <c r="I496" s="4"/>
      <c r="J496" s="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>
      <c r="A497" s="4"/>
      <c r="B497" s="4"/>
      <c r="C497" s="4"/>
      <c r="D497" s="4"/>
      <c r="E497" s="4"/>
      <c r="F497" s="4"/>
      <c r="G497" s="4"/>
      <c r="H497" s="4"/>
      <c r="I497" s="4"/>
      <c r="J497" s="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>
      <c r="A498" s="4"/>
      <c r="B498" s="4"/>
      <c r="C498" s="4"/>
      <c r="D498" s="4"/>
      <c r="E498" s="4"/>
      <c r="F498" s="4"/>
      <c r="G498" s="4"/>
      <c r="H498" s="4"/>
      <c r="I498" s="4"/>
      <c r="J498" s="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>
      <c r="A499" s="4"/>
      <c r="B499" s="4"/>
      <c r="C499" s="4"/>
      <c r="D499" s="4"/>
      <c r="E499" s="4"/>
      <c r="F499" s="4"/>
      <c r="G499" s="4"/>
      <c r="H499" s="4"/>
      <c r="I499" s="4"/>
      <c r="J499" s="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>
      <c r="A500" s="4"/>
      <c r="B500" s="4"/>
      <c r="C500" s="4"/>
      <c r="D500" s="4"/>
      <c r="E500" s="4"/>
      <c r="F500" s="4"/>
      <c r="G500" s="4"/>
      <c r="H500" s="4"/>
      <c r="I500" s="4"/>
      <c r="J500" s="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>
      <c r="A501" s="4"/>
      <c r="B501" s="4"/>
      <c r="C501" s="4"/>
      <c r="D501" s="4"/>
      <c r="E501" s="4"/>
      <c r="F501" s="4"/>
      <c r="G501" s="4"/>
      <c r="H501" s="4"/>
      <c r="I501" s="4"/>
      <c r="J501" s="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>
      <c r="A502" s="4"/>
      <c r="B502" s="4"/>
      <c r="C502" s="4"/>
      <c r="D502" s="4"/>
      <c r="E502" s="4"/>
      <c r="F502" s="4"/>
      <c r="G502" s="4"/>
      <c r="H502" s="4"/>
      <c r="I502" s="4"/>
      <c r="J502" s="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>
      <c r="A503" s="4"/>
      <c r="B503" s="4"/>
      <c r="C503" s="4"/>
      <c r="D503" s="4"/>
      <c r="E503" s="4"/>
      <c r="F503" s="4"/>
      <c r="G503" s="4"/>
      <c r="H503" s="4"/>
      <c r="I503" s="4"/>
      <c r="J503" s="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>
      <c r="A504" s="4"/>
      <c r="B504" s="4"/>
      <c r="C504" s="4"/>
      <c r="D504" s="4"/>
      <c r="E504" s="4"/>
      <c r="F504" s="4"/>
      <c r="G504" s="4"/>
      <c r="H504" s="4"/>
      <c r="I504" s="4"/>
      <c r="J504" s="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>
      <c r="A505" s="4"/>
      <c r="B505" s="4"/>
      <c r="C505" s="4"/>
      <c r="D505" s="4"/>
      <c r="E505" s="4"/>
      <c r="F505" s="4"/>
      <c r="G505" s="4"/>
      <c r="H505" s="4"/>
      <c r="I505" s="4"/>
      <c r="J505" s="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>
      <c r="A506" s="4"/>
      <c r="B506" s="4"/>
      <c r="C506" s="4"/>
      <c r="D506" s="4"/>
      <c r="E506" s="4"/>
      <c r="F506" s="4"/>
      <c r="G506" s="4"/>
      <c r="H506" s="4"/>
      <c r="I506" s="4"/>
      <c r="J506" s="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>
      <c r="A507" s="4"/>
      <c r="B507" s="4"/>
      <c r="C507" s="4"/>
      <c r="D507" s="4"/>
      <c r="E507" s="4"/>
      <c r="F507" s="4"/>
      <c r="G507" s="4"/>
      <c r="H507" s="4"/>
      <c r="I507" s="4"/>
      <c r="J507" s="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>
      <c r="A508" s="4"/>
      <c r="B508" s="4"/>
      <c r="C508" s="4"/>
      <c r="D508" s="4"/>
      <c r="E508" s="4"/>
      <c r="F508" s="4"/>
      <c r="G508" s="4"/>
      <c r="H508" s="4"/>
      <c r="I508" s="4"/>
      <c r="J508" s="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>
      <c r="A509" s="4"/>
      <c r="B509" s="4"/>
      <c r="C509" s="4"/>
      <c r="D509" s="4"/>
      <c r="E509" s="4"/>
      <c r="F509" s="4"/>
      <c r="G509" s="4"/>
      <c r="H509" s="4"/>
      <c r="I509" s="4"/>
      <c r="J509" s="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>
      <c r="A510" s="4"/>
      <c r="B510" s="4"/>
      <c r="C510" s="4"/>
      <c r="D510" s="4"/>
      <c r="E510" s="4"/>
      <c r="F510" s="4"/>
      <c r="G510" s="4"/>
      <c r="H510" s="4"/>
      <c r="I510" s="4"/>
      <c r="J510" s="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>
      <c r="A511" s="4"/>
      <c r="B511" s="4"/>
      <c r="C511" s="4"/>
      <c r="D511" s="4"/>
      <c r="E511" s="4"/>
      <c r="F511" s="4"/>
      <c r="G511" s="4"/>
      <c r="H511" s="4"/>
      <c r="I511" s="4"/>
      <c r="J511" s="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>
      <c r="A512" s="4"/>
      <c r="B512" s="4"/>
      <c r="C512" s="4"/>
      <c r="D512" s="4"/>
      <c r="E512" s="4"/>
      <c r="F512" s="4"/>
      <c r="G512" s="4"/>
      <c r="H512" s="4"/>
      <c r="I512" s="4"/>
      <c r="J512" s="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>
      <c r="A513" s="4"/>
      <c r="B513" s="4"/>
      <c r="C513" s="4"/>
      <c r="D513" s="4"/>
      <c r="E513" s="4"/>
      <c r="F513" s="4"/>
      <c r="G513" s="4"/>
      <c r="H513" s="4"/>
      <c r="I513" s="4"/>
      <c r="J513" s="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>
      <c r="A514" s="4"/>
      <c r="B514" s="4"/>
      <c r="C514" s="4"/>
      <c r="D514" s="4"/>
      <c r="E514" s="4"/>
      <c r="F514" s="4"/>
      <c r="G514" s="4"/>
      <c r="H514" s="4"/>
      <c r="I514" s="4"/>
      <c r="J514" s="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>
      <c r="A515" s="4"/>
      <c r="B515" s="4"/>
      <c r="C515" s="4"/>
      <c r="D515" s="4"/>
      <c r="E515" s="4"/>
      <c r="F515" s="4"/>
      <c r="G515" s="4"/>
      <c r="H515" s="4"/>
      <c r="I515" s="4"/>
      <c r="J515" s="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>
      <c r="A516" s="4"/>
      <c r="B516" s="4"/>
      <c r="C516" s="4"/>
      <c r="D516" s="4"/>
      <c r="E516" s="4"/>
      <c r="F516" s="4"/>
      <c r="G516" s="4"/>
      <c r="H516" s="4"/>
      <c r="I516" s="4"/>
      <c r="J516" s="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>
      <c r="A517" s="4"/>
      <c r="B517" s="4"/>
      <c r="C517" s="4"/>
      <c r="D517" s="4"/>
      <c r="E517" s="4"/>
      <c r="F517" s="4"/>
      <c r="G517" s="4"/>
      <c r="H517" s="4"/>
      <c r="I517" s="4"/>
      <c r="J517" s="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>
      <c r="A518" s="4"/>
      <c r="B518" s="4"/>
      <c r="C518" s="4"/>
      <c r="D518" s="4"/>
      <c r="E518" s="4"/>
      <c r="F518" s="4"/>
      <c r="G518" s="4"/>
      <c r="H518" s="4"/>
      <c r="I518" s="4"/>
      <c r="J518" s="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>
      <c r="A519" s="4"/>
      <c r="B519" s="4"/>
      <c r="C519" s="4"/>
      <c r="D519" s="4"/>
      <c r="E519" s="4"/>
      <c r="F519" s="4"/>
      <c r="G519" s="4"/>
      <c r="H519" s="4"/>
      <c r="I519" s="4"/>
      <c r="J519" s="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>
      <c r="A520" s="4"/>
      <c r="B520" s="4"/>
      <c r="C520" s="4"/>
      <c r="D520" s="4"/>
      <c r="E520" s="4"/>
      <c r="F520" s="4"/>
      <c r="G520" s="4"/>
      <c r="H520" s="4"/>
      <c r="I520" s="4"/>
      <c r="J520" s="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>
      <c r="A521" s="4"/>
      <c r="B521" s="4"/>
      <c r="C521" s="4"/>
      <c r="D521" s="4"/>
      <c r="E521" s="4"/>
      <c r="F521" s="4"/>
      <c r="G521" s="4"/>
      <c r="H521" s="4"/>
      <c r="I521" s="4"/>
      <c r="J521" s="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>
      <c r="A522" s="4"/>
      <c r="B522" s="4"/>
      <c r="C522" s="4"/>
      <c r="D522" s="4"/>
      <c r="E522" s="4"/>
      <c r="F522" s="4"/>
      <c r="G522" s="4"/>
      <c r="H522" s="4"/>
      <c r="I522" s="4"/>
      <c r="J522" s="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>
      <c r="A523" s="4"/>
      <c r="B523" s="4"/>
      <c r="C523" s="4"/>
      <c r="D523" s="4"/>
      <c r="E523" s="4"/>
      <c r="F523" s="4"/>
      <c r="G523" s="4"/>
      <c r="H523" s="4"/>
      <c r="I523" s="4"/>
      <c r="J523" s="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>
      <c r="A524" s="4"/>
      <c r="B524" s="4"/>
      <c r="C524" s="4"/>
      <c r="D524" s="4"/>
      <c r="E524" s="4"/>
      <c r="F524" s="4"/>
      <c r="G524" s="4"/>
      <c r="H524" s="4"/>
      <c r="I524" s="4"/>
      <c r="J524" s="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>
      <c r="A525" s="4"/>
      <c r="B525" s="4"/>
      <c r="C525" s="4"/>
      <c r="D525" s="4"/>
      <c r="E525" s="4"/>
      <c r="F525" s="4"/>
      <c r="G525" s="4"/>
      <c r="H525" s="4"/>
      <c r="I525" s="4"/>
      <c r="J525" s="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>
      <c r="A526" s="4"/>
      <c r="B526" s="4"/>
      <c r="C526" s="4"/>
      <c r="D526" s="4"/>
      <c r="E526" s="4"/>
      <c r="F526" s="4"/>
      <c r="G526" s="4"/>
      <c r="H526" s="4"/>
      <c r="I526" s="4"/>
      <c r="J526" s="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>
      <c r="A527" s="4"/>
      <c r="B527" s="4"/>
      <c r="C527" s="4"/>
      <c r="D527" s="4"/>
      <c r="E527" s="4"/>
      <c r="F527" s="4"/>
      <c r="G527" s="4"/>
      <c r="H527" s="4"/>
      <c r="I527" s="4"/>
      <c r="J527" s="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>
      <c r="A528" s="4"/>
      <c r="B528" s="4"/>
      <c r="C528" s="4"/>
      <c r="D528" s="4"/>
      <c r="E528" s="4"/>
      <c r="F528" s="4"/>
      <c r="G528" s="4"/>
      <c r="H528" s="4"/>
      <c r="I528" s="4"/>
      <c r="J528" s="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>
      <c r="A529" s="4"/>
      <c r="B529" s="4"/>
      <c r="C529" s="4"/>
      <c r="D529" s="4"/>
      <c r="E529" s="4"/>
      <c r="F529" s="4"/>
      <c r="G529" s="4"/>
      <c r="H529" s="4"/>
      <c r="I529" s="4"/>
      <c r="J529" s="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>
      <c r="A530" s="4"/>
      <c r="B530" s="4"/>
      <c r="C530" s="4"/>
      <c r="D530" s="4"/>
      <c r="E530" s="4"/>
      <c r="F530" s="4"/>
      <c r="G530" s="4"/>
      <c r="H530" s="4"/>
      <c r="I530" s="4"/>
      <c r="J530" s="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>
      <c r="A531" s="4"/>
      <c r="B531" s="4"/>
      <c r="C531" s="4"/>
      <c r="D531" s="4"/>
      <c r="E531" s="4"/>
      <c r="F531" s="4"/>
      <c r="G531" s="4"/>
      <c r="H531" s="4"/>
      <c r="I531" s="4"/>
      <c r="J531" s="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>
      <c r="A532" s="4"/>
      <c r="B532" s="4"/>
      <c r="C532" s="4"/>
      <c r="D532" s="4"/>
      <c r="E532" s="4"/>
      <c r="F532" s="4"/>
      <c r="G532" s="4"/>
      <c r="H532" s="4"/>
      <c r="I532" s="4"/>
      <c r="J532" s="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>
      <c r="A533" s="4"/>
      <c r="B533" s="4"/>
      <c r="C533" s="4"/>
      <c r="D533" s="4"/>
      <c r="E533" s="4"/>
      <c r="F533" s="4"/>
      <c r="G533" s="4"/>
      <c r="H533" s="4"/>
      <c r="I533" s="4"/>
      <c r="J533" s="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>
      <c r="A534" s="4"/>
      <c r="B534" s="4"/>
      <c r="C534" s="4"/>
      <c r="D534" s="4"/>
      <c r="E534" s="4"/>
      <c r="F534" s="4"/>
      <c r="G534" s="4"/>
      <c r="H534" s="4"/>
      <c r="I534" s="4"/>
      <c r="J534" s="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>
      <c r="A535" s="4"/>
      <c r="B535" s="4"/>
      <c r="C535" s="4"/>
      <c r="D535" s="4"/>
      <c r="E535" s="4"/>
      <c r="F535" s="4"/>
      <c r="G535" s="4"/>
      <c r="H535" s="4"/>
      <c r="I535" s="4"/>
      <c r="J535" s="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>
      <c r="A536" s="4"/>
      <c r="B536" s="4"/>
      <c r="C536" s="4"/>
      <c r="D536" s="4"/>
      <c r="E536" s="4"/>
      <c r="F536" s="4"/>
      <c r="G536" s="4"/>
      <c r="H536" s="4"/>
      <c r="I536" s="4"/>
      <c r="J536" s="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>
      <c r="A537" s="4"/>
      <c r="B537" s="4"/>
      <c r="C537" s="4"/>
      <c r="D537" s="4"/>
      <c r="E537" s="4"/>
      <c r="F537" s="4"/>
      <c r="G537" s="4"/>
      <c r="H537" s="4"/>
      <c r="I537" s="4"/>
      <c r="J537" s="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>
      <c r="A538" s="4"/>
      <c r="B538" s="4"/>
      <c r="C538" s="4"/>
      <c r="D538" s="4"/>
      <c r="E538" s="4"/>
      <c r="F538" s="4"/>
      <c r="G538" s="4"/>
      <c r="H538" s="4"/>
      <c r="I538" s="4"/>
      <c r="J538" s="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>
      <c r="A539" s="4"/>
      <c r="B539" s="4"/>
      <c r="C539" s="4"/>
      <c r="D539" s="4"/>
      <c r="E539" s="4"/>
      <c r="F539" s="4"/>
      <c r="G539" s="4"/>
      <c r="H539" s="4"/>
      <c r="I539" s="4"/>
      <c r="J539" s="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>
      <c r="A540" s="4"/>
      <c r="B540" s="4"/>
      <c r="C540" s="4"/>
      <c r="D540" s="4"/>
      <c r="E540" s="4"/>
      <c r="F540" s="4"/>
      <c r="G540" s="4"/>
      <c r="H540" s="4"/>
      <c r="I540" s="4"/>
      <c r="J540" s="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>
      <c r="A541" s="4"/>
      <c r="B541" s="4"/>
      <c r="C541" s="4"/>
      <c r="D541" s="4"/>
      <c r="E541" s="4"/>
      <c r="F541" s="4"/>
      <c r="G541" s="4"/>
      <c r="H541" s="4"/>
      <c r="I541" s="4"/>
      <c r="J541" s="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>
      <c r="A542" s="4"/>
      <c r="B542" s="4"/>
      <c r="C542" s="4"/>
      <c r="D542" s="4"/>
      <c r="E542" s="4"/>
      <c r="F542" s="4"/>
      <c r="G542" s="4"/>
      <c r="H542" s="4"/>
      <c r="I542" s="4"/>
      <c r="J542" s="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>
      <c r="A543" s="4"/>
      <c r="B543" s="4"/>
      <c r="C543" s="4"/>
      <c r="D543" s="4"/>
      <c r="E543" s="4"/>
      <c r="F543" s="4"/>
      <c r="G543" s="4"/>
      <c r="H543" s="4"/>
      <c r="I543" s="4"/>
      <c r="J543" s="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>
      <c r="A544" s="4"/>
      <c r="B544" s="4"/>
      <c r="C544" s="4"/>
      <c r="D544" s="4"/>
      <c r="E544" s="4"/>
      <c r="F544" s="4"/>
      <c r="G544" s="4"/>
      <c r="H544" s="4"/>
      <c r="I544" s="4"/>
      <c r="J544" s="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>
      <c r="A545" s="4"/>
      <c r="B545" s="4"/>
      <c r="C545" s="4"/>
      <c r="D545" s="4"/>
      <c r="E545" s="4"/>
      <c r="F545" s="4"/>
      <c r="G545" s="4"/>
      <c r="H545" s="4"/>
      <c r="I545" s="4"/>
      <c r="J545" s="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>
      <c r="A546" s="4"/>
      <c r="B546" s="4"/>
      <c r="C546" s="4"/>
      <c r="D546" s="4"/>
      <c r="E546" s="4"/>
      <c r="F546" s="4"/>
      <c r="G546" s="4"/>
      <c r="H546" s="4"/>
      <c r="I546" s="4"/>
      <c r="J546" s="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>
      <c r="A547" s="4"/>
      <c r="B547" s="4"/>
      <c r="C547" s="4"/>
      <c r="D547" s="4"/>
      <c r="E547" s="4"/>
      <c r="F547" s="4"/>
      <c r="G547" s="4"/>
      <c r="H547" s="4"/>
      <c r="I547" s="4"/>
      <c r="J547" s="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>
      <c r="A548" s="4"/>
      <c r="B548" s="4"/>
      <c r="C548" s="4"/>
      <c r="D548" s="4"/>
      <c r="E548" s="4"/>
      <c r="F548" s="4"/>
      <c r="G548" s="4"/>
      <c r="H548" s="4"/>
      <c r="I548" s="4"/>
      <c r="J548" s="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>
      <c r="A549" s="4"/>
      <c r="B549" s="4"/>
      <c r="C549" s="4"/>
      <c r="D549" s="4"/>
      <c r="E549" s="4"/>
      <c r="F549" s="4"/>
      <c r="G549" s="4"/>
      <c r="H549" s="4"/>
      <c r="I549" s="4"/>
      <c r="J549" s="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>
      <c r="A550" s="4"/>
      <c r="B550" s="4"/>
      <c r="C550" s="4"/>
      <c r="D550" s="4"/>
      <c r="E550" s="4"/>
      <c r="F550" s="4"/>
      <c r="G550" s="4"/>
      <c r="H550" s="4"/>
      <c r="I550" s="4"/>
      <c r="J550" s="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>
      <c r="A551" s="4"/>
      <c r="B551" s="4"/>
      <c r="C551" s="4"/>
      <c r="D551" s="4"/>
      <c r="E551" s="4"/>
      <c r="F551" s="4"/>
      <c r="G551" s="4"/>
      <c r="H551" s="4"/>
      <c r="I551" s="4"/>
      <c r="J551" s="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>
      <c r="A552" s="4"/>
      <c r="B552" s="4"/>
      <c r="C552" s="4"/>
      <c r="D552" s="4"/>
      <c r="E552" s="4"/>
      <c r="F552" s="4"/>
      <c r="G552" s="4"/>
      <c r="H552" s="4"/>
      <c r="I552" s="4"/>
      <c r="J552" s="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>
      <c r="A553" s="4"/>
      <c r="B553" s="4"/>
      <c r="C553" s="4"/>
      <c r="D553" s="4"/>
      <c r="E553" s="4"/>
      <c r="F553" s="4"/>
      <c r="G553" s="4"/>
      <c r="H553" s="4"/>
      <c r="I553" s="4"/>
      <c r="J553" s="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>
      <c r="A554" s="4"/>
      <c r="B554" s="4"/>
      <c r="C554" s="4"/>
      <c r="D554" s="4"/>
      <c r="E554" s="4"/>
      <c r="F554" s="4"/>
      <c r="G554" s="4"/>
      <c r="H554" s="4"/>
      <c r="I554" s="4"/>
      <c r="J554" s="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>
      <c r="A555" s="4"/>
      <c r="B555" s="4"/>
      <c r="C555" s="4"/>
      <c r="D555" s="4"/>
      <c r="E555" s="4"/>
      <c r="F555" s="4"/>
      <c r="G555" s="4"/>
      <c r="H555" s="4"/>
      <c r="I555" s="4"/>
      <c r="J555" s="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>
      <c r="A556" s="4"/>
      <c r="B556" s="4"/>
      <c r="C556" s="4"/>
      <c r="D556" s="4"/>
      <c r="E556" s="4"/>
      <c r="F556" s="4"/>
      <c r="G556" s="4"/>
      <c r="H556" s="4"/>
      <c r="I556" s="4"/>
      <c r="J556" s="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>
      <c r="A557" s="4"/>
      <c r="B557" s="4"/>
      <c r="C557" s="4"/>
      <c r="D557" s="4"/>
      <c r="E557" s="4"/>
      <c r="F557" s="4"/>
      <c r="G557" s="4"/>
      <c r="H557" s="4"/>
      <c r="I557" s="4"/>
      <c r="J557" s="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>
      <c r="A558" s="4"/>
      <c r="B558" s="4"/>
      <c r="C558" s="4"/>
      <c r="D558" s="4"/>
      <c r="E558" s="4"/>
      <c r="F558" s="4"/>
      <c r="G558" s="4"/>
      <c r="H558" s="4"/>
      <c r="I558" s="4"/>
      <c r="J558" s="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>
      <c r="A559" s="4"/>
      <c r="B559" s="4"/>
      <c r="C559" s="4"/>
      <c r="D559" s="4"/>
      <c r="E559" s="4"/>
      <c r="F559" s="4"/>
      <c r="G559" s="4"/>
      <c r="H559" s="4"/>
      <c r="I559" s="4"/>
      <c r="J559" s="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>
      <c r="A560" s="4"/>
      <c r="B560" s="4"/>
      <c r="C560" s="4"/>
      <c r="D560" s="4"/>
      <c r="E560" s="4"/>
      <c r="F560" s="4"/>
      <c r="G560" s="4"/>
      <c r="H560" s="4"/>
      <c r="I560" s="4"/>
      <c r="J560" s="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>
      <c r="A561" s="4"/>
      <c r="B561" s="4"/>
      <c r="C561" s="4"/>
      <c r="D561" s="4"/>
      <c r="E561" s="4"/>
      <c r="F561" s="4"/>
      <c r="G561" s="4"/>
      <c r="H561" s="4"/>
      <c r="I561" s="4"/>
      <c r="J561" s="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>
      <c r="A562" s="4"/>
      <c r="B562" s="4"/>
      <c r="C562" s="4"/>
      <c r="D562" s="4"/>
      <c r="E562" s="4"/>
      <c r="F562" s="4"/>
      <c r="G562" s="4"/>
      <c r="H562" s="4"/>
      <c r="I562" s="4"/>
      <c r="J562" s="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>
      <c r="A563" s="4"/>
      <c r="B563" s="4"/>
      <c r="C563" s="4"/>
      <c r="D563" s="4"/>
      <c r="E563" s="4"/>
      <c r="F563" s="4"/>
      <c r="G563" s="4"/>
      <c r="H563" s="4"/>
      <c r="I563" s="4"/>
      <c r="J563" s="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>
      <c r="A564" s="4"/>
      <c r="B564" s="4"/>
      <c r="C564" s="4"/>
      <c r="D564" s="4"/>
      <c r="E564" s="4"/>
      <c r="F564" s="4"/>
      <c r="G564" s="4"/>
      <c r="H564" s="4"/>
      <c r="I564" s="4"/>
      <c r="J564" s="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>
      <c r="A565" s="4"/>
      <c r="B565" s="4"/>
      <c r="C565" s="4"/>
      <c r="D565" s="4"/>
      <c r="E565" s="4"/>
      <c r="F565" s="4"/>
      <c r="G565" s="4"/>
      <c r="H565" s="4"/>
      <c r="I565" s="4"/>
      <c r="J565" s="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>
      <c r="A566" s="4"/>
      <c r="B566" s="4"/>
      <c r="C566" s="4"/>
      <c r="D566" s="4"/>
      <c r="E566" s="4"/>
      <c r="F566" s="4"/>
      <c r="G566" s="4"/>
      <c r="H566" s="4"/>
      <c r="I566" s="4"/>
      <c r="J566" s="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>
      <c r="A567" s="4"/>
      <c r="B567" s="4"/>
      <c r="C567" s="4"/>
      <c r="D567" s="4"/>
      <c r="E567" s="4"/>
      <c r="F567" s="4"/>
      <c r="G567" s="4"/>
      <c r="H567" s="4"/>
      <c r="I567" s="4"/>
      <c r="J567" s="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>
      <c r="A568" s="4"/>
      <c r="B568" s="4"/>
      <c r="C568" s="4"/>
      <c r="D568" s="4"/>
      <c r="E568" s="4"/>
      <c r="F568" s="4"/>
      <c r="G568" s="4"/>
      <c r="H568" s="4"/>
      <c r="I568" s="4"/>
      <c r="J568" s="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>
      <c r="A569" s="4"/>
      <c r="B569" s="4"/>
      <c r="C569" s="4"/>
      <c r="D569" s="4"/>
      <c r="E569" s="4"/>
      <c r="F569" s="4"/>
      <c r="G569" s="4"/>
      <c r="H569" s="4"/>
      <c r="I569" s="4"/>
      <c r="J569" s="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>
      <c r="A570" s="4"/>
      <c r="B570" s="4"/>
      <c r="C570" s="4"/>
      <c r="D570" s="4"/>
      <c r="E570" s="4"/>
      <c r="F570" s="4"/>
      <c r="G570" s="4"/>
      <c r="H570" s="4"/>
      <c r="I570" s="4"/>
      <c r="J570" s="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>
      <c r="A571" s="4"/>
      <c r="B571" s="4"/>
      <c r="C571" s="4"/>
      <c r="D571" s="4"/>
      <c r="E571" s="4"/>
      <c r="F571" s="4"/>
      <c r="G571" s="4"/>
      <c r="H571" s="4"/>
      <c r="I571" s="4"/>
      <c r="J571" s="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>
      <c r="A572" s="4"/>
      <c r="B572" s="4"/>
      <c r="C572" s="4"/>
      <c r="D572" s="4"/>
      <c r="E572" s="4"/>
      <c r="F572" s="4"/>
      <c r="G572" s="4"/>
      <c r="H572" s="4"/>
      <c r="I572" s="4"/>
      <c r="J572" s="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>
      <c r="A573" s="4"/>
      <c r="B573" s="4"/>
      <c r="C573" s="4"/>
      <c r="D573" s="4"/>
      <c r="E573" s="4"/>
      <c r="F573" s="4"/>
      <c r="G573" s="4"/>
      <c r="H573" s="4"/>
      <c r="I573" s="4"/>
      <c r="J573" s="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>
      <c r="A574" s="4"/>
      <c r="B574" s="4"/>
      <c r="C574" s="4"/>
      <c r="D574" s="4"/>
      <c r="E574" s="4"/>
      <c r="F574" s="4"/>
      <c r="G574" s="4"/>
      <c r="H574" s="4"/>
      <c r="I574" s="4"/>
      <c r="J574" s="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>
      <c r="A575" s="4"/>
      <c r="B575" s="4"/>
      <c r="C575" s="4"/>
      <c r="D575" s="4"/>
      <c r="E575" s="4"/>
      <c r="F575" s="4"/>
      <c r="G575" s="4"/>
      <c r="H575" s="4"/>
      <c r="I575" s="4"/>
      <c r="J575" s="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>
      <c r="A576" s="4"/>
      <c r="B576" s="4"/>
      <c r="C576" s="4"/>
      <c r="D576" s="4"/>
      <c r="E576" s="4"/>
      <c r="F576" s="4"/>
      <c r="G576" s="4"/>
      <c r="H576" s="4"/>
      <c r="I576" s="4"/>
      <c r="J576" s="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>
      <c r="A577" s="4"/>
      <c r="B577" s="4"/>
      <c r="C577" s="4"/>
      <c r="D577" s="4"/>
      <c r="E577" s="4"/>
      <c r="F577" s="4"/>
      <c r="G577" s="4"/>
      <c r="H577" s="4"/>
      <c r="I577" s="4"/>
      <c r="J577" s="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>
      <c r="A578" s="4"/>
      <c r="B578" s="4"/>
      <c r="C578" s="4"/>
      <c r="D578" s="4"/>
      <c r="E578" s="4"/>
      <c r="F578" s="4"/>
      <c r="G578" s="4"/>
      <c r="H578" s="4"/>
      <c r="I578" s="4"/>
      <c r="J578" s="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>
      <c r="A579" s="4"/>
      <c r="B579" s="4"/>
      <c r="C579" s="4"/>
      <c r="D579" s="4"/>
      <c r="E579" s="4"/>
      <c r="F579" s="4"/>
      <c r="G579" s="4"/>
      <c r="H579" s="4"/>
      <c r="I579" s="4"/>
      <c r="J579" s="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>
      <c r="A580" s="4"/>
      <c r="B580" s="4"/>
      <c r="C580" s="4"/>
      <c r="D580" s="4"/>
      <c r="E580" s="4"/>
      <c r="F580" s="4"/>
      <c r="G580" s="4"/>
      <c r="H580" s="4"/>
      <c r="I580" s="4"/>
      <c r="J580" s="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>
      <c r="A581" s="4"/>
      <c r="B581" s="4"/>
      <c r="C581" s="4"/>
      <c r="D581" s="4"/>
      <c r="E581" s="4"/>
      <c r="F581" s="4"/>
      <c r="G581" s="4"/>
      <c r="H581" s="4"/>
      <c r="I581" s="4"/>
      <c r="J581" s="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>
      <c r="A582" s="4"/>
      <c r="B582" s="4"/>
      <c r="C582" s="4"/>
      <c r="D582" s="4"/>
      <c r="E582" s="4"/>
      <c r="F582" s="4"/>
      <c r="G582" s="4"/>
      <c r="H582" s="4"/>
      <c r="I582" s="4"/>
      <c r="J582" s="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>
      <c r="A583" s="4"/>
      <c r="B583" s="4"/>
      <c r="C583" s="4"/>
      <c r="D583" s="4"/>
      <c r="E583" s="4"/>
      <c r="F583" s="4"/>
      <c r="G583" s="4"/>
      <c r="H583" s="4"/>
      <c r="I583" s="4"/>
      <c r="J583" s="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>
      <c r="A584" s="4"/>
      <c r="B584" s="4"/>
      <c r="C584" s="4"/>
      <c r="D584" s="4"/>
      <c r="E584" s="4"/>
      <c r="F584" s="4"/>
      <c r="G584" s="4"/>
      <c r="H584" s="4"/>
      <c r="I584" s="4"/>
      <c r="J584" s="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>
      <c r="A585" s="4"/>
      <c r="B585" s="4"/>
      <c r="C585" s="4"/>
      <c r="D585" s="4"/>
      <c r="E585" s="4"/>
      <c r="F585" s="4"/>
      <c r="G585" s="4"/>
      <c r="H585" s="4"/>
      <c r="I585" s="4"/>
      <c r="J585" s="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>
      <c r="A586" s="4"/>
      <c r="B586" s="4"/>
      <c r="C586" s="4"/>
      <c r="D586" s="4"/>
      <c r="E586" s="4"/>
      <c r="F586" s="4"/>
      <c r="G586" s="4"/>
      <c r="H586" s="4"/>
      <c r="I586" s="4"/>
      <c r="J586" s="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>
      <c r="A587" s="4"/>
      <c r="B587" s="4"/>
      <c r="C587" s="4"/>
      <c r="D587" s="4"/>
      <c r="E587" s="4"/>
      <c r="F587" s="4"/>
      <c r="G587" s="4"/>
      <c r="H587" s="4"/>
      <c r="I587" s="4"/>
      <c r="J587" s="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>
      <c r="A588" s="4"/>
      <c r="B588" s="4"/>
      <c r="C588" s="4"/>
      <c r="D588" s="4"/>
      <c r="E588" s="4"/>
      <c r="F588" s="4"/>
      <c r="G588" s="4"/>
      <c r="H588" s="4"/>
      <c r="I588" s="4"/>
      <c r="J588" s="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>
      <c r="A589" s="4"/>
      <c r="B589" s="4"/>
      <c r="C589" s="4"/>
      <c r="D589" s="4"/>
      <c r="E589" s="4"/>
      <c r="F589" s="4"/>
      <c r="G589" s="4"/>
      <c r="H589" s="4"/>
      <c r="I589" s="4"/>
      <c r="J589" s="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>
      <c r="A590" s="4"/>
      <c r="B590" s="4"/>
      <c r="C590" s="4"/>
      <c r="D590" s="4"/>
      <c r="E590" s="4"/>
      <c r="F590" s="4"/>
      <c r="G590" s="4"/>
      <c r="H590" s="4"/>
      <c r="I590" s="4"/>
      <c r="J590" s="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>
      <c r="A591" s="4"/>
      <c r="B591" s="4"/>
      <c r="C591" s="4"/>
      <c r="D591" s="4"/>
      <c r="E591" s="4"/>
      <c r="F591" s="4"/>
      <c r="G591" s="4"/>
      <c r="H591" s="4"/>
      <c r="I591" s="4"/>
      <c r="J591" s="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>
      <c r="A592" s="4"/>
      <c r="B592" s="4"/>
      <c r="C592" s="4"/>
      <c r="D592" s="4"/>
      <c r="E592" s="4"/>
      <c r="F592" s="4"/>
      <c r="G592" s="4"/>
      <c r="H592" s="4"/>
      <c r="I592" s="4"/>
      <c r="J592" s="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>
      <c r="A593" s="4"/>
      <c r="B593" s="4"/>
      <c r="C593" s="4"/>
      <c r="D593" s="4"/>
      <c r="E593" s="4"/>
      <c r="F593" s="4"/>
      <c r="G593" s="4"/>
      <c r="H593" s="4"/>
      <c r="I593" s="4"/>
      <c r="J593" s="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>
      <c r="A594" s="4"/>
      <c r="B594" s="4"/>
      <c r="C594" s="4"/>
      <c r="D594" s="4"/>
      <c r="E594" s="4"/>
      <c r="F594" s="4"/>
      <c r="G594" s="4"/>
      <c r="H594" s="4"/>
      <c r="I594" s="4"/>
      <c r="J594" s="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>
      <c r="A595" s="4"/>
      <c r="B595" s="4"/>
      <c r="C595" s="4"/>
      <c r="D595" s="4"/>
      <c r="E595" s="4"/>
      <c r="F595" s="4"/>
      <c r="G595" s="4"/>
      <c r="H595" s="4"/>
      <c r="I595" s="4"/>
      <c r="J595" s="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>
      <c r="A596" s="4"/>
      <c r="B596" s="4"/>
      <c r="C596" s="4"/>
      <c r="D596" s="4"/>
      <c r="E596" s="4"/>
      <c r="F596" s="4"/>
      <c r="G596" s="4"/>
      <c r="H596" s="4"/>
      <c r="I596" s="4"/>
      <c r="J596" s="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>
      <c r="A597" s="4"/>
      <c r="B597" s="4"/>
      <c r="C597" s="4"/>
      <c r="D597" s="4"/>
      <c r="E597" s="4"/>
      <c r="F597" s="4"/>
      <c r="G597" s="4"/>
      <c r="H597" s="4"/>
      <c r="I597" s="4"/>
      <c r="J597" s="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>
      <c r="A598" s="4"/>
      <c r="B598" s="4"/>
      <c r="C598" s="4"/>
      <c r="D598" s="4"/>
      <c r="E598" s="4"/>
      <c r="F598" s="4"/>
      <c r="G598" s="4"/>
      <c r="H598" s="4"/>
      <c r="I598" s="4"/>
      <c r="J598" s="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>
      <c r="A599" s="4"/>
      <c r="B599" s="4"/>
      <c r="C599" s="4"/>
      <c r="D599" s="4"/>
      <c r="E599" s="4"/>
      <c r="F599" s="4"/>
      <c r="G599" s="4"/>
      <c r="H599" s="4"/>
      <c r="I599" s="4"/>
      <c r="J599" s="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>
      <c r="A600" s="4"/>
      <c r="B600" s="4"/>
      <c r="C600" s="4"/>
      <c r="D600" s="4"/>
      <c r="E600" s="4"/>
      <c r="F600" s="4"/>
      <c r="G600" s="4"/>
      <c r="H600" s="4"/>
      <c r="I600" s="4"/>
      <c r="J600" s="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>
      <c r="A601" s="4"/>
      <c r="B601" s="4"/>
      <c r="C601" s="4"/>
      <c r="D601" s="4"/>
      <c r="E601" s="4"/>
      <c r="F601" s="4"/>
      <c r="G601" s="4"/>
      <c r="H601" s="4"/>
      <c r="I601" s="4"/>
      <c r="J601" s="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>
      <c r="A602" s="4"/>
      <c r="B602" s="4"/>
      <c r="C602" s="4"/>
      <c r="D602" s="4"/>
      <c r="E602" s="4"/>
      <c r="F602" s="4"/>
      <c r="G602" s="4"/>
      <c r="H602" s="4"/>
      <c r="I602" s="4"/>
      <c r="J602" s="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>
      <c r="A603" s="4"/>
      <c r="B603" s="4"/>
      <c r="C603" s="4"/>
      <c r="D603" s="4"/>
      <c r="E603" s="4"/>
      <c r="F603" s="4"/>
      <c r="G603" s="4"/>
      <c r="H603" s="4"/>
      <c r="I603" s="4"/>
      <c r="J603" s="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>
      <c r="A604" s="4"/>
      <c r="B604" s="4"/>
      <c r="C604" s="4"/>
      <c r="D604" s="4"/>
      <c r="E604" s="4"/>
      <c r="F604" s="4"/>
      <c r="G604" s="4"/>
      <c r="H604" s="4"/>
      <c r="I604" s="4"/>
      <c r="J604" s="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>
      <c r="A605" s="4"/>
      <c r="B605" s="4"/>
      <c r="C605" s="4"/>
      <c r="D605" s="4"/>
      <c r="E605" s="4"/>
      <c r="F605" s="4"/>
      <c r="G605" s="4"/>
      <c r="H605" s="4"/>
      <c r="I605" s="4"/>
      <c r="J605" s="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>
      <c r="A606" s="4"/>
      <c r="B606" s="4"/>
      <c r="C606" s="4"/>
      <c r="D606" s="4"/>
      <c r="E606" s="4"/>
      <c r="F606" s="4"/>
      <c r="G606" s="4"/>
      <c r="H606" s="4"/>
      <c r="I606" s="4"/>
      <c r="J606" s="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>
      <c r="A607" s="4"/>
      <c r="B607" s="4"/>
      <c r="C607" s="4"/>
      <c r="D607" s="4"/>
      <c r="E607" s="4"/>
      <c r="F607" s="4"/>
      <c r="G607" s="4"/>
      <c r="H607" s="4"/>
      <c r="I607" s="4"/>
      <c r="J607" s="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>
      <c r="A608" s="4"/>
      <c r="B608" s="4"/>
      <c r="C608" s="4"/>
      <c r="D608" s="4"/>
      <c r="E608" s="4"/>
      <c r="F608" s="4"/>
      <c r="G608" s="4"/>
      <c r="H608" s="4"/>
      <c r="I608" s="4"/>
      <c r="J608" s="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>
      <c r="A609" s="4"/>
      <c r="B609" s="4"/>
      <c r="C609" s="4"/>
      <c r="D609" s="4"/>
      <c r="E609" s="4"/>
      <c r="F609" s="4"/>
      <c r="G609" s="4"/>
      <c r="H609" s="4"/>
      <c r="I609" s="4"/>
      <c r="J609" s="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>
      <c r="A610" s="4"/>
      <c r="B610" s="4"/>
      <c r="C610" s="4"/>
      <c r="D610" s="4"/>
      <c r="E610" s="4"/>
      <c r="F610" s="4"/>
      <c r="G610" s="4"/>
      <c r="H610" s="4"/>
      <c r="I610" s="4"/>
      <c r="J610" s="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>
      <c r="A611" s="4"/>
      <c r="B611" s="4"/>
      <c r="C611" s="4"/>
      <c r="D611" s="4"/>
      <c r="E611" s="4"/>
      <c r="F611" s="4"/>
      <c r="G611" s="4"/>
      <c r="H611" s="4"/>
      <c r="I611" s="4"/>
      <c r="J611" s="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>
      <c r="A612" s="4"/>
      <c r="B612" s="4"/>
      <c r="C612" s="4"/>
      <c r="D612" s="4"/>
      <c r="E612" s="4"/>
      <c r="F612" s="4"/>
      <c r="G612" s="4"/>
      <c r="H612" s="4"/>
      <c r="I612" s="4"/>
      <c r="J612" s="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>
      <c r="A613" s="4"/>
      <c r="B613" s="4"/>
      <c r="C613" s="4"/>
      <c r="D613" s="4"/>
      <c r="E613" s="4"/>
      <c r="F613" s="4"/>
      <c r="G613" s="4"/>
      <c r="H613" s="4"/>
      <c r="I613" s="4"/>
      <c r="J613" s="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>
      <c r="A614" s="4"/>
      <c r="B614" s="4"/>
      <c r="C614" s="4"/>
      <c r="D614" s="4"/>
      <c r="E614" s="4"/>
      <c r="F614" s="4"/>
      <c r="G614" s="4"/>
      <c r="H614" s="4"/>
      <c r="I614" s="4"/>
      <c r="J614" s="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>
      <c r="A615" s="4"/>
      <c r="B615" s="4"/>
      <c r="C615" s="4"/>
      <c r="D615" s="4"/>
      <c r="E615" s="4"/>
      <c r="F615" s="4"/>
      <c r="G615" s="4"/>
      <c r="H615" s="4"/>
      <c r="I615" s="4"/>
      <c r="J615" s="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>
      <c r="A616" s="4"/>
      <c r="B616" s="4"/>
      <c r="C616" s="4"/>
      <c r="D616" s="4"/>
      <c r="E616" s="4"/>
      <c r="F616" s="4"/>
      <c r="G616" s="4"/>
      <c r="H616" s="4"/>
      <c r="I616" s="4"/>
      <c r="J616" s="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>
      <c r="A617" s="4"/>
      <c r="B617" s="4"/>
      <c r="C617" s="4"/>
      <c r="D617" s="4"/>
      <c r="E617" s="4"/>
      <c r="F617" s="4"/>
      <c r="G617" s="4"/>
      <c r="H617" s="4"/>
      <c r="I617" s="4"/>
      <c r="J617" s="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>
      <c r="A618" s="4"/>
      <c r="B618" s="4"/>
      <c r="C618" s="4"/>
      <c r="D618" s="4"/>
      <c r="E618" s="4"/>
      <c r="F618" s="4"/>
      <c r="G618" s="4"/>
      <c r="H618" s="4"/>
      <c r="I618" s="4"/>
      <c r="J618" s="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>
      <c r="A619" s="4"/>
      <c r="B619" s="4"/>
      <c r="C619" s="4"/>
      <c r="D619" s="4"/>
      <c r="E619" s="4"/>
      <c r="F619" s="4"/>
      <c r="G619" s="4"/>
      <c r="H619" s="4"/>
      <c r="I619" s="4"/>
      <c r="J619" s="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>
      <c r="A620" s="4"/>
      <c r="B620" s="4"/>
      <c r="C620" s="4"/>
      <c r="D620" s="4"/>
      <c r="E620" s="4"/>
      <c r="F620" s="4"/>
      <c r="G620" s="4"/>
      <c r="H620" s="4"/>
      <c r="I620" s="4"/>
      <c r="J620" s="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>
      <c r="A621" s="4"/>
      <c r="B621" s="4"/>
      <c r="C621" s="4"/>
      <c r="D621" s="4"/>
      <c r="E621" s="4"/>
      <c r="F621" s="4"/>
      <c r="G621" s="4"/>
      <c r="H621" s="4"/>
      <c r="I621" s="4"/>
      <c r="J621" s="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>
      <c r="A622" s="4"/>
      <c r="B622" s="4"/>
      <c r="C622" s="4"/>
      <c r="D622" s="4"/>
      <c r="E622" s="4"/>
      <c r="F622" s="4"/>
      <c r="G622" s="4"/>
      <c r="H622" s="4"/>
      <c r="I622" s="4"/>
      <c r="J622" s="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>
      <c r="A623" s="4"/>
      <c r="B623" s="4"/>
      <c r="C623" s="4"/>
      <c r="D623" s="4"/>
      <c r="E623" s="4"/>
      <c r="F623" s="4"/>
      <c r="G623" s="4"/>
      <c r="H623" s="4"/>
      <c r="I623" s="4"/>
      <c r="J623" s="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>
      <c r="A624" s="4"/>
      <c r="B624" s="4"/>
      <c r="C624" s="4"/>
      <c r="D624" s="4"/>
      <c r="E624" s="4"/>
      <c r="F624" s="4"/>
      <c r="G624" s="4"/>
      <c r="H624" s="4"/>
      <c r="I624" s="4"/>
      <c r="J624" s="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>
      <c r="A625" s="4"/>
      <c r="B625" s="4"/>
      <c r="C625" s="4"/>
      <c r="D625" s="4"/>
      <c r="E625" s="4"/>
      <c r="F625" s="4"/>
      <c r="G625" s="4"/>
      <c r="H625" s="4"/>
      <c r="I625" s="4"/>
      <c r="J625" s="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>
      <c r="A626" s="4"/>
      <c r="B626" s="4"/>
      <c r="C626" s="4"/>
      <c r="D626" s="4"/>
      <c r="E626" s="4"/>
      <c r="F626" s="4"/>
      <c r="G626" s="4"/>
      <c r="H626" s="4"/>
      <c r="I626" s="4"/>
      <c r="J626" s="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>
      <c r="A627" s="4"/>
      <c r="B627" s="4"/>
      <c r="C627" s="4"/>
      <c r="D627" s="4"/>
      <c r="E627" s="4"/>
      <c r="F627" s="4"/>
      <c r="G627" s="4"/>
      <c r="H627" s="4"/>
      <c r="I627" s="4"/>
      <c r="J627" s="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>
      <c r="A628" s="4"/>
      <c r="B628" s="4"/>
      <c r="C628" s="4"/>
      <c r="D628" s="4"/>
      <c r="E628" s="4"/>
      <c r="F628" s="4"/>
      <c r="G628" s="4"/>
      <c r="H628" s="4"/>
      <c r="I628" s="4"/>
      <c r="J628" s="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>
      <c r="A629" s="4"/>
      <c r="B629" s="4"/>
      <c r="C629" s="4"/>
      <c r="D629" s="4"/>
      <c r="E629" s="4"/>
      <c r="F629" s="4"/>
      <c r="G629" s="4"/>
      <c r="H629" s="4"/>
      <c r="I629" s="4"/>
      <c r="J629" s="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>
      <c r="A630" s="4"/>
      <c r="B630" s="4"/>
      <c r="C630" s="4"/>
      <c r="D630" s="4"/>
      <c r="E630" s="4"/>
      <c r="F630" s="4"/>
      <c r="G630" s="4"/>
      <c r="H630" s="4"/>
      <c r="I630" s="4"/>
      <c r="J630" s="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>
      <c r="A631" s="4"/>
      <c r="B631" s="4"/>
      <c r="C631" s="4"/>
      <c r="D631" s="4"/>
      <c r="E631" s="4"/>
      <c r="F631" s="4"/>
      <c r="G631" s="4"/>
      <c r="H631" s="4"/>
      <c r="I631" s="4"/>
      <c r="J631" s="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>
      <c r="A632" s="4"/>
      <c r="B632" s="4"/>
      <c r="C632" s="4"/>
      <c r="D632" s="4"/>
      <c r="E632" s="4"/>
      <c r="F632" s="4"/>
      <c r="G632" s="4"/>
      <c r="H632" s="4"/>
      <c r="I632" s="4"/>
      <c r="J632" s="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>
      <c r="A633" s="4"/>
      <c r="B633" s="4"/>
      <c r="C633" s="4"/>
      <c r="D633" s="4"/>
      <c r="E633" s="4"/>
      <c r="F633" s="4"/>
      <c r="G633" s="4"/>
      <c r="H633" s="4"/>
      <c r="I633" s="4"/>
      <c r="J633" s="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>
      <c r="A634" s="4"/>
      <c r="B634" s="4"/>
      <c r="C634" s="4"/>
      <c r="D634" s="4"/>
      <c r="E634" s="4"/>
      <c r="F634" s="4"/>
      <c r="G634" s="4"/>
      <c r="H634" s="4"/>
      <c r="I634" s="4"/>
      <c r="J634" s="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>
      <c r="A635" s="4"/>
      <c r="B635" s="4"/>
      <c r="C635" s="4"/>
      <c r="D635" s="4"/>
      <c r="E635" s="4"/>
      <c r="F635" s="4"/>
      <c r="G635" s="4"/>
      <c r="H635" s="4"/>
      <c r="I635" s="4"/>
      <c r="J635" s="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>
      <c r="A636" s="4"/>
      <c r="B636" s="4"/>
      <c r="C636" s="4"/>
      <c r="D636" s="4"/>
      <c r="E636" s="4"/>
      <c r="F636" s="4"/>
      <c r="G636" s="4"/>
      <c r="H636" s="4"/>
      <c r="I636" s="4"/>
      <c r="J636" s="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>
      <c r="A637" s="4"/>
      <c r="B637" s="4"/>
      <c r="C637" s="4"/>
      <c r="D637" s="4"/>
      <c r="E637" s="4"/>
      <c r="F637" s="4"/>
      <c r="G637" s="4"/>
      <c r="H637" s="4"/>
      <c r="I637" s="4"/>
      <c r="J637" s="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>
      <c r="A638" s="4"/>
      <c r="B638" s="4"/>
      <c r="C638" s="4"/>
      <c r="D638" s="4"/>
      <c r="E638" s="4"/>
      <c r="F638" s="4"/>
      <c r="G638" s="4"/>
      <c r="H638" s="4"/>
      <c r="I638" s="4"/>
      <c r="J638" s="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>
      <c r="A639" s="4"/>
      <c r="B639" s="4"/>
      <c r="C639" s="4"/>
      <c r="D639" s="4"/>
      <c r="E639" s="4"/>
      <c r="F639" s="4"/>
      <c r="G639" s="4"/>
      <c r="H639" s="4"/>
      <c r="I639" s="4"/>
      <c r="J639" s="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>
      <c r="A640" s="4"/>
      <c r="B640" s="4"/>
      <c r="C640" s="4"/>
      <c r="D640" s="4"/>
      <c r="E640" s="4"/>
      <c r="F640" s="4"/>
      <c r="G640" s="4"/>
      <c r="H640" s="4"/>
      <c r="I640" s="4"/>
      <c r="J640" s="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>
      <c r="A641" s="4"/>
      <c r="B641" s="4"/>
      <c r="C641" s="4"/>
      <c r="D641" s="4"/>
      <c r="E641" s="4"/>
      <c r="F641" s="4"/>
      <c r="G641" s="4"/>
      <c r="H641" s="4"/>
      <c r="I641" s="4"/>
      <c r="J641" s="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>
      <c r="A642" s="4"/>
      <c r="B642" s="4"/>
      <c r="C642" s="4"/>
      <c r="D642" s="4"/>
      <c r="E642" s="4"/>
      <c r="F642" s="4"/>
      <c r="G642" s="4"/>
      <c r="H642" s="4"/>
      <c r="I642" s="4"/>
      <c r="J642" s="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>
      <c r="A643" s="4"/>
      <c r="B643" s="4"/>
      <c r="C643" s="4"/>
      <c r="D643" s="4"/>
      <c r="E643" s="4"/>
      <c r="F643" s="4"/>
      <c r="G643" s="4"/>
      <c r="H643" s="4"/>
      <c r="I643" s="4"/>
      <c r="J643" s="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>
      <c r="A644" s="4"/>
      <c r="B644" s="4"/>
      <c r="C644" s="4"/>
      <c r="D644" s="4"/>
      <c r="E644" s="4"/>
      <c r="F644" s="4"/>
      <c r="G644" s="4"/>
      <c r="H644" s="4"/>
      <c r="I644" s="4"/>
      <c r="J644" s="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>
      <c r="A645" s="4"/>
      <c r="B645" s="4"/>
      <c r="C645" s="4"/>
      <c r="D645" s="4"/>
      <c r="E645" s="4"/>
      <c r="F645" s="4"/>
      <c r="G645" s="4"/>
      <c r="H645" s="4"/>
      <c r="I645" s="4"/>
      <c r="J645" s="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>
      <c r="A646" s="4"/>
      <c r="B646" s="4"/>
      <c r="C646" s="4"/>
      <c r="D646" s="4"/>
      <c r="E646" s="4"/>
      <c r="F646" s="4"/>
      <c r="G646" s="4"/>
      <c r="H646" s="4"/>
      <c r="I646" s="4"/>
      <c r="J646" s="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>
      <c r="A647" s="4"/>
      <c r="B647" s="4"/>
      <c r="C647" s="4"/>
      <c r="D647" s="4"/>
      <c r="E647" s="4"/>
      <c r="F647" s="4"/>
      <c r="G647" s="4"/>
      <c r="H647" s="4"/>
      <c r="I647" s="4"/>
      <c r="J647" s="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>
      <c r="A648" s="4"/>
      <c r="B648" s="4"/>
      <c r="C648" s="4"/>
      <c r="D648" s="4"/>
      <c r="E648" s="4"/>
      <c r="F648" s="4"/>
      <c r="G648" s="4"/>
      <c r="H648" s="4"/>
      <c r="I648" s="4"/>
      <c r="J648" s="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>
      <c r="A649" s="4"/>
      <c r="B649" s="4"/>
      <c r="C649" s="4"/>
      <c r="D649" s="4"/>
      <c r="E649" s="4"/>
      <c r="F649" s="4"/>
      <c r="G649" s="4"/>
      <c r="H649" s="4"/>
      <c r="I649" s="4"/>
      <c r="J649" s="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>
      <c r="A650" s="4"/>
      <c r="B650" s="4"/>
      <c r="C650" s="4"/>
      <c r="D650" s="4"/>
      <c r="E650" s="4"/>
      <c r="F650" s="4"/>
      <c r="G650" s="4"/>
      <c r="H650" s="4"/>
      <c r="I650" s="4"/>
      <c r="J650" s="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>
      <c r="A651" s="4"/>
      <c r="B651" s="4"/>
      <c r="C651" s="4"/>
      <c r="D651" s="4"/>
      <c r="E651" s="4"/>
      <c r="F651" s="4"/>
      <c r="G651" s="4"/>
      <c r="H651" s="4"/>
      <c r="I651" s="4"/>
      <c r="J651" s="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>
      <c r="A652" s="4"/>
      <c r="B652" s="4"/>
      <c r="C652" s="4"/>
      <c r="D652" s="4"/>
      <c r="E652" s="4"/>
      <c r="F652" s="4"/>
      <c r="G652" s="4"/>
      <c r="H652" s="4"/>
      <c r="I652" s="4"/>
      <c r="J652" s="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>
      <c r="A653" s="4"/>
      <c r="B653" s="4"/>
      <c r="C653" s="4"/>
      <c r="D653" s="4"/>
      <c r="E653" s="4"/>
      <c r="F653" s="4"/>
      <c r="G653" s="4"/>
      <c r="H653" s="4"/>
      <c r="I653" s="4"/>
      <c r="J653" s="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>
      <c r="A654" s="4"/>
      <c r="B654" s="4"/>
      <c r="C654" s="4"/>
      <c r="D654" s="4"/>
      <c r="E654" s="4"/>
      <c r="F654" s="4"/>
      <c r="G654" s="4"/>
      <c r="H654" s="4"/>
      <c r="I654" s="4"/>
      <c r="J654" s="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>
      <c r="A655" s="4"/>
      <c r="B655" s="4"/>
      <c r="C655" s="4"/>
      <c r="D655" s="4"/>
      <c r="E655" s="4"/>
      <c r="F655" s="4"/>
      <c r="G655" s="4"/>
      <c r="H655" s="4"/>
      <c r="I655" s="4"/>
      <c r="J655" s="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>
      <c r="A656" s="4"/>
      <c r="B656" s="4"/>
      <c r="C656" s="4"/>
      <c r="D656" s="4"/>
      <c r="E656" s="4"/>
      <c r="F656" s="4"/>
      <c r="G656" s="4"/>
      <c r="H656" s="4"/>
      <c r="I656" s="4"/>
      <c r="J656" s="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>
      <c r="A657" s="4"/>
      <c r="B657" s="4"/>
      <c r="C657" s="4"/>
      <c r="D657" s="4"/>
      <c r="E657" s="4"/>
      <c r="F657" s="4"/>
      <c r="G657" s="4"/>
      <c r="H657" s="4"/>
      <c r="I657" s="4"/>
      <c r="J657" s="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>
      <c r="A658" s="4"/>
      <c r="B658" s="4"/>
      <c r="C658" s="4"/>
      <c r="D658" s="4"/>
      <c r="E658" s="4"/>
      <c r="F658" s="4"/>
      <c r="G658" s="4"/>
      <c r="H658" s="4"/>
      <c r="I658" s="4"/>
      <c r="J658" s="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>
      <c r="A659" s="4"/>
      <c r="B659" s="4"/>
      <c r="C659" s="4"/>
      <c r="D659" s="4"/>
      <c r="E659" s="4"/>
      <c r="F659" s="4"/>
      <c r="G659" s="4"/>
      <c r="H659" s="4"/>
      <c r="I659" s="4"/>
      <c r="J659" s="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>
      <c r="A660" s="4"/>
      <c r="B660" s="4"/>
      <c r="C660" s="4"/>
      <c r="D660" s="4"/>
      <c r="E660" s="4"/>
      <c r="F660" s="4"/>
      <c r="G660" s="4"/>
      <c r="H660" s="4"/>
      <c r="I660" s="4"/>
      <c r="J660" s="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>
      <c r="A661" s="4"/>
      <c r="B661" s="4"/>
      <c r="C661" s="4"/>
      <c r="D661" s="4"/>
      <c r="E661" s="4"/>
      <c r="F661" s="4"/>
      <c r="G661" s="4"/>
      <c r="H661" s="4"/>
      <c r="I661" s="4"/>
      <c r="J661" s="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>
      <c r="A662" s="4"/>
      <c r="B662" s="4"/>
      <c r="C662" s="4"/>
      <c r="D662" s="4"/>
      <c r="E662" s="4"/>
      <c r="F662" s="4"/>
      <c r="G662" s="4"/>
      <c r="H662" s="4"/>
      <c r="I662" s="4"/>
      <c r="J662" s="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>
      <c r="A663" s="4"/>
      <c r="B663" s="4"/>
      <c r="C663" s="4"/>
      <c r="D663" s="4"/>
      <c r="E663" s="4"/>
      <c r="F663" s="4"/>
      <c r="G663" s="4"/>
      <c r="H663" s="4"/>
      <c r="I663" s="4"/>
      <c r="J663" s="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>
      <c r="A664" s="4"/>
      <c r="B664" s="4"/>
      <c r="C664" s="4"/>
      <c r="D664" s="4"/>
      <c r="E664" s="4"/>
      <c r="F664" s="4"/>
      <c r="G664" s="4"/>
      <c r="H664" s="4"/>
      <c r="I664" s="4"/>
      <c r="J664" s="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>
      <c r="A665" s="4"/>
      <c r="B665" s="4"/>
      <c r="C665" s="4"/>
      <c r="D665" s="4"/>
      <c r="E665" s="4"/>
      <c r="F665" s="4"/>
      <c r="G665" s="4"/>
      <c r="H665" s="4"/>
      <c r="I665" s="4"/>
      <c r="J665" s="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>
      <c r="A666" s="4"/>
      <c r="B666" s="4"/>
      <c r="C666" s="4"/>
      <c r="D666" s="4"/>
      <c r="E666" s="4"/>
      <c r="F666" s="4"/>
      <c r="G666" s="4"/>
      <c r="H666" s="4"/>
      <c r="I666" s="4"/>
      <c r="J666" s="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>
      <c r="A667" s="4"/>
      <c r="B667" s="4"/>
      <c r="C667" s="4"/>
      <c r="D667" s="4"/>
      <c r="E667" s="4"/>
      <c r="F667" s="4"/>
      <c r="G667" s="4"/>
      <c r="H667" s="4"/>
      <c r="I667" s="4"/>
      <c r="J667" s="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>
      <c r="A668" s="4"/>
      <c r="B668" s="4"/>
      <c r="C668" s="4"/>
      <c r="D668" s="4"/>
      <c r="E668" s="4"/>
      <c r="F668" s="4"/>
      <c r="G668" s="4"/>
      <c r="H668" s="4"/>
      <c r="I668" s="4"/>
      <c r="J668" s="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>
      <c r="A669" s="4"/>
      <c r="B669" s="4"/>
      <c r="C669" s="4"/>
      <c r="D669" s="4"/>
      <c r="E669" s="4"/>
      <c r="F669" s="4"/>
      <c r="G669" s="4"/>
      <c r="H669" s="4"/>
      <c r="I669" s="4"/>
      <c r="J669" s="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>
      <c r="A670" s="4"/>
      <c r="B670" s="4"/>
      <c r="C670" s="4"/>
      <c r="D670" s="4"/>
      <c r="E670" s="4"/>
      <c r="F670" s="4"/>
      <c r="G670" s="4"/>
      <c r="H670" s="4"/>
      <c r="I670" s="4"/>
      <c r="J670" s="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>
      <c r="A671" s="4"/>
      <c r="B671" s="4"/>
      <c r="C671" s="4"/>
      <c r="D671" s="4"/>
      <c r="E671" s="4"/>
      <c r="F671" s="4"/>
      <c r="G671" s="4"/>
      <c r="H671" s="4"/>
      <c r="I671" s="4"/>
      <c r="J671" s="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>
      <c r="A672" s="4"/>
      <c r="B672" s="4"/>
      <c r="C672" s="4"/>
      <c r="D672" s="4"/>
      <c r="E672" s="4"/>
      <c r="F672" s="4"/>
      <c r="G672" s="4"/>
      <c r="H672" s="4"/>
      <c r="I672" s="4"/>
      <c r="J672" s="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>
      <c r="A673" s="4"/>
      <c r="B673" s="4"/>
      <c r="C673" s="4"/>
      <c r="D673" s="4"/>
      <c r="E673" s="4"/>
      <c r="F673" s="4"/>
      <c r="G673" s="4"/>
      <c r="H673" s="4"/>
      <c r="I673" s="4"/>
      <c r="J673" s="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>
      <c r="A674" s="4"/>
      <c r="B674" s="4"/>
      <c r="C674" s="4"/>
      <c r="D674" s="4"/>
      <c r="E674" s="4"/>
      <c r="F674" s="4"/>
      <c r="G674" s="4"/>
      <c r="H674" s="4"/>
      <c r="I674" s="4"/>
      <c r="J674" s="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>
      <c r="A675" s="4"/>
      <c r="B675" s="4"/>
      <c r="C675" s="4"/>
      <c r="D675" s="4"/>
      <c r="E675" s="4"/>
      <c r="F675" s="4"/>
      <c r="G675" s="4"/>
      <c r="H675" s="4"/>
      <c r="I675" s="4"/>
      <c r="J675" s="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>
      <c r="A676" s="4"/>
      <c r="B676" s="4"/>
      <c r="C676" s="4"/>
      <c r="D676" s="4"/>
      <c r="E676" s="4"/>
      <c r="F676" s="4"/>
      <c r="G676" s="4"/>
      <c r="H676" s="4"/>
      <c r="I676" s="4"/>
      <c r="J676" s="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>
      <c r="A677" s="4"/>
      <c r="B677" s="4"/>
      <c r="C677" s="4"/>
      <c r="D677" s="4"/>
      <c r="E677" s="4"/>
      <c r="F677" s="4"/>
      <c r="G677" s="4"/>
      <c r="H677" s="4"/>
      <c r="I677" s="4"/>
      <c r="J677" s="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>
      <c r="A678" s="4"/>
      <c r="B678" s="4"/>
      <c r="C678" s="4"/>
      <c r="D678" s="4"/>
      <c r="E678" s="4"/>
      <c r="F678" s="4"/>
      <c r="G678" s="4"/>
      <c r="H678" s="4"/>
      <c r="I678" s="4"/>
      <c r="J678" s="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>
      <c r="A679" s="4"/>
      <c r="B679" s="4"/>
      <c r="C679" s="4"/>
      <c r="D679" s="4"/>
      <c r="E679" s="4"/>
      <c r="F679" s="4"/>
      <c r="G679" s="4"/>
      <c r="H679" s="4"/>
      <c r="I679" s="4"/>
      <c r="J679" s="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>
      <c r="A680" s="4"/>
      <c r="B680" s="4"/>
      <c r="C680" s="4"/>
      <c r="D680" s="4"/>
      <c r="E680" s="4"/>
      <c r="F680" s="4"/>
      <c r="G680" s="4"/>
      <c r="H680" s="4"/>
      <c r="I680" s="4"/>
      <c r="J680" s="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>
      <c r="A681" s="4"/>
      <c r="B681" s="4"/>
      <c r="C681" s="4"/>
      <c r="D681" s="4"/>
      <c r="E681" s="4"/>
      <c r="F681" s="4"/>
      <c r="G681" s="4"/>
      <c r="H681" s="4"/>
      <c r="I681" s="4"/>
      <c r="J681" s="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>
      <c r="A682" s="4"/>
      <c r="B682" s="4"/>
      <c r="C682" s="4"/>
      <c r="D682" s="4"/>
      <c r="E682" s="4"/>
      <c r="F682" s="4"/>
      <c r="G682" s="4"/>
      <c r="H682" s="4"/>
      <c r="I682" s="4"/>
      <c r="J682" s="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>
      <c r="A683" s="4"/>
      <c r="B683" s="4"/>
      <c r="C683" s="4"/>
      <c r="D683" s="4"/>
      <c r="E683" s="4"/>
      <c r="F683" s="4"/>
      <c r="G683" s="4"/>
      <c r="H683" s="4"/>
      <c r="I683" s="4"/>
      <c r="J683" s="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>
      <c r="A684" s="4"/>
      <c r="B684" s="4"/>
      <c r="C684" s="4"/>
      <c r="D684" s="4"/>
      <c r="E684" s="4"/>
      <c r="F684" s="4"/>
      <c r="G684" s="4"/>
      <c r="H684" s="4"/>
      <c r="I684" s="4"/>
      <c r="J684" s="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>
      <c r="A685" s="4"/>
      <c r="B685" s="4"/>
      <c r="C685" s="4"/>
      <c r="D685" s="4"/>
      <c r="E685" s="4"/>
      <c r="F685" s="4"/>
      <c r="G685" s="4"/>
      <c r="H685" s="4"/>
      <c r="I685" s="4"/>
      <c r="J685" s="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>
      <c r="A686" s="4"/>
      <c r="B686" s="4"/>
      <c r="C686" s="4"/>
      <c r="D686" s="4"/>
      <c r="E686" s="4"/>
      <c r="F686" s="4"/>
      <c r="G686" s="4"/>
      <c r="H686" s="4"/>
      <c r="I686" s="4"/>
      <c r="J686" s="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>
      <c r="A687" s="4"/>
      <c r="B687" s="4"/>
      <c r="C687" s="4"/>
      <c r="D687" s="4"/>
      <c r="E687" s="4"/>
      <c r="F687" s="4"/>
      <c r="G687" s="4"/>
      <c r="H687" s="4"/>
      <c r="I687" s="4"/>
      <c r="J687" s="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>
      <c r="A688" s="4"/>
      <c r="B688" s="4"/>
      <c r="C688" s="4"/>
      <c r="D688" s="4"/>
      <c r="E688" s="4"/>
      <c r="F688" s="4"/>
      <c r="G688" s="4"/>
      <c r="H688" s="4"/>
      <c r="I688" s="4"/>
      <c r="J688" s="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>
      <c r="A689" s="4"/>
      <c r="B689" s="4"/>
      <c r="C689" s="4"/>
      <c r="D689" s="4"/>
      <c r="E689" s="4"/>
      <c r="F689" s="4"/>
      <c r="G689" s="4"/>
      <c r="H689" s="4"/>
      <c r="I689" s="4"/>
      <c r="J689" s="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>
      <c r="A690" s="4"/>
      <c r="B690" s="4"/>
      <c r="C690" s="4"/>
      <c r="D690" s="4"/>
      <c r="E690" s="4"/>
      <c r="F690" s="4"/>
      <c r="G690" s="4"/>
      <c r="H690" s="4"/>
      <c r="I690" s="4"/>
      <c r="J690" s="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>
      <c r="A691" s="4"/>
      <c r="B691" s="4"/>
      <c r="C691" s="4"/>
      <c r="D691" s="4"/>
      <c r="E691" s="4"/>
      <c r="F691" s="4"/>
      <c r="G691" s="4"/>
      <c r="H691" s="4"/>
      <c r="I691" s="4"/>
      <c r="J691" s="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>
      <c r="A692" s="4"/>
      <c r="B692" s="4"/>
      <c r="C692" s="4"/>
      <c r="D692" s="4"/>
      <c r="E692" s="4"/>
      <c r="F692" s="4"/>
      <c r="G692" s="4"/>
      <c r="H692" s="4"/>
      <c r="I692" s="4"/>
      <c r="J692" s="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>
      <c r="A693" s="4"/>
      <c r="B693" s="4"/>
      <c r="C693" s="4"/>
      <c r="D693" s="4"/>
      <c r="E693" s="4"/>
      <c r="F693" s="4"/>
      <c r="G693" s="4"/>
      <c r="H693" s="4"/>
      <c r="I693" s="4"/>
      <c r="J693" s="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>
      <c r="A694" s="4"/>
      <c r="B694" s="4"/>
      <c r="C694" s="4"/>
      <c r="D694" s="4"/>
      <c r="E694" s="4"/>
      <c r="F694" s="4"/>
      <c r="G694" s="4"/>
      <c r="H694" s="4"/>
      <c r="I694" s="4"/>
      <c r="J694" s="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>
      <c r="A695" s="4"/>
      <c r="B695" s="4"/>
      <c r="C695" s="4"/>
      <c r="D695" s="4"/>
      <c r="E695" s="4"/>
      <c r="F695" s="4"/>
      <c r="G695" s="4"/>
      <c r="H695" s="4"/>
      <c r="I695" s="4"/>
      <c r="J695" s="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>
      <c r="A696" s="4"/>
      <c r="B696" s="4"/>
      <c r="C696" s="4"/>
      <c r="D696" s="4"/>
      <c r="E696" s="4"/>
      <c r="F696" s="4"/>
      <c r="G696" s="4"/>
      <c r="H696" s="4"/>
      <c r="I696" s="4"/>
      <c r="J696" s="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>
      <c r="A697" s="4"/>
      <c r="B697" s="4"/>
      <c r="C697" s="4"/>
      <c r="D697" s="4"/>
      <c r="E697" s="4"/>
      <c r="F697" s="4"/>
      <c r="G697" s="4"/>
      <c r="H697" s="4"/>
      <c r="I697" s="4"/>
      <c r="J697" s="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>
      <c r="A698" s="4"/>
      <c r="B698" s="4"/>
      <c r="C698" s="4"/>
      <c r="D698" s="4"/>
      <c r="E698" s="4"/>
      <c r="F698" s="4"/>
      <c r="G698" s="4"/>
      <c r="H698" s="4"/>
      <c r="I698" s="4"/>
      <c r="J698" s="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>
      <c r="A699" s="4"/>
      <c r="B699" s="4"/>
      <c r="C699" s="4"/>
      <c r="D699" s="4"/>
      <c r="E699" s="4"/>
      <c r="F699" s="4"/>
      <c r="G699" s="4"/>
      <c r="H699" s="4"/>
      <c r="I699" s="4"/>
      <c r="J699" s="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>
      <c r="A700" s="4"/>
      <c r="B700" s="4"/>
      <c r="C700" s="4"/>
      <c r="D700" s="4"/>
      <c r="E700" s="4"/>
      <c r="F700" s="4"/>
      <c r="G700" s="4"/>
      <c r="H700" s="4"/>
      <c r="I700" s="4"/>
      <c r="J700" s="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>
      <c r="A701" s="4"/>
      <c r="B701" s="4"/>
      <c r="C701" s="4"/>
      <c r="D701" s="4"/>
      <c r="E701" s="4"/>
      <c r="F701" s="4"/>
      <c r="G701" s="4"/>
      <c r="H701" s="4"/>
      <c r="I701" s="4"/>
      <c r="J701" s="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>
      <c r="A702" s="4"/>
      <c r="B702" s="4"/>
      <c r="C702" s="4"/>
      <c r="D702" s="4"/>
      <c r="E702" s="4"/>
      <c r="F702" s="4"/>
      <c r="G702" s="4"/>
      <c r="H702" s="4"/>
      <c r="I702" s="4"/>
      <c r="J702" s="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>
      <c r="A703" s="4"/>
      <c r="B703" s="4"/>
      <c r="C703" s="4"/>
      <c r="D703" s="4"/>
      <c r="E703" s="4"/>
      <c r="F703" s="4"/>
      <c r="G703" s="4"/>
      <c r="H703" s="4"/>
      <c r="I703" s="4"/>
      <c r="J703" s="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>
      <c r="A704" s="4"/>
      <c r="B704" s="4"/>
      <c r="C704" s="4"/>
      <c r="D704" s="4"/>
      <c r="E704" s="4"/>
      <c r="F704" s="4"/>
      <c r="G704" s="4"/>
      <c r="H704" s="4"/>
      <c r="I704" s="4"/>
      <c r="J704" s="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>
      <c r="A705" s="4"/>
      <c r="B705" s="4"/>
      <c r="C705" s="4"/>
      <c r="D705" s="4"/>
      <c r="E705" s="4"/>
      <c r="F705" s="4"/>
      <c r="G705" s="4"/>
      <c r="H705" s="4"/>
      <c r="I705" s="4"/>
      <c r="J705" s="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>
      <c r="A706" s="4"/>
      <c r="B706" s="4"/>
      <c r="C706" s="4"/>
      <c r="D706" s="4"/>
      <c r="E706" s="4"/>
      <c r="F706" s="4"/>
      <c r="G706" s="4"/>
      <c r="H706" s="4"/>
      <c r="I706" s="4"/>
      <c r="J706" s="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>
      <c r="A707" s="4"/>
      <c r="B707" s="4"/>
      <c r="C707" s="4"/>
      <c r="D707" s="4"/>
      <c r="E707" s="4"/>
      <c r="F707" s="4"/>
      <c r="G707" s="4"/>
      <c r="H707" s="4"/>
      <c r="I707" s="4"/>
      <c r="J707" s="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>
      <c r="A708" s="4"/>
      <c r="B708" s="4"/>
      <c r="C708" s="4"/>
      <c r="D708" s="4"/>
      <c r="E708" s="4"/>
      <c r="F708" s="4"/>
      <c r="G708" s="4"/>
      <c r="H708" s="4"/>
      <c r="I708" s="4"/>
      <c r="J708" s="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>
      <c r="A709" s="4"/>
      <c r="B709" s="4"/>
      <c r="C709" s="4"/>
      <c r="D709" s="4"/>
      <c r="E709" s="4"/>
      <c r="F709" s="4"/>
      <c r="G709" s="4"/>
      <c r="H709" s="4"/>
      <c r="I709" s="4"/>
      <c r="J709" s="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>
      <c r="A710" s="4"/>
      <c r="B710" s="4"/>
      <c r="C710" s="4"/>
      <c r="D710" s="4"/>
      <c r="E710" s="4"/>
      <c r="F710" s="4"/>
      <c r="G710" s="4"/>
      <c r="H710" s="4"/>
      <c r="I710" s="4"/>
      <c r="J710" s="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>
      <c r="A711" s="4"/>
      <c r="B711" s="4"/>
      <c r="C711" s="4"/>
      <c r="D711" s="4"/>
      <c r="E711" s="4"/>
      <c r="F711" s="4"/>
      <c r="G711" s="4"/>
      <c r="H711" s="4"/>
      <c r="I711" s="4"/>
      <c r="J711" s="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>
      <c r="A712" s="4"/>
      <c r="B712" s="4"/>
      <c r="C712" s="4"/>
      <c r="D712" s="4"/>
      <c r="E712" s="4"/>
      <c r="F712" s="4"/>
      <c r="G712" s="4"/>
      <c r="H712" s="4"/>
      <c r="I712" s="4"/>
      <c r="J712" s="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>
      <c r="A713" s="4"/>
      <c r="B713" s="4"/>
      <c r="C713" s="4"/>
      <c r="D713" s="4"/>
      <c r="E713" s="4"/>
      <c r="F713" s="4"/>
      <c r="G713" s="4"/>
      <c r="H713" s="4"/>
      <c r="I713" s="4"/>
      <c r="J713" s="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>
      <c r="A714" s="4"/>
      <c r="B714" s="4"/>
      <c r="C714" s="4"/>
      <c r="D714" s="4"/>
      <c r="E714" s="4"/>
      <c r="F714" s="4"/>
      <c r="G714" s="4"/>
      <c r="H714" s="4"/>
      <c r="I714" s="4"/>
      <c r="J714" s="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>
      <c r="A715" s="4"/>
      <c r="B715" s="4"/>
      <c r="C715" s="4"/>
      <c r="D715" s="4"/>
      <c r="E715" s="4"/>
      <c r="F715" s="4"/>
      <c r="G715" s="4"/>
      <c r="H715" s="4"/>
      <c r="I715" s="4"/>
      <c r="J715" s="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>
      <c r="A716" s="4"/>
      <c r="B716" s="4"/>
      <c r="C716" s="4"/>
      <c r="D716" s="4"/>
      <c r="E716" s="4"/>
      <c r="F716" s="4"/>
      <c r="G716" s="4"/>
      <c r="H716" s="4"/>
      <c r="I716" s="4"/>
      <c r="J716" s="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>
      <c r="A717" s="4"/>
      <c r="B717" s="4"/>
      <c r="C717" s="4"/>
      <c r="D717" s="4"/>
      <c r="E717" s="4"/>
      <c r="F717" s="4"/>
      <c r="G717" s="4"/>
      <c r="H717" s="4"/>
      <c r="I717" s="4"/>
      <c r="J717" s="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>
      <c r="A718" s="4"/>
      <c r="B718" s="4"/>
      <c r="C718" s="4"/>
      <c r="D718" s="4"/>
      <c r="E718" s="4"/>
      <c r="F718" s="4"/>
      <c r="G718" s="4"/>
      <c r="H718" s="4"/>
      <c r="I718" s="4"/>
      <c r="J718" s="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>
      <c r="A719" s="4"/>
      <c r="B719" s="4"/>
      <c r="C719" s="4"/>
      <c r="D719" s="4"/>
      <c r="E719" s="4"/>
      <c r="F719" s="4"/>
      <c r="G719" s="4"/>
      <c r="H719" s="4"/>
      <c r="I719" s="4"/>
      <c r="J719" s="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>
      <c r="A720" s="4"/>
      <c r="B720" s="4"/>
      <c r="C720" s="4"/>
      <c r="D720" s="4"/>
      <c r="E720" s="4"/>
      <c r="F720" s="4"/>
      <c r="G720" s="4"/>
      <c r="H720" s="4"/>
      <c r="I720" s="4"/>
      <c r="J720" s="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>
      <c r="A721" s="4"/>
      <c r="B721" s="4"/>
      <c r="C721" s="4"/>
      <c r="D721" s="4"/>
      <c r="E721" s="4"/>
      <c r="F721" s="4"/>
      <c r="G721" s="4"/>
      <c r="H721" s="4"/>
      <c r="I721" s="4"/>
      <c r="J721" s="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>
      <c r="A722" s="4"/>
      <c r="B722" s="4"/>
      <c r="C722" s="4"/>
      <c r="D722" s="4"/>
      <c r="E722" s="4"/>
      <c r="F722" s="4"/>
      <c r="G722" s="4"/>
      <c r="H722" s="4"/>
      <c r="I722" s="4"/>
      <c r="J722" s="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>
      <c r="A723" s="4"/>
      <c r="B723" s="4"/>
      <c r="C723" s="4"/>
      <c r="D723" s="4"/>
      <c r="E723" s="4"/>
      <c r="F723" s="4"/>
      <c r="G723" s="4"/>
      <c r="H723" s="4"/>
      <c r="I723" s="4"/>
      <c r="J723" s="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>
      <c r="A724" s="4"/>
      <c r="B724" s="4"/>
      <c r="C724" s="4"/>
      <c r="D724" s="4"/>
      <c r="E724" s="4"/>
      <c r="F724" s="4"/>
      <c r="G724" s="4"/>
      <c r="H724" s="4"/>
      <c r="I724" s="4"/>
      <c r="J724" s="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>
      <c r="A725" s="4"/>
      <c r="B725" s="4"/>
      <c r="C725" s="4"/>
      <c r="D725" s="4"/>
      <c r="E725" s="4"/>
      <c r="F725" s="4"/>
      <c r="G725" s="4"/>
      <c r="H725" s="4"/>
      <c r="I725" s="4"/>
      <c r="J725" s="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>
      <c r="A726" s="4"/>
      <c r="B726" s="4"/>
      <c r="C726" s="4"/>
      <c r="D726" s="4"/>
      <c r="E726" s="4"/>
      <c r="F726" s="4"/>
      <c r="G726" s="4"/>
      <c r="H726" s="4"/>
      <c r="I726" s="4"/>
      <c r="J726" s="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>
      <c r="A727" s="4"/>
      <c r="B727" s="4"/>
      <c r="C727" s="4"/>
      <c r="D727" s="4"/>
      <c r="E727" s="4"/>
      <c r="F727" s="4"/>
      <c r="G727" s="4"/>
      <c r="H727" s="4"/>
      <c r="I727" s="4"/>
      <c r="J727" s="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>
      <c r="A728" s="4"/>
      <c r="B728" s="4"/>
      <c r="C728" s="4"/>
      <c r="D728" s="4"/>
      <c r="E728" s="4"/>
      <c r="F728" s="4"/>
      <c r="G728" s="4"/>
      <c r="H728" s="4"/>
      <c r="I728" s="4"/>
      <c r="J728" s="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>
      <c r="A729" s="4"/>
      <c r="B729" s="4"/>
      <c r="C729" s="4"/>
      <c r="D729" s="4"/>
      <c r="E729" s="4"/>
      <c r="F729" s="4"/>
      <c r="G729" s="4"/>
      <c r="H729" s="4"/>
      <c r="I729" s="4"/>
      <c r="J729" s="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>
      <c r="A730" s="4"/>
      <c r="B730" s="4"/>
      <c r="C730" s="4"/>
      <c r="D730" s="4"/>
      <c r="E730" s="4"/>
      <c r="F730" s="4"/>
      <c r="G730" s="4"/>
      <c r="H730" s="4"/>
      <c r="I730" s="4"/>
      <c r="J730" s="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>
      <c r="A731" s="4"/>
      <c r="B731" s="4"/>
      <c r="C731" s="4"/>
      <c r="D731" s="4"/>
      <c r="E731" s="4"/>
      <c r="F731" s="4"/>
      <c r="G731" s="4"/>
      <c r="H731" s="4"/>
      <c r="I731" s="4"/>
      <c r="J731" s="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>
      <c r="A732" s="4"/>
      <c r="B732" s="4"/>
      <c r="C732" s="4"/>
      <c r="D732" s="4"/>
      <c r="E732" s="4"/>
      <c r="F732" s="4"/>
      <c r="G732" s="4"/>
      <c r="H732" s="4"/>
      <c r="I732" s="4"/>
      <c r="J732" s="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>
      <c r="A733" s="4"/>
      <c r="B733" s="4"/>
      <c r="C733" s="4"/>
      <c r="D733" s="4"/>
      <c r="E733" s="4"/>
      <c r="F733" s="4"/>
      <c r="G733" s="4"/>
      <c r="H733" s="4"/>
      <c r="I733" s="4"/>
      <c r="J733" s="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>
      <c r="A734" s="4"/>
      <c r="B734" s="4"/>
      <c r="C734" s="4"/>
      <c r="D734" s="4"/>
      <c r="E734" s="4"/>
      <c r="F734" s="4"/>
      <c r="G734" s="4"/>
      <c r="H734" s="4"/>
      <c r="I734" s="4"/>
      <c r="J734" s="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>
      <c r="A735" s="4"/>
      <c r="B735" s="4"/>
      <c r="C735" s="4"/>
      <c r="D735" s="4"/>
      <c r="E735" s="4"/>
      <c r="F735" s="4"/>
      <c r="G735" s="4"/>
      <c r="H735" s="4"/>
      <c r="I735" s="4"/>
      <c r="J735" s="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>
      <c r="A736" s="4"/>
      <c r="B736" s="4"/>
      <c r="C736" s="4"/>
      <c r="D736" s="4"/>
      <c r="E736" s="4"/>
      <c r="F736" s="4"/>
      <c r="G736" s="4"/>
      <c r="H736" s="4"/>
      <c r="I736" s="4"/>
      <c r="J736" s="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>
      <c r="A737" s="4"/>
      <c r="B737" s="4"/>
      <c r="C737" s="4"/>
      <c r="D737" s="4"/>
      <c r="E737" s="4"/>
      <c r="F737" s="4"/>
      <c r="G737" s="4"/>
      <c r="H737" s="4"/>
      <c r="I737" s="4"/>
      <c r="J737" s="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>
      <c r="A738" s="4"/>
      <c r="B738" s="4"/>
      <c r="C738" s="4"/>
      <c r="D738" s="4"/>
      <c r="E738" s="4"/>
      <c r="F738" s="4"/>
      <c r="G738" s="4"/>
      <c r="H738" s="4"/>
      <c r="I738" s="4"/>
      <c r="J738" s="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>
      <c r="A739" s="4"/>
      <c r="B739" s="4"/>
      <c r="C739" s="4"/>
      <c r="D739" s="4"/>
      <c r="E739" s="4"/>
      <c r="F739" s="4"/>
      <c r="G739" s="4"/>
      <c r="H739" s="4"/>
      <c r="I739" s="4"/>
      <c r="J739" s="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>
      <c r="A740" s="4"/>
      <c r="B740" s="4"/>
      <c r="C740" s="4"/>
      <c r="D740" s="4"/>
      <c r="E740" s="4"/>
      <c r="F740" s="4"/>
      <c r="G740" s="4"/>
      <c r="H740" s="4"/>
      <c r="I740" s="4"/>
      <c r="J740" s="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>
      <c r="A741" s="4"/>
      <c r="B741" s="4"/>
      <c r="C741" s="4"/>
      <c r="D741" s="4"/>
      <c r="E741" s="4"/>
      <c r="F741" s="4"/>
      <c r="G741" s="4"/>
      <c r="H741" s="4"/>
      <c r="I741" s="4"/>
      <c r="J741" s="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>
      <c r="A742" s="4"/>
      <c r="B742" s="4"/>
      <c r="C742" s="4"/>
      <c r="D742" s="4"/>
      <c r="E742" s="4"/>
      <c r="F742" s="4"/>
      <c r="G742" s="4"/>
      <c r="H742" s="4"/>
      <c r="I742" s="4"/>
      <c r="J742" s="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>
      <c r="A743" s="4"/>
      <c r="B743" s="4"/>
      <c r="C743" s="4"/>
      <c r="D743" s="4"/>
      <c r="E743" s="4"/>
      <c r="F743" s="4"/>
      <c r="G743" s="4"/>
      <c r="H743" s="4"/>
      <c r="I743" s="4"/>
      <c r="J743" s="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>
      <c r="A744" s="4"/>
      <c r="B744" s="4"/>
      <c r="C744" s="4"/>
      <c r="D744" s="4"/>
      <c r="E744" s="4"/>
      <c r="F744" s="4"/>
      <c r="G744" s="4"/>
      <c r="H744" s="4"/>
      <c r="I744" s="4"/>
      <c r="J744" s="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>
      <c r="A745" s="4"/>
      <c r="B745" s="4"/>
      <c r="C745" s="4"/>
      <c r="D745" s="4"/>
      <c r="E745" s="4"/>
      <c r="F745" s="4"/>
      <c r="G745" s="4"/>
      <c r="H745" s="4"/>
      <c r="I745" s="4"/>
      <c r="J745" s="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>
      <c r="A746" s="4"/>
      <c r="B746" s="4"/>
      <c r="C746" s="4"/>
      <c r="D746" s="4"/>
      <c r="E746" s="4"/>
      <c r="F746" s="4"/>
      <c r="G746" s="4"/>
      <c r="H746" s="4"/>
      <c r="I746" s="4"/>
      <c r="J746" s="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>
      <c r="A747" s="4"/>
      <c r="B747" s="4"/>
      <c r="C747" s="4"/>
      <c r="D747" s="4"/>
      <c r="E747" s="4"/>
      <c r="F747" s="4"/>
      <c r="G747" s="4"/>
      <c r="H747" s="4"/>
      <c r="I747" s="4"/>
      <c r="J747" s="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>
      <c r="A748" s="4"/>
      <c r="B748" s="4"/>
      <c r="C748" s="4"/>
      <c r="D748" s="4"/>
      <c r="E748" s="4"/>
      <c r="F748" s="4"/>
      <c r="G748" s="4"/>
      <c r="H748" s="4"/>
      <c r="I748" s="4"/>
      <c r="J748" s="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>
      <c r="A749" s="4"/>
      <c r="B749" s="4"/>
      <c r="C749" s="4"/>
      <c r="D749" s="4"/>
      <c r="E749" s="4"/>
      <c r="F749" s="4"/>
      <c r="G749" s="4"/>
      <c r="H749" s="4"/>
      <c r="I749" s="4"/>
      <c r="J749" s="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>
      <c r="A750" s="4"/>
      <c r="B750" s="4"/>
      <c r="C750" s="4"/>
      <c r="D750" s="4"/>
      <c r="E750" s="4"/>
      <c r="F750" s="4"/>
      <c r="G750" s="4"/>
      <c r="H750" s="4"/>
      <c r="I750" s="4"/>
      <c r="J750" s="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>
      <c r="A751" s="4"/>
      <c r="B751" s="4"/>
      <c r="C751" s="4"/>
      <c r="D751" s="4"/>
      <c r="E751" s="4"/>
      <c r="F751" s="4"/>
      <c r="G751" s="4"/>
      <c r="H751" s="4"/>
      <c r="I751" s="4"/>
      <c r="J751" s="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>
      <c r="A752" s="4"/>
      <c r="B752" s="4"/>
      <c r="C752" s="4"/>
      <c r="D752" s="4"/>
      <c r="E752" s="4"/>
      <c r="F752" s="4"/>
      <c r="G752" s="4"/>
      <c r="H752" s="4"/>
      <c r="I752" s="4"/>
      <c r="J752" s="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>
      <c r="A753" s="4"/>
      <c r="B753" s="4"/>
      <c r="C753" s="4"/>
      <c r="D753" s="4"/>
      <c r="E753" s="4"/>
      <c r="F753" s="4"/>
      <c r="G753" s="4"/>
      <c r="H753" s="4"/>
      <c r="I753" s="4"/>
      <c r="J753" s="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>
      <c r="A754" s="4"/>
      <c r="B754" s="4"/>
      <c r="C754" s="4"/>
      <c r="D754" s="4"/>
      <c r="E754" s="4"/>
      <c r="F754" s="4"/>
      <c r="G754" s="4"/>
      <c r="H754" s="4"/>
      <c r="I754" s="4"/>
      <c r="J754" s="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>
      <c r="A755" s="4"/>
      <c r="B755" s="4"/>
      <c r="C755" s="4"/>
      <c r="D755" s="4"/>
      <c r="E755" s="4"/>
      <c r="F755" s="4"/>
      <c r="G755" s="4"/>
      <c r="H755" s="4"/>
      <c r="I755" s="4"/>
      <c r="J755" s="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>
      <c r="A756" s="4"/>
      <c r="B756" s="4"/>
      <c r="C756" s="4"/>
      <c r="D756" s="4"/>
      <c r="E756" s="4"/>
      <c r="F756" s="4"/>
      <c r="G756" s="4"/>
      <c r="H756" s="4"/>
      <c r="I756" s="4"/>
      <c r="J756" s="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>
      <c r="A757" s="4"/>
      <c r="B757" s="4"/>
      <c r="C757" s="4"/>
      <c r="D757" s="4"/>
      <c r="E757" s="4"/>
      <c r="F757" s="4"/>
      <c r="G757" s="4"/>
      <c r="H757" s="4"/>
      <c r="I757" s="4"/>
      <c r="J757" s="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>
      <c r="A758" s="4"/>
      <c r="B758" s="4"/>
      <c r="C758" s="4"/>
      <c r="D758" s="4"/>
      <c r="E758" s="4"/>
      <c r="F758" s="4"/>
      <c r="G758" s="4"/>
      <c r="H758" s="4"/>
      <c r="I758" s="4"/>
      <c r="J758" s="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>
      <c r="A759" s="4"/>
      <c r="B759" s="4"/>
      <c r="C759" s="4"/>
      <c r="D759" s="4"/>
      <c r="E759" s="4"/>
      <c r="F759" s="4"/>
      <c r="G759" s="4"/>
      <c r="H759" s="4"/>
      <c r="I759" s="4"/>
      <c r="J759" s="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>
      <c r="A760" s="4"/>
      <c r="B760" s="4"/>
      <c r="C760" s="4"/>
      <c r="D760" s="4"/>
      <c r="E760" s="4"/>
      <c r="F760" s="4"/>
      <c r="G760" s="4"/>
      <c r="H760" s="4"/>
      <c r="I760" s="4"/>
      <c r="J760" s="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>
      <c r="A761" s="4"/>
      <c r="B761" s="4"/>
      <c r="C761" s="4"/>
      <c r="D761" s="4"/>
      <c r="E761" s="4"/>
      <c r="F761" s="4"/>
      <c r="G761" s="4"/>
      <c r="H761" s="4"/>
      <c r="I761" s="4"/>
      <c r="J761" s="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>
      <c r="A762" s="4"/>
      <c r="B762" s="4"/>
      <c r="C762" s="4"/>
      <c r="D762" s="4"/>
      <c r="E762" s="4"/>
      <c r="F762" s="4"/>
      <c r="G762" s="4"/>
      <c r="H762" s="4"/>
      <c r="I762" s="4"/>
      <c r="J762" s="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>
      <c r="A763" s="4"/>
      <c r="B763" s="4"/>
      <c r="C763" s="4"/>
      <c r="D763" s="4"/>
      <c r="E763" s="4"/>
      <c r="F763" s="4"/>
      <c r="G763" s="4"/>
      <c r="H763" s="4"/>
      <c r="I763" s="4"/>
      <c r="J763" s="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>
      <c r="A764" s="4"/>
      <c r="B764" s="4"/>
      <c r="C764" s="4"/>
      <c r="D764" s="4"/>
      <c r="E764" s="4"/>
      <c r="F764" s="4"/>
      <c r="G764" s="4"/>
      <c r="H764" s="4"/>
      <c r="I764" s="4"/>
      <c r="J764" s="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>
      <c r="A765" s="4"/>
      <c r="B765" s="4"/>
      <c r="C765" s="4"/>
      <c r="D765" s="4"/>
      <c r="E765" s="4"/>
      <c r="F765" s="4"/>
      <c r="G765" s="4"/>
      <c r="H765" s="4"/>
      <c r="I765" s="4"/>
      <c r="J765" s="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>
      <c r="A766" s="4"/>
      <c r="B766" s="4"/>
      <c r="C766" s="4"/>
      <c r="D766" s="4"/>
      <c r="E766" s="4"/>
      <c r="F766" s="4"/>
      <c r="G766" s="4"/>
      <c r="H766" s="4"/>
      <c r="I766" s="4"/>
      <c r="J766" s="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>
      <c r="A767" s="4"/>
      <c r="B767" s="4"/>
      <c r="C767" s="4"/>
      <c r="D767" s="4"/>
      <c r="E767" s="4"/>
      <c r="F767" s="4"/>
      <c r="G767" s="4"/>
      <c r="H767" s="4"/>
      <c r="I767" s="4"/>
      <c r="J767" s="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>
      <c r="A768" s="4"/>
      <c r="B768" s="4"/>
      <c r="C768" s="4"/>
      <c r="D768" s="4"/>
      <c r="E768" s="4"/>
      <c r="F768" s="4"/>
      <c r="G768" s="4"/>
      <c r="H768" s="4"/>
      <c r="I768" s="4"/>
      <c r="J768" s="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>
      <c r="A769" s="4"/>
      <c r="B769" s="4"/>
      <c r="C769" s="4"/>
      <c r="D769" s="4"/>
      <c r="E769" s="4"/>
      <c r="F769" s="4"/>
      <c r="G769" s="4"/>
      <c r="H769" s="4"/>
      <c r="I769" s="4"/>
      <c r="J769" s="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>
      <c r="A770" s="4"/>
      <c r="B770" s="4"/>
      <c r="C770" s="4"/>
      <c r="D770" s="4"/>
      <c r="E770" s="4"/>
      <c r="F770" s="4"/>
      <c r="G770" s="4"/>
      <c r="H770" s="4"/>
      <c r="I770" s="4"/>
      <c r="J770" s="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>
      <c r="A771" s="4"/>
      <c r="B771" s="4"/>
      <c r="C771" s="4"/>
      <c r="D771" s="4"/>
      <c r="E771" s="4"/>
      <c r="F771" s="4"/>
      <c r="G771" s="4"/>
      <c r="H771" s="4"/>
      <c r="I771" s="4"/>
      <c r="J771" s="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>
      <c r="A772" s="4"/>
      <c r="B772" s="4"/>
      <c r="C772" s="4"/>
      <c r="D772" s="4"/>
      <c r="E772" s="4"/>
      <c r="F772" s="4"/>
      <c r="G772" s="4"/>
      <c r="H772" s="4"/>
      <c r="I772" s="4"/>
      <c r="J772" s="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>
      <c r="A773" s="4"/>
      <c r="B773" s="4"/>
      <c r="C773" s="4"/>
      <c r="D773" s="4"/>
      <c r="E773" s="4"/>
      <c r="F773" s="4"/>
      <c r="G773" s="4"/>
      <c r="H773" s="4"/>
      <c r="I773" s="4"/>
      <c r="J773" s="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>
      <c r="A774" s="4"/>
      <c r="B774" s="4"/>
      <c r="C774" s="4"/>
      <c r="D774" s="4"/>
      <c r="E774" s="4"/>
      <c r="F774" s="4"/>
      <c r="G774" s="4"/>
      <c r="H774" s="4"/>
      <c r="I774" s="4"/>
      <c r="J774" s="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>
      <c r="A775" s="4"/>
      <c r="B775" s="4"/>
      <c r="C775" s="4"/>
      <c r="D775" s="4"/>
      <c r="E775" s="4"/>
      <c r="F775" s="4"/>
      <c r="G775" s="4"/>
      <c r="H775" s="4"/>
      <c r="I775" s="4"/>
      <c r="J775" s="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>
      <c r="A776" s="4"/>
      <c r="B776" s="4"/>
      <c r="C776" s="4"/>
      <c r="D776" s="4"/>
      <c r="E776" s="4"/>
      <c r="F776" s="4"/>
      <c r="G776" s="4"/>
      <c r="H776" s="4"/>
      <c r="I776" s="4"/>
      <c r="J776" s="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>
      <c r="A777" s="4"/>
      <c r="B777" s="4"/>
      <c r="C777" s="4"/>
      <c r="D777" s="4"/>
      <c r="E777" s="4"/>
      <c r="F777" s="4"/>
      <c r="G777" s="4"/>
      <c r="H777" s="4"/>
      <c r="I777" s="4"/>
      <c r="J777" s="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>
      <c r="A778" s="4"/>
      <c r="B778" s="4"/>
      <c r="C778" s="4"/>
      <c r="D778" s="4"/>
      <c r="E778" s="4"/>
      <c r="F778" s="4"/>
      <c r="G778" s="4"/>
      <c r="H778" s="4"/>
      <c r="I778" s="4"/>
      <c r="J778" s="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>
      <c r="A779" s="4"/>
      <c r="B779" s="4"/>
      <c r="C779" s="4"/>
      <c r="D779" s="4"/>
      <c r="E779" s="4"/>
      <c r="F779" s="4"/>
      <c r="G779" s="4"/>
      <c r="H779" s="4"/>
      <c r="I779" s="4"/>
      <c r="J779" s="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>
      <c r="A780" s="4"/>
      <c r="B780" s="4"/>
      <c r="C780" s="4"/>
      <c r="D780" s="4"/>
      <c r="E780" s="4"/>
      <c r="F780" s="4"/>
      <c r="G780" s="4"/>
      <c r="H780" s="4"/>
      <c r="I780" s="4"/>
      <c r="J780" s="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>
      <c r="A781" s="4"/>
      <c r="B781" s="4"/>
      <c r="C781" s="4"/>
      <c r="D781" s="4"/>
      <c r="E781" s="4"/>
      <c r="F781" s="4"/>
      <c r="G781" s="4"/>
      <c r="H781" s="4"/>
      <c r="I781" s="4"/>
      <c r="J781" s="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>
      <c r="A782" s="4"/>
      <c r="B782" s="4"/>
      <c r="C782" s="4"/>
      <c r="D782" s="4"/>
      <c r="E782" s="4"/>
      <c r="F782" s="4"/>
      <c r="G782" s="4"/>
      <c r="H782" s="4"/>
      <c r="I782" s="4"/>
      <c r="J782" s="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>
      <c r="A783" s="4"/>
      <c r="B783" s="4"/>
      <c r="C783" s="4"/>
      <c r="D783" s="4"/>
      <c r="E783" s="4"/>
      <c r="F783" s="4"/>
      <c r="G783" s="4"/>
      <c r="H783" s="4"/>
      <c r="I783" s="4"/>
      <c r="J783" s="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>
      <c r="A784" s="4"/>
      <c r="B784" s="4"/>
      <c r="C784" s="4"/>
      <c r="D784" s="4"/>
      <c r="E784" s="4"/>
      <c r="F784" s="4"/>
      <c r="G784" s="4"/>
      <c r="H784" s="4"/>
      <c r="I784" s="4"/>
      <c r="J784" s="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>
      <c r="A785" s="4"/>
      <c r="B785" s="4"/>
      <c r="C785" s="4"/>
      <c r="D785" s="4"/>
      <c r="E785" s="4"/>
      <c r="F785" s="4"/>
      <c r="G785" s="4"/>
      <c r="H785" s="4"/>
      <c r="I785" s="4"/>
      <c r="J785" s="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>
      <c r="A786" s="4"/>
      <c r="B786" s="4"/>
      <c r="C786" s="4"/>
      <c r="D786" s="4"/>
      <c r="E786" s="4"/>
      <c r="F786" s="4"/>
      <c r="G786" s="4"/>
      <c r="H786" s="4"/>
      <c r="I786" s="4"/>
      <c r="J786" s="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>
      <c r="A787" s="4"/>
      <c r="B787" s="4"/>
      <c r="C787" s="4"/>
      <c r="D787" s="4"/>
      <c r="E787" s="4"/>
      <c r="F787" s="4"/>
      <c r="G787" s="4"/>
      <c r="H787" s="4"/>
      <c r="I787" s="4"/>
      <c r="J787" s="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>
      <c r="A788" s="4"/>
      <c r="B788" s="4"/>
      <c r="C788" s="4"/>
      <c r="D788" s="4"/>
      <c r="E788" s="4"/>
      <c r="F788" s="4"/>
      <c r="G788" s="4"/>
      <c r="H788" s="4"/>
      <c r="I788" s="4"/>
      <c r="J788" s="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>
      <c r="A789" s="4"/>
      <c r="B789" s="4"/>
      <c r="C789" s="4"/>
      <c r="D789" s="4"/>
      <c r="E789" s="4"/>
      <c r="F789" s="4"/>
      <c r="G789" s="4"/>
      <c r="H789" s="4"/>
      <c r="I789" s="4"/>
      <c r="J789" s="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>
      <c r="A790" s="4"/>
      <c r="B790" s="4"/>
      <c r="C790" s="4"/>
      <c r="D790" s="4"/>
      <c r="E790" s="4"/>
      <c r="F790" s="4"/>
      <c r="G790" s="4"/>
      <c r="H790" s="4"/>
      <c r="I790" s="4"/>
      <c r="J790" s="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>
      <c r="A791" s="4"/>
      <c r="B791" s="4"/>
      <c r="C791" s="4"/>
      <c r="D791" s="4"/>
      <c r="E791" s="4"/>
      <c r="F791" s="4"/>
      <c r="G791" s="4"/>
      <c r="H791" s="4"/>
      <c r="I791" s="4"/>
      <c r="J791" s="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>
      <c r="A792" s="4"/>
      <c r="B792" s="4"/>
      <c r="C792" s="4"/>
      <c r="D792" s="4"/>
      <c r="E792" s="4"/>
      <c r="F792" s="4"/>
      <c r="G792" s="4"/>
      <c r="H792" s="4"/>
      <c r="I792" s="4"/>
      <c r="J792" s="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>
      <c r="A793" s="4"/>
      <c r="B793" s="4"/>
      <c r="C793" s="4"/>
      <c r="D793" s="4"/>
      <c r="E793" s="4"/>
      <c r="F793" s="4"/>
      <c r="G793" s="4"/>
      <c r="H793" s="4"/>
      <c r="I793" s="4"/>
      <c r="J793" s="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>
      <c r="A794" s="4"/>
      <c r="B794" s="4"/>
      <c r="C794" s="4"/>
      <c r="D794" s="4"/>
      <c r="E794" s="4"/>
      <c r="F794" s="4"/>
      <c r="G794" s="4"/>
      <c r="H794" s="4"/>
      <c r="I794" s="4"/>
      <c r="J794" s="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>
      <c r="A795" s="4"/>
      <c r="B795" s="4"/>
      <c r="C795" s="4"/>
      <c r="D795" s="4"/>
      <c r="E795" s="4"/>
      <c r="F795" s="4"/>
      <c r="G795" s="4"/>
      <c r="H795" s="4"/>
      <c r="I795" s="4"/>
      <c r="J795" s="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>
      <c r="A796" s="4"/>
      <c r="B796" s="4"/>
      <c r="C796" s="4"/>
      <c r="D796" s="4"/>
      <c r="E796" s="4"/>
      <c r="F796" s="4"/>
      <c r="G796" s="4"/>
      <c r="H796" s="4"/>
      <c r="I796" s="4"/>
      <c r="J796" s="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>
      <c r="A797" s="4"/>
      <c r="B797" s="4"/>
      <c r="C797" s="4"/>
      <c r="D797" s="4"/>
      <c r="E797" s="4"/>
      <c r="F797" s="4"/>
      <c r="G797" s="4"/>
      <c r="H797" s="4"/>
      <c r="I797" s="4"/>
      <c r="J797" s="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>
      <c r="A798" s="4"/>
      <c r="B798" s="4"/>
      <c r="C798" s="4"/>
      <c r="D798" s="4"/>
      <c r="E798" s="4"/>
      <c r="F798" s="4"/>
      <c r="G798" s="4"/>
      <c r="H798" s="4"/>
      <c r="I798" s="4"/>
      <c r="J798" s="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>
      <c r="A799" s="4"/>
      <c r="B799" s="4"/>
      <c r="C799" s="4"/>
      <c r="D799" s="4"/>
      <c r="E799" s="4"/>
      <c r="F799" s="4"/>
      <c r="G799" s="4"/>
      <c r="H799" s="4"/>
      <c r="I799" s="4"/>
      <c r="J799" s="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>
      <c r="A800" s="4"/>
      <c r="B800" s="4"/>
      <c r="C800" s="4"/>
      <c r="D800" s="4"/>
      <c r="E800" s="4"/>
      <c r="F800" s="4"/>
      <c r="G800" s="4"/>
      <c r="H800" s="4"/>
      <c r="I800" s="4"/>
      <c r="J800" s="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>
      <c r="A801" s="4"/>
      <c r="B801" s="4"/>
      <c r="C801" s="4"/>
      <c r="D801" s="4"/>
      <c r="E801" s="4"/>
      <c r="F801" s="4"/>
      <c r="G801" s="4"/>
      <c r="H801" s="4"/>
      <c r="I801" s="4"/>
      <c r="J801" s="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>
      <c r="A802" s="4"/>
      <c r="B802" s="4"/>
      <c r="C802" s="4"/>
      <c r="D802" s="4"/>
      <c r="E802" s="4"/>
      <c r="F802" s="4"/>
      <c r="G802" s="4"/>
      <c r="H802" s="4"/>
      <c r="I802" s="4"/>
      <c r="J802" s="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>
      <c r="A803" s="4"/>
      <c r="B803" s="4"/>
      <c r="C803" s="4"/>
      <c r="D803" s="4"/>
      <c r="E803" s="4"/>
      <c r="F803" s="4"/>
      <c r="G803" s="4"/>
      <c r="H803" s="4"/>
      <c r="I803" s="4"/>
      <c r="J803" s="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>
      <c r="A804" s="4"/>
      <c r="B804" s="4"/>
      <c r="C804" s="4"/>
      <c r="D804" s="4"/>
      <c r="E804" s="4"/>
      <c r="F804" s="4"/>
      <c r="G804" s="4"/>
      <c r="H804" s="4"/>
      <c r="I804" s="4"/>
      <c r="J804" s="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>
      <c r="A805" s="4"/>
      <c r="B805" s="4"/>
      <c r="C805" s="4"/>
      <c r="D805" s="4"/>
      <c r="E805" s="4"/>
      <c r="F805" s="4"/>
      <c r="G805" s="4"/>
      <c r="H805" s="4"/>
      <c r="I805" s="4"/>
      <c r="J805" s="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>
      <c r="A806" s="4"/>
      <c r="B806" s="4"/>
      <c r="C806" s="4"/>
      <c r="D806" s="4"/>
      <c r="E806" s="4"/>
      <c r="F806" s="4"/>
      <c r="G806" s="4"/>
      <c r="H806" s="4"/>
      <c r="I806" s="4"/>
      <c r="J806" s="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>
      <c r="A807" s="4"/>
      <c r="B807" s="4"/>
      <c r="C807" s="4"/>
      <c r="D807" s="4"/>
      <c r="E807" s="4"/>
      <c r="F807" s="4"/>
      <c r="G807" s="4"/>
      <c r="H807" s="4"/>
      <c r="I807" s="4"/>
      <c r="J807" s="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>
      <c r="A808" s="4"/>
      <c r="B808" s="4"/>
      <c r="C808" s="4"/>
      <c r="D808" s="4"/>
      <c r="E808" s="4"/>
      <c r="F808" s="4"/>
      <c r="G808" s="4"/>
      <c r="H808" s="4"/>
      <c r="I808" s="4"/>
      <c r="J808" s="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>
      <c r="A809" s="4"/>
      <c r="B809" s="4"/>
      <c r="C809" s="4"/>
      <c r="D809" s="4"/>
      <c r="E809" s="4"/>
      <c r="F809" s="4"/>
      <c r="G809" s="4"/>
      <c r="H809" s="4"/>
      <c r="I809" s="4"/>
      <c r="J809" s="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>
      <c r="A810" s="4"/>
      <c r="B810" s="4"/>
      <c r="C810" s="4"/>
      <c r="D810" s="4"/>
      <c r="E810" s="4"/>
      <c r="F810" s="4"/>
      <c r="G810" s="4"/>
      <c r="H810" s="4"/>
      <c r="I810" s="4"/>
      <c r="J810" s="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>
      <c r="A811" s="4"/>
      <c r="B811" s="4"/>
      <c r="C811" s="4"/>
      <c r="D811" s="4"/>
      <c r="E811" s="4"/>
      <c r="F811" s="4"/>
      <c r="G811" s="4"/>
      <c r="H811" s="4"/>
      <c r="I811" s="4"/>
      <c r="J811" s="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>
      <c r="A812" s="4"/>
      <c r="B812" s="4"/>
      <c r="C812" s="4"/>
      <c r="D812" s="4"/>
      <c r="E812" s="4"/>
      <c r="F812" s="4"/>
      <c r="G812" s="4"/>
      <c r="H812" s="4"/>
      <c r="I812" s="4"/>
      <c r="J812" s="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>
      <c r="A813" s="4"/>
      <c r="B813" s="4"/>
      <c r="C813" s="4"/>
      <c r="D813" s="4"/>
      <c r="E813" s="4"/>
      <c r="F813" s="4"/>
      <c r="G813" s="4"/>
      <c r="H813" s="4"/>
      <c r="I813" s="4"/>
      <c r="J813" s="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>
      <c r="A814" s="4"/>
      <c r="B814" s="4"/>
      <c r="C814" s="4"/>
      <c r="D814" s="4"/>
      <c r="E814" s="4"/>
      <c r="F814" s="4"/>
      <c r="G814" s="4"/>
      <c r="H814" s="4"/>
      <c r="I814" s="4"/>
      <c r="J814" s="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>
      <c r="A815" s="4"/>
      <c r="B815" s="4"/>
      <c r="C815" s="4"/>
      <c r="D815" s="4"/>
      <c r="E815" s="4"/>
      <c r="F815" s="4"/>
      <c r="G815" s="4"/>
      <c r="H815" s="4"/>
      <c r="I815" s="4"/>
      <c r="J815" s="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>
      <c r="A816" s="4"/>
      <c r="B816" s="4"/>
      <c r="C816" s="4"/>
      <c r="D816" s="4"/>
      <c r="E816" s="4"/>
      <c r="F816" s="4"/>
      <c r="G816" s="4"/>
      <c r="H816" s="4"/>
      <c r="I816" s="4"/>
      <c r="J816" s="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>
      <c r="A817" s="4"/>
      <c r="B817" s="4"/>
      <c r="C817" s="4"/>
      <c r="D817" s="4"/>
      <c r="E817" s="4"/>
      <c r="F817" s="4"/>
      <c r="G817" s="4"/>
      <c r="H817" s="4"/>
      <c r="I817" s="4"/>
      <c r="J817" s="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>
      <c r="A818" s="4"/>
      <c r="B818" s="4"/>
      <c r="C818" s="4"/>
      <c r="D818" s="4"/>
      <c r="E818" s="4"/>
      <c r="F818" s="4"/>
      <c r="G818" s="4"/>
      <c r="H818" s="4"/>
      <c r="I818" s="4"/>
      <c r="J818" s="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>
      <c r="A819" s="4"/>
      <c r="B819" s="4"/>
      <c r="C819" s="4"/>
      <c r="D819" s="4"/>
      <c r="E819" s="4"/>
      <c r="F819" s="4"/>
      <c r="G819" s="4"/>
      <c r="H819" s="4"/>
      <c r="I819" s="4"/>
      <c r="J819" s="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>
      <c r="A820" s="4"/>
      <c r="B820" s="4"/>
      <c r="C820" s="4"/>
      <c r="D820" s="4"/>
      <c r="E820" s="4"/>
      <c r="F820" s="4"/>
      <c r="G820" s="4"/>
      <c r="H820" s="4"/>
      <c r="I820" s="4"/>
      <c r="J820" s="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>
      <c r="A821" s="4"/>
      <c r="B821" s="4"/>
      <c r="C821" s="4"/>
      <c r="D821" s="4"/>
      <c r="E821" s="4"/>
      <c r="F821" s="4"/>
      <c r="G821" s="4"/>
      <c r="H821" s="4"/>
      <c r="I821" s="4"/>
      <c r="J821" s="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>
      <c r="A822" s="4"/>
      <c r="B822" s="4"/>
      <c r="C822" s="4"/>
      <c r="D822" s="4"/>
      <c r="E822" s="4"/>
      <c r="F822" s="4"/>
      <c r="G822" s="4"/>
      <c r="H822" s="4"/>
      <c r="I822" s="4"/>
      <c r="J822" s="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>
      <c r="A823" s="4"/>
      <c r="B823" s="4"/>
      <c r="C823" s="4"/>
      <c r="D823" s="4"/>
      <c r="E823" s="4"/>
      <c r="F823" s="4"/>
      <c r="G823" s="4"/>
      <c r="H823" s="4"/>
      <c r="I823" s="4"/>
      <c r="J823" s="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>
      <c r="A824" s="4"/>
      <c r="B824" s="4"/>
      <c r="C824" s="4"/>
      <c r="D824" s="4"/>
      <c r="E824" s="4"/>
      <c r="F824" s="4"/>
      <c r="G824" s="4"/>
      <c r="H824" s="4"/>
      <c r="I824" s="4"/>
      <c r="J824" s="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>
      <c r="A825" s="4"/>
      <c r="B825" s="4"/>
      <c r="C825" s="4"/>
      <c r="D825" s="4"/>
      <c r="E825" s="4"/>
      <c r="F825" s="4"/>
      <c r="G825" s="4"/>
      <c r="H825" s="4"/>
      <c r="I825" s="4"/>
      <c r="J825" s="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>
      <c r="A826" s="4"/>
      <c r="B826" s="4"/>
      <c r="C826" s="4"/>
      <c r="D826" s="4"/>
      <c r="E826" s="4"/>
      <c r="F826" s="4"/>
      <c r="G826" s="4"/>
      <c r="H826" s="4"/>
      <c r="I826" s="4"/>
      <c r="J826" s="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>
      <c r="A827" s="4"/>
      <c r="B827" s="4"/>
      <c r="C827" s="4"/>
      <c r="D827" s="4"/>
      <c r="E827" s="4"/>
      <c r="F827" s="4"/>
      <c r="G827" s="4"/>
      <c r="H827" s="4"/>
      <c r="I827" s="4"/>
      <c r="J827" s="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>
      <c r="A828" s="4"/>
      <c r="B828" s="4"/>
      <c r="C828" s="4"/>
      <c r="D828" s="4"/>
      <c r="E828" s="4"/>
      <c r="F828" s="4"/>
      <c r="G828" s="4"/>
      <c r="H828" s="4"/>
      <c r="I828" s="4"/>
      <c r="J828" s="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>
      <c r="A829" s="4"/>
      <c r="B829" s="4"/>
      <c r="C829" s="4"/>
      <c r="D829" s="4"/>
      <c r="E829" s="4"/>
      <c r="F829" s="4"/>
      <c r="G829" s="4"/>
      <c r="H829" s="4"/>
      <c r="I829" s="4"/>
      <c r="J829" s="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>
      <c r="A830" s="4"/>
      <c r="B830" s="4"/>
      <c r="C830" s="4"/>
      <c r="D830" s="4"/>
      <c r="E830" s="4"/>
      <c r="F830" s="4"/>
      <c r="G830" s="4"/>
      <c r="H830" s="4"/>
      <c r="I830" s="4"/>
      <c r="J830" s="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>
      <c r="A831" s="4"/>
      <c r="B831" s="4"/>
      <c r="C831" s="4"/>
      <c r="D831" s="4"/>
      <c r="E831" s="4"/>
      <c r="F831" s="4"/>
      <c r="G831" s="4"/>
      <c r="H831" s="4"/>
      <c r="I831" s="4"/>
      <c r="J831" s="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>
      <c r="A832" s="4"/>
      <c r="B832" s="4"/>
      <c r="C832" s="4"/>
      <c r="D832" s="4"/>
      <c r="E832" s="4"/>
      <c r="F832" s="4"/>
      <c r="G832" s="4"/>
      <c r="H832" s="4"/>
      <c r="I832" s="4"/>
      <c r="J832" s="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>
      <c r="A833" s="4"/>
      <c r="B833" s="4"/>
      <c r="C833" s="4"/>
      <c r="D833" s="4"/>
      <c r="E833" s="4"/>
      <c r="F833" s="4"/>
      <c r="G833" s="4"/>
      <c r="H833" s="4"/>
      <c r="I833" s="4"/>
      <c r="J833" s="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>
      <c r="A834" s="4"/>
      <c r="B834" s="4"/>
      <c r="C834" s="4"/>
      <c r="D834" s="4"/>
      <c r="E834" s="4"/>
      <c r="F834" s="4"/>
      <c r="G834" s="4"/>
      <c r="H834" s="4"/>
      <c r="I834" s="4"/>
      <c r="J834" s="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>
      <c r="A835" s="4"/>
      <c r="B835" s="4"/>
      <c r="C835" s="4"/>
      <c r="D835" s="4"/>
      <c r="E835" s="4"/>
      <c r="F835" s="4"/>
      <c r="G835" s="4"/>
      <c r="H835" s="4"/>
      <c r="I835" s="4"/>
      <c r="J835" s="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>
      <c r="A836" s="4"/>
      <c r="B836" s="4"/>
      <c r="C836" s="4"/>
      <c r="D836" s="4"/>
      <c r="E836" s="4"/>
      <c r="F836" s="4"/>
      <c r="G836" s="4"/>
      <c r="H836" s="4"/>
      <c r="I836" s="4"/>
      <c r="J836" s="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>
      <c r="A837" s="4"/>
      <c r="B837" s="4"/>
      <c r="C837" s="4"/>
      <c r="D837" s="4"/>
      <c r="E837" s="4"/>
      <c r="F837" s="4"/>
      <c r="G837" s="4"/>
      <c r="H837" s="4"/>
      <c r="I837" s="4"/>
      <c r="J837" s="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>
      <c r="A838" s="4"/>
      <c r="B838" s="4"/>
      <c r="C838" s="4"/>
      <c r="D838" s="4"/>
      <c r="E838" s="4"/>
      <c r="F838" s="4"/>
      <c r="G838" s="4"/>
      <c r="H838" s="4"/>
      <c r="I838" s="4"/>
      <c r="J838" s="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>
      <c r="A839" s="4"/>
      <c r="B839" s="4"/>
      <c r="C839" s="4"/>
      <c r="D839" s="4"/>
      <c r="E839" s="4"/>
      <c r="F839" s="4"/>
      <c r="G839" s="4"/>
      <c r="H839" s="4"/>
      <c r="I839" s="4"/>
      <c r="J839" s="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>
      <c r="A840" s="4"/>
      <c r="B840" s="4"/>
      <c r="C840" s="4"/>
      <c r="D840" s="4"/>
      <c r="E840" s="4"/>
      <c r="F840" s="4"/>
      <c r="G840" s="4"/>
      <c r="H840" s="4"/>
      <c r="I840" s="4"/>
      <c r="J840" s="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>
      <c r="A841" s="4"/>
      <c r="B841" s="4"/>
      <c r="C841" s="4"/>
      <c r="D841" s="4"/>
      <c r="E841" s="4"/>
      <c r="F841" s="4"/>
      <c r="G841" s="4"/>
      <c r="H841" s="4"/>
      <c r="I841" s="4"/>
      <c r="J841" s="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>
      <c r="A842" s="4"/>
      <c r="B842" s="4"/>
      <c r="C842" s="4"/>
      <c r="D842" s="4"/>
      <c r="E842" s="4"/>
      <c r="F842" s="4"/>
      <c r="G842" s="4"/>
      <c r="H842" s="4"/>
      <c r="I842" s="4"/>
      <c r="J842" s="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>
      <c r="A843" s="4"/>
      <c r="B843" s="4"/>
      <c r="C843" s="4"/>
      <c r="D843" s="4"/>
      <c r="E843" s="4"/>
      <c r="F843" s="4"/>
      <c r="G843" s="4"/>
      <c r="H843" s="4"/>
      <c r="I843" s="4"/>
      <c r="J843" s="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>
      <c r="A844" s="4"/>
      <c r="B844" s="4"/>
      <c r="C844" s="4"/>
      <c r="D844" s="4"/>
      <c r="E844" s="4"/>
      <c r="F844" s="4"/>
      <c r="G844" s="4"/>
      <c r="H844" s="4"/>
      <c r="I844" s="4"/>
      <c r="J844" s="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>
      <c r="A845" s="4"/>
      <c r="B845" s="4"/>
      <c r="C845" s="4"/>
      <c r="D845" s="4"/>
      <c r="E845" s="4"/>
      <c r="F845" s="4"/>
      <c r="G845" s="4"/>
      <c r="H845" s="4"/>
      <c r="I845" s="4"/>
      <c r="J845" s="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>
      <c r="A846" s="4"/>
      <c r="B846" s="4"/>
      <c r="C846" s="4"/>
      <c r="D846" s="4"/>
      <c r="E846" s="4"/>
      <c r="F846" s="4"/>
      <c r="G846" s="4"/>
      <c r="H846" s="4"/>
      <c r="I846" s="4"/>
      <c r="J846" s="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>
      <c r="A847" s="4"/>
      <c r="B847" s="4"/>
      <c r="C847" s="4"/>
      <c r="D847" s="4"/>
      <c r="E847" s="4"/>
      <c r="F847" s="4"/>
      <c r="G847" s="4"/>
      <c r="H847" s="4"/>
      <c r="I847" s="4"/>
      <c r="J847" s="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>
      <c r="A848" s="4"/>
      <c r="B848" s="4"/>
      <c r="C848" s="4"/>
      <c r="D848" s="4"/>
      <c r="E848" s="4"/>
      <c r="F848" s="4"/>
      <c r="G848" s="4"/>
      <c r="H848" s="4"/>
      <c r="I848" s="4"/>
      <c r="J848" s="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>
      <c r="A849" s="4"/>
      <c r="B849" s="4"/>
      <c r="C849" s="4"/>
      <c r="D849" s="4"/>
      <c r="E849" s="4"/>
      <c r="F849" s="4"/>
      <c r="G849" s="4"/>
      <c r="H849" s="4"/>
      <c r="I849" s="4"/>
      <c r="J849" s="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>
      <c r="A850" s="4"/>
      <c r="B850" s="4"/>
      <c r="C850" s="4"/>
      <c r="D850" s="4"/>
      <c r="E850" s="4"/>
      <c r="F850" s="4"/>
      <c r="G850" s="4"/>
      <c r="H850" s="4"/>
      <c r="I850" s="4"/>
      <c r="J850" s="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>
      <c r="A851" s="4"/>
      <c r="B851" s="4"/>
      <c r="C851" s="4"/>
      <c r="D851" s="4"/>
      <c r="E851" s="4"/>
      <c r="F851" s="4"/>
      <c r="G851" s="4"/>
      <c r="H851" s="4"/>
      <c r="I851" s="4"/>
      <c r="J851" s="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>
      <c r="A852" s="4"/>
      <c r="B852" s="4"/>
      <c r="C852" s="4"/>
      <c r="D852" s="4"/>
      <c r="E852" s="4"/>
      <c r="F852" s="4"/>
      <c r="G852" s="4"/>
      <c r="H852" s="4"/>
      <c r="I852" s="4"/>
      <c r="J852" s="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>
      <c r="A853" s="4"/>
      <c r="B853" s="4"/>
      <c r="C853" s="4"/>
      <c r="D853" s="4"/>
      <c r="E853" s="4"/>
      <c r="F853" s="4"/>
      <c r="G853" s="4"/>
      <c r="H853" s="4"/>
      <c r="I853" s="4"/>
      <c r="J853" s="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>
      <c r="A854" s="4"/>
      <c r="B854" s="4"/>
      <c r="C854" s="4"/>
      <c r="D854" s="4"/>
      <c r="E854" s="4"/>
      <c r="F854" s="4"/>
      <c r="G854" s="4"/>
      <c r="H854" s="4"/>
      <c r="I854" s="4"/>
      <c r="J854" s="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>
      <c r="A855" s="4"/>
      <c r="B855" s="4"/>
      <c r="C855" s="4"/>
      <c r="D855" s="4"/>
      <c r="E855" s="4"/>
      <c r="F855" s="4"/>
      <c r="G855" s="4"/>
      <c r="H855" s="4"/>
      <c r="I855" s="4"/>
      <c r="J855" s="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>
      <c r="A856" s="4"/>
      <c r="B856" s="4"/>
      <c r="C856" s="4"/>
      <c r="D856" s="4"/>
      <c r="E856" s="4"/>
      <c r="F856" s="4"/>
      <c r="G856" s="4"/>
      <c r="H856" s="4"/>
      <c r="I856" s="4"/>
      <c r="J856" s="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>
      <c r="A857" s="4"/>
      <c r="B857" s="4"/>
      <c r="C857" s="4"/>
      <c r="D857" s="4"/>
      <c r="E857" s="4"/>
      <c r="F857" s="4"/>
      <c r="G857" s="4"/>
      <c r="H857" s="4"/>
      <c r="I857" s="4"/>
      <c r="J857" s="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>
      <c r="A858" s="4"/>
      <c r="B858" s="4"/>
      <c r="C858" s="4"/>
      <c r="D858" s="4"/>
      <c r="E858" s="4"/>
      <c r="F858" s="4"/>
      <c r="G858" s="4"/>
      <c r="H858" s="4"/>
      <c r="I858" s="4"/>
      <c r="J858" s="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>
      <c r="A859" s="4"/>
      <c r="B859" s="4"/>
      <c r="C859" s="4"/>
      <c r="D859" s="4"/>
      <c r="E859" s="4"/>
      <c r="F859" s="4"/>
      <c r="G859" s="4"/>
      <c r="H859" s="4"/>
      <c r="I859" s="4"/>
      <c r="J859" s="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>
      <c r="A860" s="4"/>
      <c r="B860" s="4"/>
      <c r="C860" s="4"/>
      <c r="D860" s="4"/>
      <c r="E860" s="4"/>
      <c r="F860" s="4"/>
      <c r="G860" s="4"/>
      <c r="H860" s="4"/>
      <c r="I860" s="4"/>
      <c r="J860" s="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>
      <c r="A861" s="4"/>
      <c r="B861" s="4"/>
      <c r="C861" s="4"/>
      <c r="D861" s="4"/>
      <c r="E861" s="4"/>
      <c r="F861" s="4"/>
      <c r="G861" s="4"/>
      <c r="H861" s="4"/>
      <c r="I861" s="4"/>
      <c r="J861" s="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>
      <c r="A862" s="4"/>
      <c r="B862" s="4"/>
      <c r="C862" s="4"/>
      <c r="D862" s="4"/>
      <c r="E862" s="4"/>
      <c r="F862" s="4"/>
      <c r="G862" s="4"/>
      <c r="H862" s="4"/>
      <c r="I862" s="4"/>
      <c r="J862" s="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>
      <c r="A863" s="4"/>
      <c r="B863" s="4"/>
      <c r="C863" s="4"/>
      <c r="D863" s="4"/>
      <c r="E863" s="4"/>
      <c r="F863" s="4"/>
      <c r="G863" s="4"/>
      <c r="H863" s="4"/>
      <c r="I863" s="4"/>
      <c r="J863" s="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>
      <c r="A864" s="4"/>
      <c r="B864" s="4"/>
      <c r="C864" s="4"/>
      <c r="D864" s="4"/>
      <c r="E864" s="4"/>
      <c r="F864" s="4"/>
      <c r="G864" s="4"/>
      <c r="H864" s="4"/>
      <c r="I864" s="4"/>
      <c r="J864" s="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>
      <c r="A865" s="4"/>
      <c r="B865" s="4"/>
      <c r="C865" s="4"/>
      <c r="D865" s="4"/>
      <c r="E865" s="4"/>
      <c r="F865" s="4"/>
      <c r="G865" s="4"/>
      <c r="H865" s="4"/>
      <c r="I865" s="4"/>
      <c r="J865" s="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>
      <c r="A866" s="4"/>
      <c r="B866" s="4"/>
      <c r="C866" s="4"/>
      <c r="D866" s="4"/>
      <c r="E866" s="4"/>
      <c r="F866" s="4"/>
      <c r="G866" s="4"/>
      <c r="H866" s="4"/>
      <c r="I866" s="4"/>
      <c r="J866" s="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>
      <c r="A867" s="4"/>
      <c r="B867" s="4"/>
      <c r="C867" s="4"/>
      <c r="D867" s="4"/>
      <c r="E867" s="4"/>
      <c r="F867" s="4"/>
      <c r="G867" s="4"/>
      <c r="H867" s="4"/>
      <c r="I867" s="4"/>
      <c r="J867" s="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>
      <c r="A868" s="4"/>
      <c r="B868" s="4"/>
      <c r="C868" s="4"/>
      <c r="D868" s="4"/>
      <c r="E868" s="4"/>
      <c r="F868" s="4"/>
      <c r="G868" s="4"/>
      <c r="H868" s="4"/>
      <c r="I868" s="4"/>
      <c r="J868" s="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>
      <c r="A869" s="4"/>
      <c r="B869" s="4"/>
      <c r="C869" s="4"/>
      <c r="D869" s="4"/>
      <c r="E869" s="4"/>
      <c r="F869" s="4"/>
      <c r="G869" s="4"/>
      <c r="H869" s="4"/>
      <c r="I869" s="4"/>
      <c r="J869" s="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>
      <c r="A870" s="4"/>
      <c r="B870" s="4"/>
      <c r="C870" s="4"/>
      <c r="D870" s="4"/>
      <c r="E870" s="4"/>
      <c r="F870" s="4"/>
      <c r="G870" s="4"/>
      <c r="H870" s="4"/>
      <c r="I870" s="4"/>
      <c r="J870" s="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>
      <c r="A871" s="4"/>
      <c r="B871" s="4"/>
      <c r="C871" s="4"/>
      <c r="D871" s="4"/>
      <c r="E871" s="4"/>
      <c r="F871" s="4"/>
      <c r="G871" s="4"/>
      <c r="H871" s="4"/>
      <c r="I871" s="4"/>
      <c r="J871" s="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>
      <c r="A872" s="4"/>
      <c r="B872" s="4"/>
      <c r="C872" s="4"/>
      <c r="D872" s="4"/>
      <c r="E872" s="4"/>
      <c r="F872" s="4"/>
      <c r="G872" s="4"/>
      <c r="H872" s="4"/>
      <c r="I872" s="4"/>
      <c r="J872" s="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>
      <c r="A873" s="4"/>
      <c r="B873" s="4"/>
      <c r="C873" s="4"/>
      <c r="D873" s="4"/>
      <c r="E873" s="4"/>
      <c r="F873" s="4"/>
      <c r="G873" s="4"/>
      <c r="H873" s="4"/>
      <c r="I873" s="4"/>
      <c r="J873" s="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>
      <c r="A874" s="4"/>
      <c r="B874" s="4"/>
      <c r="C874" s="4"/>
      <c r="D874" s="4"/>
      <c r="E874" s="4"/>
      <c r="F874" s="4"/>
      <c r="G874" s="4"/>
      <c r="H874" s="4"/>
      <c r="I874" s="4"/>
      <c r="J874" s="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>
      <c r="A875" s="4"/>
      <c r="B875" s="4"/>
      <c r="C875" s="4"/>
      <c r="D875" s="4"/>
      <c r="E875" s="4"/>
      <c r="F875" s="4"/>
      <c r="G875" s="4"/>
      <c r="H875" s="4"/>
      <c r="I875" s="4"/>
      <c r="J875" s="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>
      <c r="A876" s="4"/>
      <c r="B876" s="4"/>
      <c r="C876" s="4"/>
      <c r="D876" s="4"/>
      <c r="E876" s="4"/>
      <c r="F876" s="4"/>
      <c r="G876" s="4"/>
      <c r="H876" s="4"/>
      <c r="I876" s="4"/>
      <c r="J876" s="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>
      <c r="A877" s="4"/>
      <c r="B877" s="4"/>
      <c r="C877" s="4"/>
      <c r="D877" s="4"/>
      <c r="E877" s="4"/>
      <c r="F877" s="4"/>
      <c r="G877" s="4"/>
      <c r="H877" s="4"/>
      <c r="I877" s="4"/>
      <c r="J877" s="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>
      <c r="A878" s="4"/>
      <c r="B878" s="4"/>
      <c r="C878" s="4"/>
      <c r="D878" s="4"/>
      <c r="E878" s="4"/>
      <c r="F878" s="4"/>
      <c r="G878" s="4"/>
      <c r="H878" s="4"/>
      <c r="I878" s="4"/>
      <c r="J878" s="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>
      <c r="A879" s="4"/>
      <c r="B879" s="4"/>
      <c r="C879" s="4"/>
      <c r="D879" s="4"/>
      <c r="E879" s="4"/>
      <c r="F879" s="4"/>
      <c r="G879" s="4"/>
      <c r="H879" s="4"/>
      <c r="I879" s="4"/>
      <c r="J879" s="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>
      <c r="A880" s="4"/>
      <c r="B880" s="4"/>
      <c r="C880" s="4"/>
      <c r="D880" s="4"/>
      <c r="E880" s="4"/>
      <c r="F880" s="4"/>
      <c r="G880" s="4"/>
      <c r="H880" s="4"/>
      <c r="I880" s="4"/>
      <c r="J880" s="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>
      <c r="A881" s="4"/>
      <c r="B881" s="4"/>
      <c r="C881" s="4"/>
      <c r="D881" s="4"/>
      <c r="E881" s="4"/>
      <c r="F881" s="4"/>
      <c r="G881" s="4"/>
      <c r="H881" s="4"/>
      <c r="I881" s="4"/>
      <c r="J881" s="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>
      <c r="A882" s="4"/>
      <c r="B882" s="4"/>
      <c r="C882" s="4"/>
      <c r="D882" s="4"/>
      <c r="E882" s="4"/>
      <c r="F882" s="4"/>
      <c r="G882" s="4"/>
      <c r="H882" s="4"/>
      <c r="I882" s="4"/>
      <c r="J882" s="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>
      <c r="A883" s="4"/>
      <c r="B883" s="4"/>
      <c r="C883" s="4"/>
      <c r="D883" s="4"/>
      <c r="E883" s="4"/>
      <c r="F883" s="4"/>
      <c r="G883" s="4"/>
      <c r="H883" s="4"/>
      <c r="I883" s="4"/>
      <c r="J883" s="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>
      <c r="A884" s="4"/>
      <c r="B884" s="4"/>
      <c r="C884" s="4"/>
      <c r="D884" s="4"/>
      <c r="E884" s="4"/>
      <c r="F884" s="4"/>
      <c r="G884" s="4"/>
      <c r="H884" s="4"/>
      <c r="I884" s="4"/>
      <c r="J884" s="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>
      <c r="A885" s="4"/>
      <c r="B885" s="4"/>
      <c r="C885" s="4"/>
      <c r="D885" s="4"/>
      <c r="E885" s="4"/>
      <c r="F885" s="4"/>
      <c r="G885" s="4"/>
      <c r="H885" s="4"/>
      <c r="I885" s="4"/>
      <c r="J885" s="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>
      <c r="A886" s="4"/>
      <c r="B886" s="4"/>
      <c r="C886" s="4"/>
      <c r="D886" s="4"/>
      <c r="E886" s="4"/>
      <c r="F886" s="4"/>
      <c r="G886" s="4"/>
      <c r="H886" s="4"/>
      <c r="I886" s="4"/>
      <c r="J886" s="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>
      <c r="A887" s="4"/>
      <c r="B887" s="4"/>
      <c r="C887" s="4"/>
      <c r="D887" s="4"/>
      <c r="E887" s="4"/>
      <c r="F887" s="4"/>
      <c r="G887" s="4"/>
      <c r="H887" s="4"/>
      <c r="I887" s="4"/>
      <c r="J887" s="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>
      <c r="A888" s="4"/>
      <c r="B888" s="4"/>
      <c r="C888" s="4"/>
      <c r="D888" s="4"/>
      <c r="E888" s="4"/>
      <c r="F888" s="4"/>
      <c r="G888" s="4"/>
      <c r="H888" s="4"/>
      <c r="I888" s="4"/>
      <c r="J888" s="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>
      <c r="A889" s="4"/>
      <c r="B889" s="4"/>
      <c r="C889" s="4"/>
      <c r="D889" s="4"/>
      <c r="E889" s="4"/>
      <c r="F889" s="4"/>
      <c r="G889" s="4"/>
      <c r="H889" s="4"/>
      <c r="I889" s="4"/>
      <c r="J889" s="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>
      <c r="A890" s="4"/>
      <c r="B890" s="4"/>
      <c r="C890" s="4"/>
      <c r="D890" s="4"/>
      <c r="E890" s="4"/>
      <c r="F890" s="4"/>
      <c r="G890" s="4"/>
      <c r="H890" s="4"/>
      <c r="I890" s="4"/>
      <c r="J890" s="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>
      <c r="A891" s="4"/>
      <c r="B891" s="4"/>
      <c r="C891" s="4"/>
      <c r="D891" s="4"/>
      <c r="E891" s="4"/>
      <c r="F891" s="4"/>
      <c r="G891" s="4"/>
      <c r="H891" s="4"/>
      <c r="I891" s="4"/>
      <c r="J891" s="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>
      <c r="A892" s="4"/>
      <c r="B892" s="4"/>
      <c r="C892" s="4"/>
      <c r="D892" s="4"/>
      <c r="E892" s="4"/>
      <c r="F892" s="4"/>
      <c r="G892" s="4"/>
      <c r="H892" s="4"/>
      <c r="I892" s="4"/>
      <c r="J892" s="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>
      <c r="A893" s="4"/>
      <c r="B893" s="4"/>
      <c r="C893" s="4"/>
      <c r="D893" s="4"/>
      <c r="E893" s="4"/>
      <c r="F893" s="4"/>
      <c r="G893" s="4"/>
      <c r="H893" s="4"/>
      <c r="I893" s="4"/>
      <c r="J893" s="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>
      <c r="A894" s="4"/>
      <c r="B894" s="4"/>
      <c r="C894" s="4"/>
      <c r="D894" s="4"/>
      <c r="E894" s="4"/>
      <c r="F894" s="4"/>
      <c r="G894" s="4"/>
      <c r="H894" s="4"/>
      <c r="I894" s="4"/>
      <c r="J894" s="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>
      <c r="A895" s="4"/>
      <c r="B895" s="4"/>
      <c r="C895" s="4"/>
      <c r="D895" s="4"/>
      <c r="E895" s="4"/>
      <c r="F895" s="4"/>
      <c r="G895" s="4"/>
      <c r="H895" s="4"/>
      <c r="I895" s="4"/>
      <c r="J895" s="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>
      <c r="A896" s="4"/>
      <c r="B896" s="4"/>
      <c r="C896" s="4"/>
      <c r="D896" s="4"/>
      <c r="E896" s="4"/>
      <c r="F896" s="4"/>
      <c r="G896" s="4"/>
      <c r="H896" s="4"/>
      <c r="I896" s="4"/>
      <c r="J896" s="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>
      <c r="A897" s="4"/>
      <c r="B897" s="4"/>
      <c r="C897" s="4"/>
      <c r="D897" s="4"/>
      <c r="E897" s="4"/>
      <c r="F897" s="4"/>
      <c r="G897" s="4"/>
      <c r="H897" s="4"/>
      <c r="I897" s="4"/>
      <c r="J897" s="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>
      <c r="A898" s="4"/>
      <c r="B898" s="4"/>
      <c r="C898" s="4"/>
      <c r="D898" s="4"/>
      <c r="E898" s="4"/>
      <c r="F898" s="4"/>
      <c r="G898" s="4"/>
      <c r="H898" s="4"/>
      <c r="I898" s="4"/>
      <c r="J898" s="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>
      <c r="A899" s="4"/>
      <c r="B899" s="4"/>
      <c r="C899" s="4"/>
      <c r="D899" s="4"/>
      <c r="E899" s="4"/>
      <c r="F899" s="4"/>
      <c r="G899" s="4"/>
      <c r="H899" s="4"/>
      <c r="I899" s="4"/>
      <c r="J899" s="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>
      <c r="A900" s="4"/>
      <c r="B900" s="4"/>
      <c r="C900" s="4"/>
      <c r="D900" s="4"/>
      <c r="E900" s="4"/>
      <c r="F900" s="4"/>
      <c r="G900" s="4"/>
      <c r="H900" s="4"/>
      <c r="I900" s="4"/>
      <c r="J900" s="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>
      <c r="A901" s="4"/>
      <c r="B901" s="4"/>
      <c r="C901" s="4"/>
      <c r="D901" s="4"/>
      <c r="E901" s="4"/>
      <c r="F901" s="4"/>
      <c r="G901" s="4"/>
      <c r="H901" s="4"/>
      <c r="I901" s="4"/>
      <c r="J901" s="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>
      <c r="A902" s="4"/>
      <c r="B902" s="4"/>
      <c r="C902" s="4"/>
      <c r="D902" s="4"/>
      <c r="E902" s="4"/>
      <c r="F902" s="4"/>
      <c r="G902" s="4"/>
      <c r="H902" s="4"/>
      <c r="I902" s="4"/>
      <c r="J902" s="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>
      <c r="A903" s="4"/>
      <c r="B903" s="4"/>
      <c r="C903" s="4"/>
      <c r="D903" s="4"/>
      <c r="E903" s="4"/>
      <c r="F903" s="4"/>
      <c r="G903" s="4"/>
      <c r="H903" s="4"/>
      <c r="I903" s="4"/>
      <c r="J903" s="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>
      <c r="A904" s="4"/>
      <c r="B904" s="4"/>
      <c r="C904" s="4"/>
      <c r="D904" s="4"/>
      <c r="E904" s="4"/>
      <c r="F904" s="4"/>
      <c r="G904" s="4"/>
      <c r="H904" s="4"/>
      <c r="I904" s="4"/>
      <c r="J904" s="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>
      <c r="A905" s="4"/>
      <c r="B905" s="4"/>
      <c r="C905" s="4"/>
      <c r="D905" s="4"/>
      <c r="E905" s="4"/>
      <c r="F905" s="4"/>
      <c r="G905" s="4"/>
      <c r="H905" s="4"/>
      <c r="I905" s="4"/>
      <c r="J905" s="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>
      <c r="A906" s="4"/>
      <c r="B906" s="4"/>
      <c r="C906" s="4"/>
      <c r="D906" s="4"/>
      <c r="E906" s="4"/>
      <c r="F906" s="4"/>
      <c r="G906" s="4"/>
      <c r="H906" s="4"/>
      <c r="I906" s="4"/>
      <c r="J906" s="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>
      <c r="A907" s="4"/>
      <c r="B907" s="4"/>
      <c r="C907" s="4"/>
      <c r="D907" s="4"/>
      <c r="E907" s="4"/>
      <c r="F907" s="4"/>
      <c r="G907" s="4"/>
      <c r="H907" s="4"/>
      <c r="I907" s="4"/>
      <c r="J907" s="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>
      <c r="A908" s="4"/>
      <c r="B908" s="4"/>
      <c r="C908" s="4"/>
      <c r="D908" s="4"/>
      <c r="E908" s="4"/>
      <c r="F908" s="4"/>
      <c r="G908" s="4"/>
      <c r="H908" s="4"/>
      <c r="I908" s="4"/>
      <c r="J908" s="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>
      <c r="A909" s="4"/>
      <c r="B909" s="4"/>
      <c r="C909" s="4"/>
      <c r="D909" s="4"/>
      <c r="E909" s="4"/>
      <c r="F909" s="4"/>
      <c r="G909" s="4"/>
      <c r="H909" s="4"/>
      <c r="I909" s="4"/>
      <c r="J909" s="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>
      <c r="A910" s="4"/>
      <c r="B910" s="4"/>
      <c r="C910" s="4"/>
      <c r="D910" s="4"/>
      <c r="E910" s="4"/>
      <c r="F910" s="4"/>
      <c r="G910" s="4"/>
      <c r="H910" s="4"/>
      <c r="I910" s="4"/>
      <c r="J910" s="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>
      <c r="A911" s="4"/>
      <c r="B911" s="4"/>
      <c r="C911" s="4"/>
      <c r="D911" s="4"/>
      <c r="E911" s="4"/>
      <c r="F911" s="4"/>
      <c r="G911" s="4"/>
      <c r="H911" s="4"/>
      <c r="I911" s="4"/>
      <c r="J911" s="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>
      <c r="A912" s="4"/>
      <c r="B912" s="4"/>
      <c r="C912" s="4"/>
      <c r="D912" s="4"/>
      <c r="E912" s="4"/>
      <c r="F912" s="4"/>
      <c r="G912" s="4"/>
      <c r="H912" s="4"/>
      <c r="I912" s="4"/>
      <c r="J912" s="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>
      <c r="A913" s="4"/>
      <c r="B913" s="4"/>
      <c r="C913" s="4"/>
      <c r="D913" s="4"/>
      <c r="E913" s="4"/>
      <c r="F913" s="4"/>
      <c r="G913" s="4"/>
      <c r="H913" s="4"/>
      <c r="I913" s="4"/>
      <c r="J913" s="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>
      <c r="A914" s="4"/>
      <c r="B914" s="4"/>
      <c r="C914" s="4"/>
      <c r="D914" s="4"/>
      <c r="E914" s="4"/>
      <c r="F914" s="4"/>
      <c r="G914" s="4"/>
      <c r="H914" s="4"/>
      <c r="I914" s="4"/>
      <c r="J914" s="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>
      <c r="A915" s="4"/>
      <c r="B915" s="4"/>
      <c r="C915" s="4"/>
      <c r="D915" s="4"/>
      <c r="E915" s="4"/>
      <c r="F915" s="4"/>
      <c r="G915" s="4"/>
      <c r="H915" s="4"/>
      <c r="I915" s="4"/>
      <c r="J915" s="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>
      <c r="A916" s="4"/>
      <c r="B916" s="4"/>
      <c r="C916" s="4"/>
      <c r="D916" s="4"/>
      <c r="E916" s="4"/>
      <c r="F916" s="4"/>
      <c r="G916" s="4"/>
      <c r="H916" s="4"/>
      <c r="I916" s="4"/>
      <c r="J916" s="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>
      <c r="A917" s="4"/>
      <c r="B917" s="4"/>
      <c r="C917" s="4"/>
      <c r="D917" s="4"/>
      <c r="E917" s="4"/>
      <c r="F917" s="4"/>
      <c r="G917" s="4"/>
      <c r="H917" s="4"/>
      <c r="I917" s="4"/>
      <c r="J917" s="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>
      <c r="A918" s="4"/>
      <c r="B918" s="4"/>
      <c r="C918" s="4"/>
      <c r="D918" s="4"/>
      <c r="E918" s="4"/>
      <c r="F918" s="4"/>
      <c r="G918" s="4"/>
      <c r="H918" s="4"/>
      <c r="I918" s="4"/>
      <c r="J918" s="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>
      <c r="A919" s="4"/>
      <c r="B919" s="4"/>
      <c r="C919" s="4"/>
      <c r="D919" s="4"/>
      <c r="E919" s="4"/>
      <c r="F919" s="4"/>
      <c r="G919" s="4"/>
      <c r="H919" s="4"/>
      <c r="I919" s="4"/>
      <c r="J919" s="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>
      <c r="A920" s="4"/>
      <c r="B920" s="4"/>
      <c r="C920" s="4"/>
      <c r="D920" s="4"/>
      <c r="E920" s="4"/>
      <c r="F920" s="4"/>
      <c r="G920" s="4"/>
      <c r="H920" s="4"/>
      <c r="I920" s="4"/>
      <c r="J920" s="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>
      <c r="A921" s="4"/>
      <c r="B921" s="4"/>
      <c r="C921" s="4"/>
      <c r="D921" s="4"/>
      <c r="E921" s="4"/>
      <c r="F921" s="4"/>
      <c r="G921" s="4"/>
      <c r="H921" s="4"/>
      <c r="I921" s="4"/>
      <c r="J921" s="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>
      <c r="A922" s="4"/>
      <c r="B922" s="4"/>
      <c r="C922" s="4"/>
      <c r="D922" s="4"/>
      <c r="E922" s="4"/>
      <c r="F922" s="4"/>
      <c r="G922" s="4"/>
      <c r="H922" s="4"/>
      <c r="I922" s="4"/>
      <c r="J922" s="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>
      <c r="A923" s="4"/>
      <c r="B923" s="4"/>
      <c r="C923" s="4"/>
      <c r="D923" s="4"/>
      <c r="E923" s="4"/>
      <c r="F923" s="4"/>
      <c r="G923" s="4"/>
      <c r="H923" s="4"/>
      <c r="I923" s="4"/>
      <c r="J923" s="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>
      <c r="A924" s="4"/>
      <c r="B924" s="4"/>
      <c r="C924" s="4"/>
      <c r="D924" s="4"/>
      <c r="E924" s="4"/>
      <c r="F924" s="4"/>
      <c r="G924" s="4"/>
      <c r="H924" s="4"/>
      <c r="I924" s="4"/>
      <c r="J924" s="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>
      <c r="A925" s="4"/>
      <c r="B925" s="4"/>
      <c r="C925" s="4"/>
      <c r="D925" s="4"/>
      <c r="E925" s="4"/>
      <c r="F925" s="4"/>
      <c r="G925" s="4"/>
      <c r="H925" s="4"/>
      <c r="I925" s="4"/>
      <c r="J925" s="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>
      <c r="A926" s="4"/>
      <c r="B926" s="4"/>
      <c r="C926" s="4"/>
      <c r="D926" s="4"/>
      <c r="E926" s="4"/>
      <c r="F926" s="4"/>
      <c r="G926" s="4"/>
      <c r="H926" s="4"/>
      <c r="I926" s="4"/>
      <c r="J926" s="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>
      <c r="A927" s="4"/>
      <c r="B927" s="4"/>
      <c r="C927" s="4"/>
      <c r="D927" s="4"/>
      <c r="E927" s="4"/>
      <c r="F927" s="4"/>
      <c r="G927" s="4"/>
      <c r="H927" s="4"/>
      <c r="I927" s="4"/>
      <c r="J927" s="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>
      <c r="A928" s="4"/>
      <c r="B928" s="4"/>
      <c r="C928" s="4"/>
      <c r="D928" s="4"/>
      <c r="E928" s="4"/>
      <c r="F928" s="4"/>
      <c r="G928" s="4"/>
      <c r="H928" s="4"/>
      <c r="I928" s="4"/>
      <c r="J928" s="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>
      <c r="A929" s="4"/>
      <c r="B929" s="4"/>
      <c r="C929" s="4"/>
      <c r="D929" s="4"/>
      <c r="E929" s="4"/>
      <c r="F929" s="4"/>
      <c r="G929" s="4"/>
      <c r="H929" s="4"/>
      <c r="I929" s="4"/>
      <c r="J929" s="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>
      <c r="A930" s="4"/>
      <c r="B930" s="4"/>
      <c r="C930" s="4"/>
      <c r="D930" s="4"/>
      <c r="E930" s="4"/>
      <c r="F930" s="4"/>
      <c r="G930" s="4"/>
      <c r="H930" s="4"/>
      <c r="I930" s="4"/>
      <c r="J930" s="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>
      <c r="A931" s="4"/>
      <c r="B931" s="4"/>
      <c r="C931" s="4"/>
      <c r="D931" s="4"/>
      <c r="E931" s="4"/>
      <c r="F931" s="4"/>
      <c r="G931" s="4"/>
      <c r="H931" s="4"/>
      <c r="I931" s="4"/>
      <c r="J931" s="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>
      <c r="A932" s="4"/>
      <c r="B932" s="4"/>
      <c r="C932" s="4"/>
      <c r="D932" s="4"/>
      <c r="E932" s="4"/>
      <c r="F932" s="4"/>
      <c r="G932" s="4"/>
      <c r="H932" s="4"/>
      <c r="I932" s="4"/>
      <c r="J932" s="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>
      <c r="A933" s="4"/>
      <c r="B933" s="4"/>
      <c r="C933" s="4"/>
      <c r="D933" s="4"/>
      <c r="E933" s="4"/>
      <c r="F933" s="4"/>
      <c r="G933" s="4"/>
      <c r="H933" s="4"/>
      <c r="I933" s="4"/>
      <c r="J933" s="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>
      <c r="A934" s="4"/>
      <c r="B934" s="4"/>
      <c r="C934" s="4"/>
      <c r="D934" s="4"/>
      <c r="E934" s="4"/>
      <c r="F934" s="4"/>
      <c r="G934" s="4"/>
      <c r="H934" s="4"/>
      <c r="I934" s="4"/>
      <c r="J934" s="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>
      <c r="A935" s="4"/>
      <c r="B935" s="4"/>
      <c r="C935" s="4"/>
      <c r="D935" s="4"/>
      <c r="E935" s="4"/>
      <c r="F935" s="4"/>
      <c r="G935" s="4"/>
      <c r="H935" s="4"/>
      <c r="I935" s="4"/>
      <c r="J935" s="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>
      <c r="A936" s="4"/>
      <c r="B936" s="4"/>
      <c r="C936" s="4"/>
      <c r="D936" s="4"/>
      <c r="E936" s="4"/>
      <c r="F936" s="4"/>
      <c r="G936" s="4"/>
      <c r="H936" s="4"/>
      <c r="I936" s="4"/>
      <c r="J936" s="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>
      <c r="A937" s="4"/>
      <c r="B937" s="4"/>
      <c r="C937" s="4"/>
      <c r="D937" s="4"/>
      <c r="E937" s="4"/>
      <c r="F937" s="4"/>
      <c r="G937" s="4"/>
      <c r="H937" s="4"/>
      <c r="I937" s="4"/>
      <c r="J937" s="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>
      <c r="A938" s="4"/>
      <c r="B938" s="4"/>
      <c r="C938" s="4"/>
      <c r="D938" s="4"/>
      <c r="E938" s="4"/>
      <c r="F938" s="4"/>
      <c r="G938" s="4"/>
      <c r="H938" s="4"/>
      <c r="I938" s="4"/>
      <c r="J938" s="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>
      <c r="A939" s="4"/>
      <c r="B939" s="4"/>
      <c r="C939" s="4"/>
      <c r="D939" s="4"/>
      <c r="E939" s="4"/>
      <c r="F939" s="4"/>
      <c r="G939" s="4"/>
      <c r="H939" s="4"/>
      <c r="I939" s="4"/>
      <c r="J939" s="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>
      <c r="A940" s="4"/>
      <c r="B940" s="4"/>
      <c r="C940" s="4"/>
      <c r="D940" s="4"/>
      <c r="E940" s="4"/>
      <c r="F940" s="4"/>
      <c r="G940" s="4"/>
      <c r="H940" s="4"/>
      <c r="I940" s="4"/>
      <c r="J940" s="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>
      <c r="A941" s="4"/>
      <c r="B941" s="4"/>
      <c r="C941" s="4"/>
      <c r="D941" s="4"/>
      <c r="E941" s="4"/>
      <c r="F941" s="4"/>
      <c r="G941" s="4"/>
      <c r="H941" s="4"/>
      <c r="I941" s="4"/>
      <c r="J941" s="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>
      <c r="A942" s="4"/>
      <c r="B942" s="4"/>
      <c r="C942" s="4"/>
      <c r="D942" s="4"/>
      <c r="E942" s="4"/>
      <c r="F942" s="4"/>
      <c r="G942" s="4"/>
      <c r="H942" s="4"/>
      <c r="I942" s="4"/>
      <c r="J942" s="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>
      <c r="A943" s="4"/>
      <c r="B943" s="4"/>
      <c r="C943" s="4"/>
      <c r="D943" s="4"/>
      <c r="E943" s="4"/>
      <c r="F943" s="4"/>
      <c r="G943" s="4"/>
      <c r="H943" s="4"/>
      <c r="I943" s="4"/>
      <c r="J943" s="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>
      <c r="A944" s="4"/>
      <c r="B944" s="4"/>
      <c r="C944" s="4"/>
      <c r="D944" s="4"/>
      <c r="E944" s="4"/>
      <c r="F944" s="4"/>
      <c r="G944" s="4"/>
      <c r="H944" s="4"/>
      <c r="I944" s="4"/>
      <c r="J944" s="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>
      <c r="A945" s="4"/>
      <c r="B945" s="4"/>
      <c r="C945" s="4"/>
      <c r="D945" s="4"/>
      <c r="E945" s="4"/>
      <c r="F945" s="4"/>
      <c r="G945" s="4"/>
      <c r="H945" s="4"/>
      <c r="I945" s="4"/>
      <c r="J945" s="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>
      <c r="A946" s="4"/>
      <c r="B946" s="4"/>
      <c r="C946" s="4"/>
      <c r="D946" s="4"/>
      <c r="E946" s="4"/>
      <c r="F946" s="4"/>
      <c r="G946" s="4"/>
      <c r="H946" s="4"/>
      <c r="I946" s="4"/>
      <c r="J946" s="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>
      <c r="A947" s="4"/>
      <c r="B947" s="4"/>
      <c r="C947" s="4"/>
      <c r="D947" s="4"/>
      <c r="E947" s="4"/>
      <c r="F947" s="4"/>
      <c r="G947" s="4"/>
      <c r="H947" s="4"/>
      <c r="I947" s="4"/>
      <c r="J947" s="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>
      <c r="A948" s="4"/>
      <c r="B948" s="4"/>
      <c r="C948" s="4"/>
      <c r="D948" s="4"/>
      <c r="E948" s="4"/>
      <c r="F948" s="4"/>
      <c r="G948" s="4"/>
      <c r="H948" s="4"/>
      <c r="I948" s="4"/>
      <c r="J948" s="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>
      <c r="A949" s="4"/>
      <c r="B949" s="4"/>
      <c r="C949" s="4"/>
      <c r="D949" s="4"/>
      <c r="E949" s="4"/>
      <c r="F949" s="4"/>
      <c r="G949" s="4"/>
      <c r="H949" s="4"/>
      <c r="I949" s="4"/>
      <c r="J949" s="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>
      <c r="A950" s="4"/>
      <c r="B950" s="4"/>
      <c r="C950" s="4"/>
      <c r="D950" s="4"/>
      <c r="E950" s="4"/>
      <c r="F950" s="4"/>
      <c r="G950" s="4"/>
      <c r="H950" s="4"/>
      <c r="I950" s="4"/>
      <c r="J950" s="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>
      <c r="A951" s="4"/>
      <c r="B951" s="4"/>
      <c r="C951" s="4"/>
      <c r="D951" s="4"/>
      <c r="E951" s="4"/>
      <c r="F951" s="4"/>
      <c r="G951" s="4"/>
      <c r="H951" s="4"/>
      <c r="I951" s="4"/>
      <c r="J951" s="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>
      <c r="A952" s="4"/>
      <c r="B952" s="4"/>
      <c r="C952" s="4"/>
      <c r="D952" s="4"/>
      <c r="E952" s="4"/>
      <c r="F952" s="4"/>
      <c r="G952" s="4"/>
      <c r="H952" s="4"/>
      <c r="I952" s="4"/>
      <c r="J952" s="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>
      <c r="A953" s="4"/>
      <c r="B953" s="4"/>
      <c r="C953" s="4"/>
      <c r="D953" s="4"/>
      <c r="E953" s="4"/>
      <c r="F953" s="4"/>
      <c r="G953" s="4"/>
      <c r="H953" s="4"/>
      <c r="I953" s="4"/>
      <c r="J953" s="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>
      <c r="A954" s="4"/>
      <c r="B954" s="4"/>
      <c r="C954" s="4"/>
      <c r="D954" s="4"/>
      <c r="E954" s="4"/>
      <c r="F954" s="4"/>
      <c r="G954" s="4"/>
      <c r="H954" s="4"/>
      <c r="I954" s="4"/>
      <c r="J954" s="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>
      <c r="A955" s="4"/>
      <c r="B955" s="4"/>
      <c r="C955" s="4"/>
      <c r="D955" s="4"/>
      <c r="E955" s="4"/>
      <c r="F955" s="4"/>
      <c r="G955" s="4"/>
      <c r="H955" s="4"/>
      <c r="I955" s="4"/>
      <c r="J955" s="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>
      <c r="A956" s="4"/>
      <c r="B956" s="4"/>
      <c r="C956" s="4"/>
      <c r="D956" s="4"/>
      <c r="E956" s="4"/>
      <c r="F956" s="4"/>
      <c r="G956" s="4"/>
      <c r="H956" s="4"/>
      <c r="I956" s="4"/>
      <c r="J956" s="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>
      <c r="A957" s="4"/>
      <c r="B957" s="4"/>
      <c r="C957" s="4"/>
      <c r="D957" s="4"/>
      <c r="E957" s="4"/>
      <c r="F957" s="4"/>
      <c r="G957" s="4"/>
      <c r="H957" s="4"/>
      <c r="I957" s="4"/>
      <c r="J957" s="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>
      <c r="A958" s="4"/>
      <c r="B958" s="4"/>
      <c r="C958" s="4"/>
      <c r="D958" s="4"/>
      <c r="E958" s="4"/>
      <c r="F958" s="4"/>
      <c r="G958" s="4"/>
      <c r="H958" s="4"/>
      <c r="I958" s="4"/>
      <c r="J958" s="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>
      <c r="A959" s="4"/>
      <c r="B959" s="4"/>
      <c r="C959" s="4"/>
      <c r="D959" s="4"/>
      <c r="E959" s="4"/>
      <c r="F959" s="4"/>
      <c r="G959" s="4"/>
      <c r="H959" s="4"/>
      <c r="I959" s="4"/>
      <c r="J959" s="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>
      <c r="A960" s="4"/>
      <c r="B960" s="4"/>
      <c r="C960" s="4"/>
      <c r="D960" s="4"/>
      <c r="E960" s="4"/>
      <c r="F960" s="4"/>
      <c r="G960" s="4"/>
      <c r="H960" s="4"/>
      <c r="I960" s="4"/>
      <c r="J960" s="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>
      <c r="A961" s="4"/>
      <c r="B961" s="4"/>
      <c r="C961" s="4"/>
      <c r="D961" s="4"/>
      <c r="E961" s="4"/>
      <c r="F961" s="4"/>
      <c r="G961" s="4"/>
      <c r="H961" s="4"/>
      <c r="I961" s="4"/>
      <c r="J961" s="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>
      <c r="A962" s="4"/>
      <c r="B962" s="4"/>
      <c r="C962" s="4"/>
      <c r="D962" s="4"/>
      <c r="E962" s="4"/>
      <c r="F962" s="4"/>
      <c r="G962" s="4"/>
      <c r="H962" s="4"/>
      <c r="I962" s="4"/>
      <c r="J962" s="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>
      <c r="A963" s="4"/>
      <c r="B963" s="4"/>
      <c r="C963" s="4"/>
      <c r="D963" s="4"/>
      <c r="E963" s="4"/>
      <c r="F963" s="4"/>
      <c r="G963" s="4"/>
      <c r="H963" s="4"/>
      <c r="I963" s="4"/>
      <c r="J963" s="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>
      <c r="A964" s="4"/>
      <c r="B964" s="4"/>
      <c r="C964" s="4"/>
      <c r="D964" s="4"/>
      <c r="E964" s="4"/>
      <c r="F964" s="4"/>
      <c r="G964" s="4"/>
      <c r="H964" s="4"/>
      <c r="I964" s="4"/>
      <c r="J964" s="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>
      <c r="A965" s="4"/>
      <c r="B965" s="4"/>
      <c r="C965" s="4"/>
      <c r="D965" s="4"/>
      <c r="E965" s="4"/>
      <c r="F965" s="4"/>
      <c r="G965" s="4"/>
      <c r="H965" s="4"/>
      <c r="I965" s="4"/>
      <c r="J965" s="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>
      <c r="A966" s="4"/>
      <c r="B966" s="4"/>
      <c r="C966" s="4"/>
      <c r="D966" s="4"/>
      <c r="E966" s="4"/>
      <c r="F966" s="4"/>
      <c r="G966" s="4"/>
      <c r="H966" s="4"/>
      <c r="I966" s="4"/>
      <c r="J966" s="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>
      <c r="A967" s="4"/>
      <c r="B967" s="4"/>
      <c r="C967" s="4"/>
      <c r="D967" s="4"/>
      <c r="E967" s="4"/>
      <c r="F967" s="4"/>
      <c r="G967" s="4"/>
      <c r="H967" s="4"/>
      <c r="I967" s="4"/>
      <c r="J967" s="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>
      <c r="A968" s="4"/>
      <c r="B968" s="4"/>
      <c r="C968" s="4"/>
      <c r="D968" s="4"/>
      <c r="E968" s="4"/>
      <c r="F968" s="4"/>
      <c r="G968" s="4"/>
      <c r="H968" s="4"/>
      <c r="I968" s="4"/>
      <c r="J968" s="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>
      <c r="A969" s="4"/>
      <c r="B969" s="4"/>
      <c r="C969" s="4"/>
      <c r="D969" s="4"/>
      <c r="E969" s="4"/>
      <c r="F969" s="4"/>
      <c r="G969" s="4"/>
      <c r="H969" s="4"/>
      <c r="I969" s="4"/>
      <c r="J969" s="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>
      <c r="A970" s="4"/>
      <c r="B970" s="4"/>
      <c r="C970" s="4"/>
      <c r="D970" s="4"/>
      <c r="E970" s="4"/>
      <c r="F970" s="4"/>
      <c r="G970" s="4"/>
      <c r="H970" s="4"/>
      <c r="I970" s="4"/>
      <c r="J970" s="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>
      <c r="A971" s="4"/>
      <c r="B971" s="4"/>
      <c r="C971" s="4"/>
      <c r="D971" s="4"/>
      <c r="E971" s="4"/>
      <c r="F971" s="4"/>
      <c r="G971" s="4"/>
      <c r="H971" s="4"/>
      <c r="I971" s="4"/>
      <c r="J971" s="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>
      <c r="A972" s="4"/>
      <c r="B972" s="4"/>
      <c r="C972" s="4"/>
      <c r="D972" s="4"/>
      <c r="E972" s="4"/>
      <c r="F972" s="4"/>
      <c r="G972" s="4"/>
      <c r="H972" s="4"/>
      <c r="I972" s="4"/>
      <c r="J972" s="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>
      <c r="A973" s="4"/>
      <c r="B973" s="4"/>
      <c r="C973" s="4"/>
      <c r="D973" s="4"/>
      <c r="E973" s="4"/>
      <c r="F973" s="4"/>
      <c r="G973" s="4"/>
      <c r="H973" s="4"/>
      <c r="I973" s="4"/>
      <c r="J973" s="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>
      <c r="A974" s="4"/>
      <c r="B974" s="4"/>
      <c r="C974" s="4"/>
      <c r="D974" s="4"/>
      <c r="E974" s="4"/>
      <c r="F974" s="4"/>
      <c r="G974" s="4"/>
      <c r="H974" s="4"/>
      <c r="I974" s="4"/>
      <c r="J974" s="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>
      <c r="A975" s="4"/>
      <c r="B975" s="4"/>
      <c r="C975" s="4"/>
      <c r="D975" s="4"/>
      <c r="E975" s="4"/>
      <c r="F975" s="4"/>
      <c r="G975" s="4"/>
      <c r="H975" s="4"/>
      <c r="I975" s="4"/>
      <c r="J975" s="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>
      <c r="A976" s="4"/>
      <c r="B976" s="4"/>
      <c r="C976" s="4"/>
      <c r="D976" s="4"/>
      <c r="E976" s="4"/>
      <c r="F976" s="4"/>
      <c r="G976" s="4"/>
      <c r="H976" s="4"/>
      <c r="I976" s="4"/>
      <c r="J976" s="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>
      <c r="A977" s="4"/>
      <c r="B977" s="4"/>
      <c r="C977" s="4"/>
      <c r="D977" s="4"/>
      <c r="E977" s="4"/>
      <c r="F977" s="4"/>
      <c r="G977" s="4"/>
      <c r="H977" s="4"/>
      <c r="I977" s="4"/>
      <c r="J977" s="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>
      <c r="A978" s="4"/>
      <c r="B978" s="4"/>
      <c r="C978" s="4"/>
      <c r="D978" s="4"/>
      <c r="E978" s="4"/>
      <c r="F978" s="4"/>
      <c r="G978" s="4"/>
      <c r="H978" s="4"/>
      <c r="I978" s="4"/>
      <c r="J978" s="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>
      <c r="A979" s="4"/>
      <c r="B979" s="4"/>
      <c r="C979" s="4"/>
      <c r="D979" s="4"/>
      <c r="E979" s="4"/>
      <c r="F979" s="4"/>
      <c r="G979" s="4"/>
      <c r="H979" s="4"/>
      <c r="I979" s="4"/>
      <c r="J979" s="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>
      <c r="A980" s="4"/>
      <c r="B980" s="4"/>
      <c r="C980" s="4"/>
      <c r="D980" s="4"/>
      <c r="E980" s="4"/>
      <c r="F980" s="4"/>
      <c r="G980" s="4"/>
      <c r="H980" s="4"/>
      <c r="I980" s="4"/>
      <c r="J980" s="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>
      <c r="A981" s="4"/>
      <c r="B981" s="4"/>
      <c r="C981" s="4"/>
      <c r="D981" s="4"/>
      <c r="E981" s="4"/>
      <c r="F981" s="4"/>
      <c r="G981" s="4"/>
      <c r="H981" s="4"/>
      <c r="I981" s="4"/>
      <c r="J981" s="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>
      <c r="A982" s="4"/>
      <c r="B982" s="4"/>
      <c r="C982" s="4"/>
      <c r="D982" s="4"/>
      <c r="E982" s="4"/>
      <c r="F982" s="4"/>
      <c r="G982" s="4"/>
      <c r="H982" s="4"/>
      <c r="I982" s="4"/>
      <c r="J982" s="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>
      <c r="A983" s="4"/>
      <c r="B983" s="4"/>
      <c r="C983" s="4"/>
      <c r="D983" s="4"/>
      <c r="E983" s="4"/>
      <c r="F983" s="4"/>
      <c r="G983" s="4"/>
      <c r="H983" s="4"/>
      <c r="I983" s="4"/>
      <c r="J983" s="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>
      <c r="A984" s="4"/>
      <c r="B984" s="4"/>
      <c r="C984" s="4"/>
      <c r="D984" s="4"/>
      <c r="E984" s="4"/>
      <c r="F984" s="4"/>
      <c r="G984" s="4"/>
      <c r="H984" s="4"/>
      <c r="I984" s="4"/>
      <c r="J984" s="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>
      <c r="A985" s="4"/>
      <c r="B985" s="4"/>
      <c r="C985" s="4"/>
      <c r="D985" s="4"/>
      <c r="E985" s="4"/>
      <c r="F985" s="4"/>
      <c r="G985" s="4"/>
      <c r="H985" s="4"/>
      <c r="I985" s="4"/>
      <c r="J985" s="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>
      <c r="A986" s="4"/>
      <c r="B986" s="4"/>
      <c r="C986" s="4"/>
      <c r="D986" s="4"/>
      <c r="E986" s="4"/>
      <c r="F986" s="4"/>
      <c r="G986" s="4"/>
      <c r="H986" s="4"/>
      <c r="I986" s="4"/>
      <c r="J986" s="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>
      <c r="A987" s="4"/>
      <c r="B987" s="4"/>
      <c r="C987" s="4"/>
      <c r="D987" s="4"/>
      <c r="E987" s="4"/>
      <c r="F987" s="4"/>
      <c r="G987" s="4"/>
      <c r="H987" s="4"/>
      <c r="I987" s="4"/>
      <c r="J987" s="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>
      <c r="A988" s="4"/>
      <c r="B988" s="4"/>
      <c r="C988" s="4"/>
      <c r="D988" s="4"/>
      <c r="E988" s="4"/>
      <c r="F988" s="4"/>
      <c r="G988" s="4"/>
      <c r="H988" s="4"/>
      <c r="I988" s="4"/>
      <c r="J988" s="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>
      <c r="A989" s="4"/>
      <c r="B989" s="4"/>
      <c r="C989" s="4"/>
      <c r="D989" s="4"/>
      <c r="E989" s="4"/>
      <c r="F989" s="4"/>
      <c r="G989" s="4"/>
      <c r="H989" s="4"/>
      <c r="I989" s="4"/>
      <c r="J989" s="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>
      <c r="A990" s="4"/>
      <c r="B990" s="4"/>
      <c r="C990" s="4"/>
      <c r="D990" s="4"/>
      <c r="E990" s="4"/>
      <c r="F990" s="4"/>
      <c r="G990" s="4"/>
      <c r="H990" s="4"/>
      <c r="I990" s="4"/>
      <c r="J990" s="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>
      <c r="A991" s="4"/>
      <c r="B991" s="4"/>
      <c r="C991" s="4"/>
      <c r="D991" s="4"/>
      <c r="E991" s="4"/>
      <c r="F991" s="4"/>
      <c r="G991" s="4"/>
      <c r="H991" s="4"/>
      <c r="I991" s="4"/>
      <c r="J991" s="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>
      <c r="A992" s="4"/>
      <c r="B992" s="4"/>
      <c r="C992" s="4"/>
      <c r="D992" s="4"/>
      <c r="E992" s="4"/>
      <c r="F992" s="4"/>
      <c r="G992" s="4"/>
      <c r="H992" s="4"/>
      <c r="I992" s="4"/>
      <c r="J992" s="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>
      <c r="A993" s="4"/>
      <c r="B993" s="4"/>
      <c r="C993" s="4"/>
      <c r="D993" s="4"/>
      <c r="E993" s="4"/>
      <c r="F993" s="4"/>
      <c r="G993" s="4"/>
      <c r="H993" s="4"/>
      <c r="I993" s="4"/>
      <c r="J993" s="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>
      <c r="A994" s="4"/>
      <c r="B994" s="4"/>
      <c r="C994" s="4"/>
      <c r="D994" s="4"/>
      <c r="E994" s="4"/>
      <c r="F994" s="4"/>
      <c r="G994" s="4"/>
      <c r="H994" s="4"/>
      <c r="I994" s="4"/>
      <c r="J994" s="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>
      <c r="A995" s="4"/>
      <c r="B995" s="4"/>
      <c r="C995" s="4"/>
      <c r="D995" s="4"/>
      <c r="E995" s="4"/>
      <c r="F995" s="4"/>
      <c r="G995" s="4"/>
      <c r="H995" s="4"/>
      <c r="I995" s="4"/>
      <c r="J995" s="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>
      <c r="A996" s="4"/>
      <c r="B996" s="4"/>
      <c r="C996" s="4"/>
      <c r="D996" s="4"/>
      <c r="E996" s="4"/>
      <c r="F996" s="4"/>
      <c r="G996" s="4"/>
      <c r="H996" s="4"/>
      <c r="I996" s="4"/>
      <c r="J996" s="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" customHeight="1">
      <c r="J998" s="4"/>
    </row>
  </sheetData>
  <mergeCells count="29"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4:W5"/>
    <mergeCell ref="X4:X5"/>
    <mergeCell ref="Y4:Y5"/>
    <mergeCell ref="B1:F1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D1254"/>
  <sheetViews>
    <sheetView workbookViewId="0">
      <pane ySplit="2" topLeftCell="A3" activePane="bottomLeft" state="frozen"/>
      <selection pane="bottomLeft" activeCell="J1" sqref="J1:J1048576"/>
    </sheetView>
  </sheetViews>
  <sheetFormatPr baseColWidth="10" defaultColWidth="11.25" defaultRowHeight="15" customHeight="1"/>
  <cols>
    <col min="1" max="1" width="7" customWidth="1"/>
    <col min="2" max="2" width="39.75" customWidth="1"/>
    <col min="3" max="4" width="8.5" customWidth="1"/>
    <col min="5" max="5" width="9.375" customWidth="1"/>
    <col min="6" max="6" width="16.5" customWidth="1"/>
    <col min="7" max="7" width="12.625" customWidth="1"/>
    <col min="8" max="8" width="8" customWidth="1"/>
    <col min="9" max="9" width="11.875" customWidth="1"/>
    <col min="10" max="10" width="10.5" customWidth="1"/>
    <col min="11" max="11" width="4" customWidth="1"/>
    <col min="12" max="12" width="7.5" customWidth="1"/>
    <col min="13" max="13" width="6.625" customWidth="1"/>
    <col min="14" max="14" width="8.625" customWidth="1"/>
    <col min="15" max="15" width="7.5" customWidth="1"/>
    <col min="16" max="16" width="10.125" customWidth="1"/>
    <col min="17" max="17" width="9.375" customWidth="1"/>
    <col min="18" max="18" width="12.5" customWidth="1"/>
    <col min="19" max="19" width="6" customWidth="1"/>
    <col min="20" max="20" width="8.5" customWidth="1"/>
    <col min="21" max="21" width="7.5" customWidth="1"/>
    <col min="22" max="22" width="14.625" customWidth="1"/>
    <col min="23" max="23" width="9.75" customWidth="1"/>
    <col min="24" max="24" width="7.5" customWidth="1"/>
    <col min="25" max="25" width="8.625" customWidth="1"/>
    <col min="26" max="30" width="25.75" customWidth="1"/>
  </cols>
  <sheetData>
    <row r="1" spans="1:30" ht="19.5" customHeight="1">
      <c r="A1" s="11" t="s">
        <v>240</v>
      </c>
      <c r="B1" s="144" t="s">
        <v>240</v>
      </c>
      <c r="C1" s="145"/>
      <c r="D1" s="145"/>
      <c r="E1" s="145"/>
      <c r="F1" s="145"/>
      <c r="G1" s="14"/>
      <c r="H1" s="14"/>
      <c r="I1" s="14"/>
      <c r="J1" s="12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19.5" customHeight="1">
      <c r="A2" s="19" t="s">
        <v>53</v>
      </c>
      <c r="B2" s="19" t="s">
        <v>54</v>
      </c>
      <c r="C2" s="19" t="s">
        <v>55</v>
      </c>
      <c r="D2" s="19" t="s">
        <v>57</v>
      </c>
      <c r="E2" s="19" t="s">
        <v>59</v>
      </c>
      <c r="F2" s="19" t="s">
        <v>60</v>
      </c>
      <c r="G2" s="16" t="s">
        <v>61</v>
      </c>
      <c r="H2" s="16" t="s">
        <v>64</v>
      </c>
      <c r="I2" s="16" t="s">
        <v>65</v>
      </c>
      <c r="J2" s="154" t="s">
        <v>57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9.5" customHeight="1">
      <c r="A3" s="6" t="str">
        <f ca="1">IFERROR(__xludf.DUMMYFUNCTION("FILTER('UNIVERSO PRODUCTOS'!A1:B958, ISNUMBER(SEARCH(A1, 'UNIVERSO PRODUCTOS'!K1:K958)))
"),"ti-ing-531d1d9b-814d-49bc-9bbf-06be4ae2e6d5")</f>
        <v>ti-ing-531d1d9b-814d-49bc-9bbf-06be4ae2e6d5</v>
      </c>
      <c r="B3" s="7" t="str">
        <f ca="1">IFERROR(__xludf.DUMMYFUNCTION("""COMPUTED_VALUE"""),"Azucar blanca")</f>
        <v>Azucar blanca</v>
      </c>
      <c r="C3" s="48">
        <v>1.3</v>
      </c>
      <c r="D3" s="21">
        <f ca="1">IFERROR(__xludf.DUMMYFUNCTION("FILTER('UNIVERSO PRODUCTOS'!C1:C961, ISNUMBER(SEARCH(A1, 'UNIVERSO PRODUCTOS'!K1:K961)))
"),939.9985)</f>
        <v>939.99850000000004</v>
      </c>
      <c r="E3" s="6" t="str">
        <f ca="1">IFERROR(__xludf.DUMMYFUNCTION("FILTER('UNIVERSO PRODUCTOS'!D1:D958, ISNUMBER(SEARCH(A1, 'UNIVERSO PRODUCTOS'!K1:K958)))
"),"KG")</f>
        <v>KG</v>
      </c>
      <c r="F3" s="6" t="str">
        <f ca="1">IFERROR(__xludf.DUMMYFUNCTION("FILTER('UNIVERSO PRODUCTOS'!H1:H958, ISNUMBER(SEARCH(A1, 'UNIVERSO PRODUCTOS'!K1:K958)))
"),"Abarrotes")</f>
        <v>Abarrotes</v>
      </c>
      <c r="G3" s="49">
        <f t="shared" ref="G3:G257" ca="1" si="0">(C3)*D3</f>
        <v>1221.9980500000001</v>
      </c>
      <c r="H3" s="49">
        <f t="shared" ref="H3:H257" ca="1" si="1">G3*19%</f>
        <v>232.17962950000003</v>
      </c>
      <c r="I3" s="49">
        <f t="shared" ref="I3:I257" ca="1" si="2">G3+H3</f>
        <v>1454.1776795000001</v>
      </c>
      <c r="J3" s="156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19.5" customHeight="1">
      <c r="A4" s="7" t="str">
        <f ca="1">IFERROR(__xludf.DUMMYFUNCTION("""COMPUTED_VALUE"""),"ti-ing-c4486ce7-85c4-49c5-ac82-4d98b0798d01")</f>
        <v>ti-ing-c4486ce7-85c4-49c5-ac82-4d98b0798d01</v>
      </c>
      <c r="B4" s="7" t="str">
        <f ca="1">IFERROR(__xludf.DUMMYFUNCTION("""COMPUTED_VALUE"""),"Azucar rubia")</f>
        <v>Azucar rubia</v>
      </c>
      <c r="C4" s="48">
        <v>0</v>
      </c>
      <c r="D4" s="52">
        <f ca="1">IFERROR(__xludf.DUMMYFUNCTION("""COMPUTED_VALUE"""),1047)</f>
        <v>1047</v>
      </c>
      <c r="E4" s="7" t="str">
        <f ca="1">IFERROR(__xludf.DUMMYFUNCTION("""COMPUTED_VALUE"""),"KG")</f>
        <v>KG</v>
      </c>
      <c r="F4" s="7" t="str">
        <f ca="1">IFERROR(__xludf.DUMMYFUNCTION("""COMPUTED_VALUE"""),"Abarrotes")</f>
        <v>Abarrotes</v>
      </c>
      <c r="G4" s="49">
        <f t="shared" ca="1" si="0"/>
        <v>0</v>
      </c>
      <c r="H4" s="49">
        <f t="shared" ca="1" si="1"/>
        <v>0</v>
      </c>
      <c r="I4" s="49">
        <f t="shared" ca="1" si="2"/>
        <v>0</v>
      </c>
      <c r="J4" s="156"/>
      <c r="K4" s="4"/>
      <c r="L4" s="137" t="s">
        <v>21</v>
      </c>
      <c r="M4" s="137" t="s">
        <v>127</v>
      </c>
      <c r="N4" s="137" t="s">
        <v>128</v>
      </c>
      <c r="O4" s="137" t="s">
        <v>129</v>
      </c>
      <c r="P4" s="137" t="s">
        <v>130</v>
      </c>
      <c r="Q4" s="137" t="s">
        <v>131</v>
      </c>
      <c r="R4" s="137" t="s">
        <v>132</v>
      </c>
      <c r="S4" s="137" t="s">
        <v>133</v>
      </c>
      <c r="T4" s="137" t="s">
        <v>136</v>
      </c>
      <c r="U4" s="137" t="s">
        <v>137</v>
      </c>
      <c r="V4" s="137" t="s">
        <v>140</v>
      </c>
      <c r="W4" s="137" t="s">
        <v>142</v>
      </c>
      <c r="X4" s="137" t="s">
        <v>144</v>
      </c>
      <c r="Y4" s="139" t="s">
        <v>145</v>
      </c>
      <c r="Z4" s="4"/>
      <c r="AA4" s="4"/>
      <c r="AB4" s="4"/>
      <c r="AC4" s="4"/>
      <c r="AD4" s="4"/>
    </row>
    <row r="5" spans="1:30" ht="19.5" customHeight="1">
      <c r="A5" s="7" t="str">
        <f ca="1">IFERROR(__xludf.DUMMYFUNCTION("""COMPUTED_VALUE"""),"ti-ing-63a7f9f9-77ff-45f4-9e3f-3feff0b73432")</f>
        <v>ti-ing-63a7f9f9-77ff-45f4-9e3f-3feff0b73432</v>
      </c>
      <c r="B5" s="7" t="str">
        <f ca="1">IFERROR(__xludf.DUMMYFUNCTION("""COMPUTED_VALUE"""),"Café tarro grande (desayuno)")</f>
        <v>Café tarro grande (desayuno)</v>
      </c>
      <c r="C5" s="48">
        <v>1</v>
      </c>
      <c r="D5" s="52">
        <f ca="1">IFERROR(__xludf.DUMMYFUNCTION("""COMPUTED_VALUE"""),12032)</f>
        <v>12032</v>
      </c>
      <c r="E5" s="7" t="str">
        <f ca="1">IFERROR(__xludf.DUMMYFUNCTION("""COMPUTED_VALUE"""),"UN")</f>
        <v>UN</v>
      </c>
      <c r="F5" s="7" t="str">
        <f ca="1">IFERROR(__xludf.DUMMYFUNCTION("""COMPUTED_VALUE"""),"Abarrotes")</f>
        <v>Abarrotes</v>
      </c>
      <c r="G5" s="49">
        <f t="shared" ca="1" si="0"/>
        <v>12032</v>
      </c>
      <c r="H5" s="49">
        <f t="shared" ca="1" si="1"/>
        <v>2286.08</v>
      </c>
      <c r="I5" s="49">
        <f t="shared" ca="1" si="2"/>
        <v>14318.08</v>
      </c>
      <c r="J5" s="156"/>
      <c r="K5" s="4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4"/>
      <c r="AA5" s="4"/>
      <c r="AB5" s="4"/>
      <c r="AC5" s="4"/>
      <c r="AD5" s="4"/>
    </row>
    <row r="6" spans="1:30" ht="19.5" customHeight="1">
      <c r="A6" s="7" t="str">
        <f ca="1">IFERROR(__xludf.DUMMYFUNCTION("""COMPUTED_VALUE"""),"ti-ing-af062f27-295c-456a-9ce5-77fbb725f339")</f>
        <v>ti-ing-af062f27-295c-456a-9ce5-77fbb725f339</v>
      </c>
      <c r="B6" s="7" t="str">
        <f ca="1">IFERROR(__xludf.DUMMYFUNCTION("""COMPUTED_VALUE"""),"Helado Chocolate")</f>
        <v>Helado Chocolate</v>
      </c>
      <c r="C6" s="48">
        <v>12</v>
      </c>
      <c r="D6" s="52">
        <f ca="1">IFERROR(__xludf.DUMMYFUNCTION("""COMPUTED_VALUE"""),2360.6)</f>
        <v>2360.6</v>
      </c>
      <c r="E6" s="7" t="str">
        <f ca="1">IFERROR(__xludf.DUMMYFUNCTION("""COMPUTED_VALUE"""),"LT")</f>
        <v>LT</v>
      </c>
      <c r="F6" s="7" t="str">
        <f ca="1">IFERROR(__xludf.DUMMYFUNCTION("""COMPUTED_VALUE"""),"Abarrotes")</f>
        <v>Abarrotes</v>
      </c>
      <c r="G6" s="49">
        <f t="shared" ca="1" si="0"/>
        <v>28327.199999999997</v>
      </c>
      <c r="H6" s="49">
        <f t="shared" ca="1" si="1"/>
        <v>5382.1679999999997</v>
      </c>
      <c r="I6" s="49">
        <f t="shared" ca="1" si="2"/>
        <v>33709.367999999995</v>
      </c>
      <c r="J6" s="156"/>
      <c r="K6" s="4"/>
      <c r="L6" s="46">
        <f ca="1">SUM(G3:G11)</f>
        <v>59470.198049999999</v>
      </c>
      <c r="M6" s="50">
        <f ca="1">SUM(G12:G44)</f>
        <v>90482.200247000001</v>
      </c>
      <c r="N6" s="57">
        <f ca="1">SUM(G45:G72)</f>
        <v>522238.6018</v>
      </c>
      <c r="O6" s="57">
        <f ca="1">SUM(G73:G88)</f>
        <v>281460.28469</v>
      </c>
      <c r="P6" s="56"/>
      <c r="Q6" s="46">
        <f ca="1">SUM(G89:G136)</f>
        <v>242346.49468328993</v>
      </c>
      <c r="R6" s="53">
        <f ca="1">SUM(G137:G144)</f>
        <v>117956.223</v>
      </c>
      <c r="S6" s="56"/>
      <c r="T6" s="46">
        <f ca="1">SUM(G145:G152)</f>
        <v>51778.630000000005</v>
      </c>
      <c r="U6" s="46">
        <f ca="1">SUM(G155:G162)</f>
        <v>0</v>
      </c>
      <c r="V6" s="56"/>
      <c r="W6" s="53">
        <f ca="1">SUM(G153:G286)</f>
        <v>64539</v>
      </c>
      <c r="X6" s="53">
        <f ca="1">SUM(G287:G297)</f>
        <v>91240.473599999998</v>
      </c>
      <c r="Y6" s="46">
        <f ca="1">SUM(L6:X6)</f>
        <v>1521512.1060702901</v>
      </c>
      <c r="Z6" s="4"/>
      <c r="AA6" s="4"/>
      <c r="AB6" s="4"/>
      <c r="AC6" s="4"/>
      <c r="AD6" s="4"/>
    </row>
    <row r="7" spans="1:30" ht="19.5" customHeight="1">
      <c r="A7" s="7"/>
      <c r="B7" s="7" t="str">
        <f ca="1">IFERROR(__xludf.DUMMYFUNCTION("""COMPUTED_VALUE"""),"Helado frutilla")</f>
        <v>Helado frutilla</v>
      </c>
      <c r="C7" s="48">
        <v>4.5</v>
      </c>
      <c r="D7" s="52">
        <f ca="1">IFERROR(__xludf.DUMMYFUNCTION("""COMPUTED_VALUE"""),3469)</f>
        <v>3469</v>
      </c>
      <c r="E7" s="7" t="str">
        <f ca="1">IFERROR(__xludf.DUMMYFUNCTION("""COMPUTED_VALUE"""),"LT")</f>
        <v>LT</v>
      </c>
      <c r="F7" s="7" t="str">
        <f ca="1">IFERROR(__xludf.DUMMYFUNCTION("""COMPUTED_VALUE"""),"Abarrotes")</f>
        <v>Abarrotes</v>
      </c>
      <c r="G7" s="49">
        <f t="shared" ca="1" si="0"/>
        <v>15610.5</v>
      </c>
      <c r="H7" s="49">
        <f t="shared" ca="1" si="1"/>
        <v>2965.9949999999999</v>
      </c>
      <c r="I7" s="49">
        <f t="shared" ca="1" si="2"/>
        <v>18576.494999999999</v>
      </c>
      <c r="J7" s="156"/>
      <c r="K7" s="4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4"/>
      <c r="AA7" s="4"/>
      <c r="AB7" s="4"/>
      <c r="AC7" s="4"/>
      <c r="AD7" s="4"/>
    </row>
    <row r="8" spans="1:30" ht="19.5" customHeight="1">
      <c r="A8" s="7" t="str">
        <f ca="1">IFERROR(__xludf.DUMMYFUNCTION("""COMPUTED_VALUE"""),"ti-ing-12dbd538-5012-4d25-8c02-7d0b4f3fdf45")</f>
        <v>ti-ing-12dbd538-5012-4d25-8c02-7d0b4f3fdf45</v>
      </c>
      <c r="B8" s="7" t="str">
        <f ca="1">IFERROR(__xludf.DUMMYFUNCTION("""COMPUTED_VALUE"""),"Helado Vainilla")</f>
        <v>Helado Vainilla</v>
      </c>
      <c r="C8" s="48">
        <v>0</v>
      </c>
      <c r="D8" s="52">
        <f ca="1">IFERROR(__xludf.DUMMYFUNCTION("""COMPUTED_VALUE"""),2979)</f>
        <v>2979</v>
      </c>
      <c r="E8" s="7" t="str">
        <f ca="1">IFERROR(__xludf.DUMMYFUNCTION("""COMPUTED_VALUE"""),"LT")</f>
        <v>LT</v>
      </c>
      <c r="F8" s="7" t="str">
        <f ca="1">IFERROR(__xludf.DUMMYFUNCTION("""COMPUTED_VALUE"""),"Abarrotes")</f>
        <v>Abarrotes</v>
      </c>
      <c r="G8" s="49">
        <f t="shared" ca="1" si="0"/>
        <v>0</v>
      </c>
      <c r="H8" s="49">
        <f t="shared" ca="1" si="1"/>
        <v>0</v>
      </c>
      <c r="I8" s="49">
        <f t="shared" ca="1" si="2"/>
        <v>0</v>
      </c>
      <c r="J8" s="156"/>
      <c r="K8" s="4"/>
      <c r="L8" s="137" t="s">
        <v>21</v>
      </c>
      <c r="M8" s="137" t="s">
        <v>127</v>
      </c>
      <c r="N8" s="137" t="s">
        <v>128</v>
      </c>
      <c r="O8" s="137" t="s">
        <v>129</v>
      </c>
      <c r="P8" s="137" t="s">
        <v>130</v>
      </c>
      <c r="Q8" s="137" t="s">
        <v>131</v>
      </c>
      <c r="R8" s="137" t="s">
        <v>132</v>
      </c>
      <c r="S8" s="137" t="s">
        <v>133</v>
      </c>
      <c r="T8" s="137" t="s">
        <v>136</v>
      </c>
      <c r="U8" s="137" t="s">
        <v>137</v>
      </c>
      <c r="V8" s="137" t="s">
        <v>140</v>
      </c>
      <c r="W8" s="137" t="s">
        <v>142</v>
      </c>
      <c r="X8" s="137" t="s">
        <v>144</v>
      </c>
      <c r="Y8" s="139" t="s">
        <v>219</v>
      </c>
      <c r="Z8" s="4"/>
      <c r="AA8" s="4"/>
      <c r="AB8" s="4"/>
      <c r="AC8" s="4"/>
      <c r="AD8" s="4"/>
    </row>
    <row r="9" spans="1:30" ht="19.5" customHeight="1">
      <c r="A9" s="7" t="str">
        <f ca="1">IFERROR(__xludf.DUMMYFUNCTION("""COMPUTED_VALUE"""),"ti-ing-2758a41a-4b82-4e9c-b888-e1e3498bbd24")</f>
        <v>ti-ing-2758a41a-4b82-4e9c-b888-e1e3498bbd24</v>
      </c>
      <c r="B9" s="7" t="str">
        <f ca="1">IFERROR(__xludf.DUMMYFUNCTION("""COMPUTED_VALUE"""),"Miel")</f>
        <v>Miel</v>
      </c>
      <c r="C9" s="48">
        <v>0</v>
      </c>
      <c r="D9" s="52">
        <f ca="1">IFERROR(__xludf.DUMMYFUNCTION("""COMPUTED_VALUE"""),4117)</f>
        <v>4117</v>
      </c>
      <c r="E9" s="7" t="str">
        <f ca="1">IFERROR(__xludf.DUMMYFUNCTION("""COMPUTED_VALUE"""),"UN")</f>
        <v>UN</v>
      </c>
      <c r="F9" s="7" t="str">
        <f ca="1">IFERROR(__xludf.DUMMYFUNCTION("""COMPUTED_VALUE"""),"Abarrotes")</f>
        <v>Abarrotes</v>
      </c>
      <c r="G9" s="49">
        <f t="shared" ca="1" si="0"/>
        <v>0</v>
      </c>
      <c r="H9" s="49">
        <f t="shared" ca="1" si="1"/>
        <v>0</v>
      </c>
      <c r="I9" s="49">
        <f t="shared" ca="1" si="2"/>
        <v>0</v>
      </c>
      <c r="J9" s="156"/>
      <c r="K9" s="4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42"/>
      <c r="Z9" s="4"/>
      <c r="AA9" s="4"/>
      <c r="AB9" s="4"/>
      <c r="AC9" s="4"/>
      <c r="AD9" s="4"/>
    </row>
    <row r="10" spans="1:30" ht="19.5" customHeight="1">
      <c r="A10" s="7" t="str">
        <f ca="1">IFERROR(__xludf.DUMMYFUNCTION("""COMPUTED_VALUE"""),"ti-ing-c5dc548f-f0a9-4499-a4b3-23a34458dbfa")</f>
        <v>ti-ing-c5dc548f-f0a9-4499-a4b3-23a34458dbfa</v>
      </c>
      <c r="B10" s="7" t="str">
        <f ca="1">IFERROR(__xludf.DUMMYFUNCTION("""COMPUTED_VALUE"""),"Te en Bolsa Caja")</f>
        <v>Te en Bolsa Caja</v>
      </c>
      <c r="C10" s="48">
        <v>49</v>
      </c>
      <c r="D10" s="52">
        <f ca="1">IFERROR(__xludf.DUMMYFUNCTION("""COMPUTED_VALUE"""),46.5)</f>
        <v>46.5</v>
      </c>
      <c r="E10" s="7" t="str">
        <f ca="1">IFERROR(__xludf.DUMMYFUNCTION("""COMPUTED_VALUE"""),"UN")</f>
        <v>UN</v>
      </c>
      <c r="F10" s="7" t="str">
        <f ca="1">IFERROR(__xludf.DUMMYFUNCTION("""COMPUTED_VALUE"""),"Abarrotes")</f>
        <v>Abarrotes</v>
      </c>
      <c r="G10" s="49">
        <f t="shared" ca="1" si="0"/>
        <v>2278.5</v>
      </c>
      <c r="H10" s="49">
        <f t="shared" ca="1" si="1"/>
        <v>432.91500000000002</v>
      </c>
      <c r="I10" s="49">
        <f t="shared" ca="1" si="2"/>
        <v>2711.415</v>
      </c>
      <c r="J10" s="156"/>
      <c r="K10" s="4"/>
      <c r="L10" s="46">
        <f ca="1">SUM(I3:I11)</f>
        <v>70769.535679499983</v>
      </c>
      <c r="M10" s="50">
        <f ca="1">SUM(I12:I44)</f>
        <v>107673.81829393002</v>
      </c>
      <c r="N10" s="53">
        <f ca="1">SUM(I45:I72)</f>
        <v>621463.93614200002</v>
      </c>
      <c r="O10" s="46">
        <f ca="1">SUM(I73:I88)</f>
        <v>334937.73878110002</v>
      </c>
      <c r="P10" s="56"/>
      <c r="Q10" s="57">
        <f ca="1">SUM(I89:I136)</f>
        <v>288392.328673115</v>
      </c>
      <c r="R10" s="53">
        <f ca="1">SUM(I137:I144)</f>
        <v>140367.90537000002</v>
      </c>
      <c r="S10" s="56"/>
      <c r="T10" s="46">
        <f ca="1">SUM(I145:I152)</f>
        <v>61616.5697</v>
      </c>
      <c r="U10" s="46">
        <f ca="1">SUM(I155:I162)</f>
        <v>0</v>
      </c>
      <c r="V10" s="56"/>
      <c r="W10" s="53">
        <f ca="1">SUM(I153:I286)</f>
        <v>76801.41</v>
      </c>
      <c r="X10" s="57">
        <f ca="1">SUM(I287:I297)</f>
        <v>108576.16358399998</v>
      </c>
      <c r="Y10" s="46">
        <f ca="1">SUM(L10:X10)</f>
        <v>1810599.4062236452</v>
      </c>
      <c r="Z10" s="4"/>
      <c r="AA10" s="4"/>
      <c r="AB10" s="4"/>
      <c r="AC10" s="4"/>
      <c r="AD10" s="4"/>
    </row>
    <row r="11" spans="1:30" ht="19.5" customHeight="1">
      <c r="A11" s="7" t="str">
        <f ca="1">IFERROR(__xludf.DUMMYFUNCTION("""COMPUTED_VALUE"""),"ti-ing-b38390e4-8c11-4339-8209-7a310643c3be")</f>
        <v>ti-ing-b38390e4-8c11-4339-8209-7a310643c3be</v>
      </c>
      <c r="B11" s="7" t="str">
        <f ca="1">IFERROR(__xludf.DUMMYFUNCTION("""COMPUTED_VALUE"""),"Vinagre")</f>
        <v>Vinagre</v>
      </c>
      <c r="C11" s="48">
        <v>0</v>
      </c>
      <c r="D11" s="52">
        <f ca="1">IFERROR(__xludf.DUMMYFUNCTION("""COMPUTED_VALUE"""),593)</f>
        <v>593</v>
      </c>
      <c r="E11" s="7" t="str">
        <f ca="1">IFERROR(__xludf.DUMMYFUNCTION("""COMPUTED_VALUE"""),"UN")</f>
        <v>UN</v>
      </c>
      <c r="F11" s="7" t="str">
        <f ca="1">IFERROR(__xludf.DUMMYFUNCTION("""COMPUTED_VALUE"""),"Abarrotes")</f>
        <v>Abarrotes</v>
      </c>
      <c r="G11" s="49">
        <f t="shared" ca="1" si="0"/>
        <v>0</v>
      </c>
      <c r="H11" s="49">
        <f t="shared" ca="1" si="1"/>
        <v>0</v>
      </c>
      <c r="I11" s="49">
        <f t="shared" ca="1" si="2"/>
        <v>0</v>
      </c>
      <c r="J11" s="15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9.5" customHeight="1">
      <c r="A12" s="7" t="str">
        <f ca="1">IFERROR(__xludf.DUMMYFUNCTION("""COMPUTED_VALUE"""),"ti-ing-f8ffedeb-44d6-400b-bef8-0b9c51a508a0")</f>
        <v>ti-ing-f8ffedeb-44d6-400b-bef8-0b9c51a508a0</v>
      </c>
      <c r="B12" s="7" t="str">
        <f ca="1">IFERROR(__xludf.DUMMYFUNCTION("""COMPUTED_VALUE"""),"ALCOHOL")</f>
        <v>ALCOHOL</v>
      </c>
      <c r="C12" s="48">
        <v>0</v>
      </c>
      <c r="D12" s="52">
        <f ca="1">IFERROR(__xludf.DUMMYFUNCTION("""COMPUTED_VALUE"""),2348.2)</f>
        <v>2348.1999999999998</v>
      </c>
      <c r="E12" s="7" t="str">
        <f ca="1">IFERROR(__xludf.DUMMYFUNCTION("""COMPUTED_VALUE"""),"UN")</f>
        <v>UN</v>
      </c>
      <c r="F12" s="7" t="str">
        <f ca="1">IFERROR(__xludf.DUMMYFUNCTION("""COMPUTED_VALUE"""),"Aseo")</f>
        <v>Aseo</v>
      </c>
      <c r="G12" s="49">
        <f t="shared" ca="1" si="0"/>
        <v>0</v>
      </c>
      <c r="H12" s="49">
        <f t="shared" ca="1" si="1"/>
        <v>0</v>
      </c>
      <c r="I12" s="49">
        <f t="shared" ca="1" si="2"/>
        <v>0</v>
      </c>
      <c r="J12" s="15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9.5" customHeight="1">
      <c r="A13" s="7" t="str">
        <f ca="1">IFERROR(__xludf.DUMMYFUNCTION("""COMPUTED_VALUE"""),"ti-ing-7607ac26-0154-48c7-a176-272daa456f7a")</f>
        <v>ti-ing-7607ac26-0154-48c7-a176-272daa456f7a</v>
      </c>
      <c r="B13" s="7" t="str">
        <f ca="1">IFERROR(__xludf.DUMMYFUNCTION("""COMPUTED_VALUE"""),"BOLSA BASURA CHICA (un)")</f>
        <v>BOLSA BASURA CHICA (un)</v>
      </c>
      <c r="C13" s="48">
        <v>19</v>
      </c>
      <c r="D13" s="52">
        <f ca="1">IFERROR(__xludf.DUMMYFUNCTION("""COMPUTED_VALUE"""),39)</f>
        <v>39</v>
      </c>
      <c r="E13" s="7" t="str">
        <f ca="1">IFERROR(__xludf.DUMMYFUNCTION("""COMPUTED_VALUE"""),"UN")</f>
        <v>UN</v>
      </c>
      <c r="F13" s="7" t="str">
        <f ca="1">IFERROR(__xludf.DUMMYFUNCTION("""COMPUTED_VALUE"""),"Aseo")</f>
        <v>Aseo</v>
      </c>
      <c r="G13" s="49">
        <f t="shared" ca="1" si="0"/>
        <v>741</v>
      </c>
      <c r="H13" s="49">
        <f t="shared" ca="1" si="1"/>
        <v>140.79</v>
      </c>
      <c r="I13" s="49">
        <f t="shared" ca="1" si="2"/>
        <v>881.79</v>
      </c>
      <c r="J13" s="15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9.5" customHeight="1">
      <c r="A14" s="7" t="str">
        <f ca="1">IFERROR(__xludf.DUMMYFUNCTION("""COMPUTED_VALUE"""),"ti-ing-32a0a1de-7d7a-48fa-8701-58015f10f3d8")</f>
        <v>ti-ing-32a0a1de-7d7a-48fa-8701-58015f10f3d8</v>
      </c>
      <c r="B14" s="7" t="str">
        <f ca="1">IFERROR(__xludf.DUMMYFUNCTION("""COMPUTED_VALUE"""),"BOLSA BASURA GRANDE (un)")</f>
        <v>BOLSA BASURA GRANDE (un)</v>
      </c>
      <c r="C14" s="48">
        <v>22</v>
      </c>
      <c r="D14" s="52">
        <f ca="1">IFERROR(__xludf.DUMMYFUNCTION("""COMPUTED_VALUE"""),391.1)</f>
        <v>391.1</v>
      </c>
      <c r="E14" s="7" t="str">
        <f ca="1">IFERROR(__xludf.DUMMYFUNCTION("""COMPUTED_VALUE"""),"UN")</f>
        <v>UN</v>
      </c>
      <c r="F14" s="7" t="str">
        <f ca="1">IFERROR(__xludf.DUMMYFUNCTION("""COMPUTED_VALUE"""),"Aseo")</f>
        <v>Aseo</v>
      </c>
      <c r="G14" s="49">
        <f t="shared" ca="1" si="0"/>
        <v>8604.2000000000007</v>
      </c>
      <c r="H14" s="49">
        <f t="shared" ca="1" si="1"/>
        <v>1634.7980000000002</v>
      </c>
      <c r="I14" s="49">
        <f t="shared" ca="1" si="2"/>
        <v>10238.998000000001</v>
      </c>
      <c r="J14" s="15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9.5" customHeight="1">
      <c r="A15" s="7" t="str">
        <f ca="1">IFERROR(__xludf.DUMMYFUNCTION("""COMPUTED_VALUE"""),"ti-ing-b56c8191-87a4-414c-8649-692ed6f88304")</f>
        <v>ti-ing-b56c8191-87a4-414c-8649-692ed6f88304</v>
      </c>
      <c r="B15" s="7" t="str">
        <f ca="1">IFERROR(__xludf.DUMMYFUNCTION("""COMPUTED_VALUE"""),"BOLSA BASURA MEDIANA (un)")</f>
        <v>BOLSA BASURA MEDIANA (un)</v>
      </c>
      <c r="C15" s="48">
        <v>20</v>
      </c>
      <c r="D15" s="52">
        <f ca="1">IFERROR(__xludf.DUMMYFUNCTION("""COMPUTED_VALUE"""),74.8)</f>
        <v>74.8</v>
      </c>
      <c r="E15" s="7" t="str">
        <f ca="1">IFERROR(__xludf.DUMMYFUNCTION("""COMPUTED_VALUE"""),"UN")</f>
        <v>UN</v>
      </c>
      <c r="F15" s="7" t="str">
        <f ca="1">IFERROR(__xludf.DUMMYFUNCTION("""COMPUTED_VALUE"""),"Aseo")</f>
        <v>Aseo</v>
      </c>
      <c r="G15" s="49">
        <f t="shared" ca="1" si="0"/>
        <v>1496</v>
      </c>
      <c r="H15" s="49">
        <f t="shared" ca="1" si="1"/>
        <v>284.24</v>
      </c>
      <c r="I15" s="49">
        <f t="shared" ca="1" si="2"/>
        <v>1780.24</v>
      </c>
      <c r="J15" s="1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9.5" customHeight="1">
      <c r="A16" s="7" t="str">
        <f ca="1">IFERROR(__xludf.DUMMYFUNCTION("""COMPUTED_VALUE"""),"ti-ing-dbb6ae46-9301-4b24-b966-4b4c02ecbb20")</f>
        <v>ti-ing-dbb6ae46-9301-4b24-b966-4b4c02ecbb20</v>
      </c>
      <c r="B16" s="7" t="str">
        <f ca="1">IFERROR(__xludf.DUMMYFUNCTION("""COMPUTED_VALUE"""),"Cafiza2")</f>
        <v>Cafiza2</v>
      </c>
      <c r="C16" s="48">
        <v>0.09</v>
      </c>
      <c r="D16" s="52">
        <f ca="1">IFERROR(__xludf.DUMMYFUNCTION("""COMPUTED_VALUE"""),19328)</f>
        <v>19328</v>
      </c>
      <c r="E16" s="7" t="str">
        <f ca="1">IFERROR(__xludf.DUMMYFUNCTION("""COMPUTED_VALUE"""),"KG")</f>
        <v>KG</v>
      </c>
      <c r="F16" s="7" t="str">
        <f ca="1">IFERROR(__xludf.DUMMYFUNCTION("""COMPUTED_VALUE"""),"Aseo")</f>
        <v>Aseo</v>
      </c>
      <c r="G16" s="49">
        <f t="shared" ca="1" si="0"/>
        <v>1739.52</v>
      </c>
      <c r="H16" s="49">
        <f t="shared" ca="1" si="1"/>
        <v>330.50880000000001</v>
      </c>
      <c r="I16" s="49">
        <f t="shared" ca="1" si="2"/>
        <v>2070.0288</v>
      </c>
      <c r="J16" s="1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9.5" customHeight="1">
      <c r="A17" s="7" t="str">
        <f ca="1">IFERROR(__xludf.DUMMYFUNCTION("""COMPUTED_VALUE"""),"ti-ing-addf5a00-64be-48da-80f1-f963e13357c9")</f>
        <v>ti-ing-addf5a00-64be-48da-80f1-f963e13357c9</v>
      </c>
      <c r="B17" s="7" t="str">
        <f ca="1">IFERROR(__xludf.DUMMYFUNCTION("""COMPUTED_VALUE"""),"CLORO 5 LTS")</f>
        <v>CLORO 5 LTS</v>
      </c>
      <c r="C17" s="48">
        <v>12</v>
      </c>
      <c r="D17" s="52">
        <f ca="1">IFERROR(__xludf.DUMMYFUNCTION("""COMPUTED_VALUE"""),247)</f>
        <v>247</v>
      </c>
      <c r="E17" s="7" t="str">
        <f ca="1">IFERROR(__xludf.DUMMYFUNCTION("""COMPUTED_VALUE"""),"LT")</f>
        <v>LT</v>
      </c>
      <c r="F17" s="7" t="str">
        <f ca="1">IFERROR(__xludf.DUMMYFUNCTION("""COMPUTED_VALUE"""),"Aseo")</f>
        <v>Aseo</v>
      </c>
      <c r="G17" s="49">
        <f t="shared" ca="1" si="0"/>
        <v>2964</v>
      </c>
      <c r="H17" s="49">
        <f t="shared" ca="1" si="1"/>
        <v>563.16</v>
      </c>
      <c r="I17" s="49">
        <f t="shared" ca="1" si="2"/>
        <v>3527.16</v>
      </c>
      <c r="J17" s="1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9.5" customHeight="1">
      <c r="A18" s="7" t="str">
        <f ca="1">IFERROR(__xludf.DUMMYFUNCTION("""COMPUTED_VALUE"""),"ti-ing-04d39eaa-25ae-4aa0-b31a-7ca9c1ec8bc0")</f>
        <v>ti-ing-04d39eaa-25ae-4aa0-b31a-7ca9c1ec8bc0</v>
      </c>
      <c r="B18" s="7" t="str">
        <f ca="1">IFERROR(__xludf.DUMMYFUNCTION("""COMPUTED_VALUE"""),"CLORO GEL")</f>
        <v>CLORO GEL</v>
      </c>
      <c r="C18" s="48">
        <v>0</v>
      </c>
      <c r="D18" s="52">
        <f ca="1">IFERROR(__xludf.DUMMYFUNCTION("""COMPUTED_VALUE"""),1250)</f>
        <v>1250</v>
      </c>
      <c r="E18" s="7" t="str">
        <f ca="1">IFERROR(__xludf.DUMMYFUNCTION("""COMPUTED_VALUE"""),"LT")</f>
        <v>LT</v>
      </c>
      <c r="F18" s="7" t="str">
        <f ca="1">IFERROR(__xludf.DUMMYFUNCTION("""COMPUTED_VALUE"""),"Aseo")</f>
        <v>Aseo</v>
      </c>
      <c r="G18" s="49">
        <f t="shared" ca="1" si="0"/>
        <v>0</v>
      </c>
      <c r="H18" s="49">
        <f t="shared" ca="1" si="1"/>
        <v>0</v>
      </c>
      <c r="I18" s="49">
        <f t="shared" ca="1" si="2"/>
        <v>0</v>
      </c>
      <c r="J18" s="1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9.5" customHeight="1">
      <c r="A19" s="7" t="str">
        <f ca="1">IFERROR(__xludf.DUMMYFUNCTION("""COMPUTED_VALUE"""),"ti-ing-2a9f7a04-ff9b-4634-9f27-edac618856d6")</f>
        <v>ti-ing-2a9f7a04-ff9b-4634-9f27-edac618856d6</v>
      </c>
      <c r="B19" s="7" t="str">
        <f ca="1">IFERROR(__xludf.DUMMYFUNCTION("""COMPUTED_VALUE"""),"DESENGRASANTE 5 lt")</f>
        <v>DESENGRASANTE 5 lt</v>
      </c>
      <c r="C19" s="48">
        <v>1</v>
      </c>
      <c r="D19" s="52">
        <f ca="1">IFERROR(__xludf.DUMMYFUNCTION("""COMPUTED_VALUE"""),658.8)</f>
        <v>658.8</v>
      </c>
      <c r="E19" s="7" t="str">
        <f ca="1">IFERROR(__xludf.DUMMYFUNCTION("""COMPUTED_VALUE"""),"LT")</f>
        <v>LT</v>
      </c>
      <c r="F19" s="7" t="str">
        <f ca="1">IFERROR(__xludf.DUMMYFUNCTION("""COMPUTED_VALUE"""),"Aseo")</f>
        <v>Aseo</v>
      </c>
      <c r="G19" s="49">
        <f t="shared" ca="1" si="0"/>
        <v>658.8</v>
      </c>
      <c r="H19" s="49">
        <f t="shared" ca="1" si="1"/>
        <v>125.172</v>
      </c>
      <c r="I19" s="49">
        <f t="shared" ca="1" si="2"/>
        <v>783.97199999999998</v>
      </c>
      <c r="J19" s="1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9.5" customHeight="1">
      <c r="A20" s="7" t="str">
        <f ca="1">IFERROR(__xludf.DUMMYFUNCTION("""COMPUTED_VALUE"""),"ti-ing-e0ae8367-512a-46da-9188-edb6aed9ccac")</f>
        <v>ti-ing-e0ae8367-512a-46da-9188-edb6aed9ccac</v>
      </c>
      <c r="B20" s="7" t="str">
        <f ca="1">IFERROR(__xludf.DUMMYFUNCTION("""COMPUTED_VALUE"""),"ESCOBA")</f>
        <v>ESCOBA</v>
      </c>
      <c r="C20" s="48">
        <v>7</v>
      </c>
      <c r="D20" s="52">
        <f ca="1">IFERROR(__xludf.DUMMYFUNCTION("""COMPUTED_VALUE"""),1250)</f>
        <v>1250</v>
      </c>
      <c r="E20" s="7" t="str">
        <f ca="1">IFERROR(__xludf.DUMMYFUNCTION("""COMPUTED_VALUE"""),"UN")</f>
        <v>UN</v>
      </c>
      <c r="F20" s="7" t="str">
        <f ca="1">IFERROR(__xludf.DUMMYFUNCTION("""COMPUTED_VALUE"""),"Aseo")</f>
        <v>Aseo</v>
      </c>
      <c r="G20" s="49">
        <f t="shared" ca="1" si="0"/>
        <v>8750</v>
      </c>
      <c r="H20" s="49">
        <f t="shared" ca="1" si="1"/>
        <v>1662.5</v>
      </c>
      <c r="I20" s="49">
        <f t="shared" ca="1" si="2"/>
        <v>10412.5</v>
      </c>
      <c r="J20" s="1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9.5" customHeight="1">
      <c r="A21" s="7" t="str">
        <f ca="1">IFERROR(__xludf.DUMMYFUNCTION("""COMPUTED_VALUE"""),"ti-ing-102eb718-4b52-41a7-9529-6a535c4ceb37")</f>
        <v>ti-ing-102eb718-4b52-41a7-9529-6a535c4ceb37</v>
      </c>
      <c r="B21" s="7" t="str">
        <f ca="1">IFERROR(__xludf.DUMMYFUNCTION("""COMPUTED_VALUE"""),"ESPONJAS AMARILLAS")</f>
        <v>ESPONJAS AMARILLAS</v>
      </c>
      <c r="C21" s="48">
        <v>4</v>
      </c>
      <c r="D21" s="52">
        <f ca="1">IFERROR(__xludf.DUMMYFUNCTION("""COMPUTED_VALUE"""),149)</f>
        <v>149</v>
      </c>
      <c r="E21" s="7" t="str">
        <f ca="1">IFERROR(__xludf.DUMMYFUNCTION("""COMPUTED_VALUE"""),"UN")</f>
        <v>UN</v>
      </c>
      <c r="F21" s="7" t="str">
        <f ca="1">IFERROR(__xludf.DUMMYFUNCTION("""COMPUTED_VALUE"""),"Aseo")</f>
        <v>Aseo</v>
      </c>
      <c r="G21" s="49">
        <f t="shared" ca="1" si="0"/>
        <v>596</v>
      </c>
      <c r="H21" s="49">
        <f t="shared" ca="1" si="1"/>
        <v>113.24</v>
      </c>
      <c r="I21" s="49">
        <f t="shared" ca="1" si="2"/>
        <v>709.24</v>
      </c>
      <c r="J21" s="1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9.5" customHeight="1">
      <c r="A22" s="7" t="str">
        <f ca="1">IFERROR(__xludf.DUMMYFUNCTION("""COMPUTED_VALUE"""),"ti-ing-0c760711-4885-4c8f-b5d5-6615e29d0673")</f>
        <v>ti-ing-0c760711-4885-4c8f-b5d5-6615e29d0673</v>
      </c>
      <c r="B22" s="7" t="str">
        <f ca="1">IFERROR(__xludf.DUMMYFUNCTION("""COMPUTED_VALUE"""),"GUANTES AMARILLOS L")</f>
        <v>GUANTES AMARILLOS L</v>
      </c>
      <c r="C22" s="48">
        <v>1</v>
      </c>
      <c r="D22" s="52">
        <f ca="1">IFERROR(__xludf.DUMMYFUNCTION("""COMPUTED_VALUE"""),495)</f>
        <v>495</v>
      </c>
      <c r="E22" s="7" t="str">
        <f ca="1">IFERROR(__xludf.DUMMYFUNCTION("""COMPUTED_VALUE"""),"UN")</f>
        <v>UN</v>
      </c>
      <c r="F22" s="7" t="str">
        <f ca="1">IFERROR(__xludf.DUMMYFUNCTION("""COMPUTED_VALUE"""),"Aseo")</f>
        <v>Aseo</v>
      </c>
      <c r="G22" s="49">
        <f t="shared" ca="1" si="0"/>
        <v>495</v>
      </c>
      <c r="H22" s="49">
        <f t="shared" ca="1" si="1"/>
        <v>94.05</v>
      </c>
      <c r="I22" s="49">
        <f t="shared" ca="1" si="2"/>
        <v>589.04999999999995</v>
      </c>
      <c r="J22" s="1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9.5" customHeight="1">
      <c r="A23" s="7" t="str">
        <f ca="1">IFERROR(__xludf.DUMMYFUNCTION("""COMPUTED_VALUE"""),"ti-ing-7fc47597-0e5d-46f8-a43c-94faaa1daf88")</f>
        <v>ti-ing-7fc47597-0e5d-46f8-a43c-94faaa1daf88</v>
      </c>
      <c r="B23" s="7" t="str">
        <f ca="1">IFERROR(__xludf.DUMMYFUNCTION("""COMPUTED_VALUE"""),"GUANTES AMARILLOS M")</f>
        <v>GUANTES AMARILLOS M</v>
      </c>
      <c r="C23" s="48">
        <v>0</v>
      </c>
      <c r="D23" s="52">
        <f ca="1">IFERROR(__xludf.DUMMYFUNCTION("""COMPUTED_VALUE"""),495)</f>
        <v>495</v>
      </c>
      <c r="E23" s="7" t="str">
        <f ca="1">IFERROR(__xludf.DUMMYFUNCTION("""COMPUTED_VALUE"""),"UN")</f>
        <v>UN</v>
      </c>
      <c r="F23" s="7" t="str">
        <f ca="1">IFERROR(__xludf.DUMMYFUNCTION("""COMPUTED_VALUE"""),"Aseo")</f>
        <v>Aseo</v>
      </c>
      <c r="G23" s="49">
        <f t="shared" ca="1" si="0"/>
        <v>0</v>
      </c>
      <c r="H23" s="49">
        <f t="shared" ca="1" si="1"/>
        <v>0</v>
      </c>
      <c r="I23" s="49">
        <f t="shared" ca="1" si="2"/>
        <v>0</v>
      </c>
      <c r="J23" s="1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9.5" customHeight="1">
      <c r="A24" s="7" t="str">
        <f ca="1">IFERROR(__xludf.DUMMYFUNCTION("""COMPUTED_VALUE"""),"ti-ing-fefd1f5b-c7c3-4780-83fd-7e625942b766")</f>
        <v>ti-ing-fefd1f5b-c7c3-4780-83fd-7e625942b766</v>
      </c>
      <c r="B24" s="7" t="str">
        <f ca="1">IFERROR(__xludf.DUMMYFUNCTION("""COMPUTED_VALUE"""),"GUANTES AMARILLOS S")</f>
        <v>GUANTES AMARILLOS S</v>
      </c>
      <c r="C24" s="48">
        <v>0</v>
      </c>
      <c r="D24" s="52">
        <f ca="1">IFERROR(__xludf.DUMMYFUNCTION("""COMPUTED_VALUE"""),450)</f>
        <v>450</v>
      </c>
      <c r="E24" s="7" t="str">
        <f ca="1">IFERROR(__xludf.DUMMYFUNCTION("""COMPUTED_VALUE"""),"UN")</f>
        <v>UN</v>
      </c>
      <c r="F24" s="7" t="str">
        <f ca="1">IFERROR(__xludf.DUMMYFUNCTION("""COMPUTED_VALUE"""),"Aseo")</f>
        <v>Aseo</v>
      </c>
      <c r="G24" s="49">
        <f t="shared" ca="1" si="0"/>
        <v>0</v>
      </c>
      <c r="H24" s="49">
        <f t="shared" ca="1" si="1"/>
        <v>0</v>
      </c>
      <c r="I24" s="49">
        <f t="shared" ca="1" si="2"/>
        <v>0</v>
      </c>
      <c r="J24" s="1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9.5" customHeight="1">
      <c r="A25" s="7" t="str">
        <f ca="1">IFERROR(__xludf.DUMMYFUNCTION("""COMPUTED_VALUE"""),"ti-ing-04fc2068-57ca-42bc-bedb-ceda3e223def")</f>
        <v>ti-ing-04fc2068-57ca-42bc-bedb-ceda3e223def</v>
      </c>
      <c r="B25" s="7" t="str">
        <f ca="1">IFERROR(__xludf.DUMMYFUNCTION("""COMPUTED_VALUE"""),"Guantes De Látex L")</f>
        <v>Guantes De Látex L</v>
      </c>
      <c r="C25" s="48">
        <v>0</v>
      </c>
      <c r="D25" s="52">
        <f ca="1">IFERROR(__xludf.DUMMYFUNCTION("""COMPUTED_VALUE"""),3649.902)</f>
        <v>3649.902</v>
      </c>
      <c r="E25" s="7" t="str">
        <f ca="1">IFERROR(__xludf.DUMMYFUNCTION("""COMPUTED_VALUE"""),"UN")</f>
        <v>UN</v>
      </c>
      <c r="F25" s="7" t="str">
        <f ca="1">IFERROR(__xludf.DUMMYFUNCTION("""COMPUTED_VALUE"""),"Aseo")</f>
        <v>Aseo</v>
      </c>
      <c r="G25" s="49">
        <f t="shared" ca="1" si="0"/>
        <v>0</v>
      </c>
      <c r="H25" s="49">
        <f t="shared" ca="1" si="1"/>
        <v>0</v>
      </c>
      <c r="I25" s="49">
        <f t="shared" ca="1" si="2"/>
        <v>0</v>
      </c>
      <c r="J25" s="1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9.5" customHeight="1">
      <c r="A26" s="7" t="str">
        <f ca="1">IFERROR(__xludf.DUMMYFUNCTION("""COMPUTED_VALUE"""),"ti-ing-3c965e17-4bc3-453d-b74f-c682b54aeade")</f>
        <v>ti-ing-3c965e17-4bc3-453d-b74f-c682b54aeade</v>
      </c>
      <c r="B26" s="7" t="str">
        <f ca="1">IFERROR(__xludf.DUMMYFUNCTION("""COMPUTED_VALUE"""),"Guantes De Látex M")</f>
        <v>Guantes De Látex M</v>
      </c>
      <c r="C26" s="48">
        <v>0.6</v>
      </c>
      <c r="D26" s="52">
        <f ca="1">IFERROR(__xludf.DUMMYFUNCTION("""COMPUTED_VALUE"""),3650)</f>
        <v>3650</v>
      </c>
      <c r="E26" s="7" t="str">
        <f ca="1">IFERROR(__xludf.DUMMYFUNCTION("""COMPUTED_VALUE"""),"UN")</f>
        <v>UN</v>
      </c>
      <c r="F26" s="7" t="str">
        <f ca="1">IFERROR(__xludf.DUMMYFUNCTION("""COMPUTED_VALUE"""),"Aseo")</f>
        <v>Aseo</v>
      </c>
      <c r="G26" s="49">
        <f t="shared" ca="1" si="0"/>
        <v>2190</v>
      </c>
      <c r="H26" s="49">
        <f t="shared" ca="1" si="1"/>
        <v>416.1</v>
      </c>
      <c r="I26" s="49">
        <f t="shared" ca="1" si="2"/>
        <v>2606.1</v>
      </c>
      <c r="J26" s="1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9.5" customHeight="1">
      <c r="A27" s="7" t="str">
        <f ca="1">IFERROR(__xludf.DUMMYFUNCTION("""COMPUTED_VALUE"""),"ti-ing-a5847069-c85b-4a57-a415-7cf62066dedc")</f>
        <v>ti-ing-a5847069-c85b-4a57-a415-7cf62066dedc</v>
      </c>
      <c r="B27" s="7" t="str">
        <f ca="1">IFERROR(__xludf.DUMMYFUNCTION("""COMPUTED_VALUE"""),"Guantes De Látex S")</f>
        <v>Guantes De Látex S</v>
      </c>
      <c r="C27" s="48">
        <v>0</v>
      </c>
      <c r="D27" s="52">
        <f ca="1">IFERROR(__xludf.DUMMYFUNCTION("""COMPUTED_VALUE"""),3650)</f>
        <v>3650</v>
      </c>
      <c r="E27" s="7" t="str">
        <f ca="1">IFERROR(__xludf.DUMMYFUNCTION("""COMPUTED_VALUE"""),"un")</f>
        <v>un</v>
      </c>
      <c r="F27" s="7" t="str">
        <f ca="1">IFERROR(__xludf.DUMMYFUNCTION("""COMPUTED_VALUE"""),"Aseo")</f>
        <v>Aseo</v>
      </c>
      <c r="G27" s="49">
        <f t="shared" ca="1" si="0"/>
        <v>0</v>
      </c>
      <c r="H27" s="49">
        <f t="shared" ca="1" si="1"/>
        <v>0</v>
      </c>
      <c r="I27" s="49">
        <f t="shared" ca="1" si="2"/>
        <v>0</v>
      </c>
      <c r="J27" s="1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9.5" customHeight="1">
      <c r="A28" s="7" t="str">
        <f ca="1">IFERROR(__xludf.DUMMYFUNCTION("""COMPUTED_VALUE"""),"ti-ing-f1845df4-9dd0-4be9-9cda-4e9939c6c9a8")</f>
        <v>ti-ing-f1845df4-9dd0-4be9-9cda-4e9939c6c9a8</v>
      </c>
      <c r="B28" s="7" t="str">
        <f ca="1">IFERROR(__xludf.DUMMYFUNCTION("""COMPUTED_VALUE"""),"JABON BAÑO")</f>
        <v>JABON BAÑO</v>
      </c>
      <c r="C28" s="48">
        <v>0</v>
      </c>
      <c r="D28" s="52">
        <f ca="1">IFERROR(__xludf.DUMMYFUNCTION("""COMPUTED_VALUE"""),880)</f>
        <v>880</v>
      </c>
      <c r="E28" s="7" t="str">
        <f ca="1">IFERROR(__xludf.DUMMYFUNCTION("""COMPUTED_VALUE"""),"LT")</f>
        <v>LT</v>
      </c>
      <c r="F28" s="7" t="str">
        <f ca="1">IFERROR(__xludf.DUMMYFUNCTION("""COMPUTED_VALUE"""),"Aseo")</f>
        <v>Aseo</v>
      </c>
      <c r="G28" s="49">
        <f t="shared" ca="1" si="0"/>
        <v>0</v>
      </c>
      <c r="H28" s="49">
        <f t="shared" ca="1" si="1"/>
        <v>0</v>
      </c>
      <c r="I28" s="49">
        <f t="shared" ca="1" si="2"/>
        <v>0</v>
      </c>
      <c r="J28" s="1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9.5" customHeight="1">
      <c r="A29" s="7" t="str">
        <f ca="1">IFERROR(__xludf.DUMMYFUNCTION("""COMPUTED_VALUE"""),"ti-ing-90438c34-c1c8-455a-8b38-f56ab57f0e76")</f>
        <v>ti-ing-90438c34-c1c8-455a-8b38-f56ab57f0e76</v>
      </c>
      <c r="B29" s="7" t="str">
        <f ca="1">IFERROR(__xludf.DUMMYFUNCTION("""COMPUTED_VALUE"""),"LAVALOZAS")</f>
        <v>LAVALOZAS</v>
      </c>
      <c r="C29" s="48">
        <v>1</v>
      </c>
      <c r="D29" s="52">
        <f ca="1">IFERROR(__xludf.DUMMYFUNCTION("""COMPUTED_VALUE"""),381.6)</f>
        <v>381.6</v>
      </c>
      <c r="E29" s="7" t="str">
        <f ca="1">IFERROR(__xludf.DUMMYFUNCTION("""COMPUTED_VALUE"""),"LT")</f>
        <v>LT</v>
      </c>
      <c r="F29" s="7" t="str">
        <f ca="1">IFERROR(__xludf.DUMMYFUNCTION("""COMPUTED_VALUE"""),"Aseo")</f>
        <v>Aseo</v>
      </c>
      <c r="G29" s="49">
        <f t="shared" ca="1" si="0"/>
        <v>381.6</v>
      </c>
      <c r="H29" s="49">
        <f t="shared" ca="1" si="1"/>
        <v>72.504000000000005</v>
      </c>
      <c r="I29" s="49">
        <f t="shared" ca="1" si="2"/>
        <v>454.10400000000004</v>
      </c>
      <c r="J29" s="1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9.5" customHeight="1">
      <c r="A30" s="7" t="str">
        <f ca="1">IFERROR(__xludf.DUMMYFUNCTION("""COMPUTED_VALUE"""),"ti-ing-096ebcd5-904f-4e35-9378-181fe59b0c31")</f>
        <v>ti-ing-096ebcd5-904f-4e35-9378-181fe59b0c31</v>
      </c>
      <c r="B30" s="7" t="str">
        <f ca="1">IFERROR(__xludf.DUMMYFUNCTION("""COMPUTED_VALUE"""),"Limpiador Crema CIF 750g")</f>
        <v>Limpiador Crema CIF 750g</v>
      </c>
      <c r="C30" s="48">
        <v>0</v>
      </c>
      <c r="D30" s="52">
        <f ca="1">IFERROR(__xludf.DUMMYFUNCTION("""COMPUTED_VALUE"""),1522)</f>
        <v>1522</v>
      </c>
      <c r="E30" s="7" t="str">
        <f ca="1">IFERROR(__xludf.DUMMYFUNCTION("""COMPUTED_VALUE"""),"UN")</f>
        <v>UN</v>
      </c>
      <c r="F30" s="7" t="str">
        <f ca="1">IFERROR(__xludf.DUMMYFUNCTION("""COMPUTED_VALUE"""),"Aseo")</f>
        <v>Aseo</v>
      </c>
      <c r="G30" s="49">
        <f t="shared" ca="1" si="0"/>
        <v>0</v>
      </c>
      <c r="H30" s="49">
        <f t="shared" ca="1" si="1"/>
        <v>0</v>
      </c>
      <c r="I30" s="49">
        <f t="shared" ca="1" si="2"/>
        <v>0</v>
      </c>
      <c r="J30" s="1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9.5" customHeight="1">
      <c r="A31" s="7" t="str">
        <f ca="1">IFERROR(__xludf.DUMMYFUNCTION("""COMPUTED_VALUE"""),"ti-ing-87e4c4d7-978b-4106-9ff1-dda60dd75d70")</f>
        <v>ti-ing-87e4c4d7-978b-4106-9ff1-dda60dd75d70</v>
      </c>
      <c r="B31" s="7" t="str">
        <f ca="1">IFERROR(__xludf.DUMMYFUNCTION("""COMPUTED_VALUE"""),"LIMPIAPISOS")</f>
        <v>LIMPIAPISOS</v>
      </c>
      <c r="C31" s="48">
        <v>5</v>
      </c>
      <c r="D31" s="52">
        <f ca="1">IFERROR(__xludf.DUMMYFUNCTION("""COMPUTED_VALUE"""),284.1160494)</f>
        <v>284.11604940000001</v>
      </c>
      <c r="E31" s="7" t="str">
        <f ca="1">IFERROR(__xludf.DUMMYFUNCTION("""COMPUTED_VALUE"""),"LT")</f>
        <v>LT</v>
      </c>
      <c r="F31" s="7" t="str">
        <f ca="1">IFERROR(__xludf.DUMMYFUNCTION("""COMPUTED_VALUE"""),"Aseo")</f>
        <v>Aseo</v>
      </c>
      <c r="G31" s="49">
        <f t="shared" ca="1" si="0"/>
        <v>1420.5802470000001</v>
      </c>
      <c r="H31" s="49">
        <f t="shared" ca="1" si="1"/>
        <v>269.91024693000003</v>
      </c>
      <c r="I31" s="49">
        <f t="shared" ca="1" si="2"/>
        <v>1690.4904939300002</v>
      </c>
      <c r="J31" s="1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9.5" customHeight="1">
      <c r="A32" s="7" t="str">
        <f ca="1">IFERROR(__xludf.DUMMYFUNCTION("""COMPUTED_VALUE"""),"ti-ing-197c4981-e3d5-425b-b927-86de4c38a9b1")</f>
        <v>ti-ing-197c4981-e3d5-425b-b927-86de4c38a9b1</v>
      </c>
      <c r="B32" s="7" t="str">
        <f ca="1">IFERROR(__xludf.DUMMYFUNCTION("""COMPUTED_VALUE"""),"LIMPIAVIDRIOS")</f>
        <v>LIMPIAVIDRIOS</v>
      </c>
      <c r="C32" s="48">
        <v>5</v>
      </c>
      <c r="D32" s="52">
        <f ca="1">IFERROR(__xludf.DUMMYFUNCTION("""COMPUTED_VALUE"""),696.4)</f>
        <v>696.4</v>
      </c>
      <c r="E32" s="7" t="str">
        <f ca="1">IFERROR(__xludf.DUMMYFUNCTION("""COMPUTED_VALUE"""),"LT")</f>
        <v>LT</v>
      </c>
      <c r="F32" s="7" t="str">
        <f ca="1">IFERROR(__xludf.DUMMYFUNCTION("""COMPUTED_VALUE"""),"Aseo")</f>
        <v>Aseo</v>
      </c>
      <c r="G32" s="49">
        <f t="shared" ca="1" si="0"/>
        <v>3482</v>
      </c>
      <c r="H32" s="49">
        <f t="shared" ca="1" si="1"/>
        <v>661.58</v>
      </c>
      <c r="I32" s="49">
        <f t="shared" ca="1" si="2"/>
        <v>4143.58</v>
      </c>
      <c r="J32" s="1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9.5" customHeight="1">
      <c r="A33" s="7" t="str">
        <f ca="1">IFERROR(__xludf.DUMMYFUNCTION("""COMPUTED_VALUE"""),"ti-ing-9fcf899e-b43f-49a0-bfca-d4ca3181f761")</f>
        <v>ti-ing-9fcf899e-b43f-49a0-bfca-d4ca3181f761</v>
      </c>
      <c r="B33" s="7" t="str">
        <f ca="1">IFERROR(__xludf.DUMMYFUNCTION("""COMPUTED_VALUE"""),"LUSTRAMUEBLES")</f>
        <v>LUSTRAMUEBLES</v>
      </c>
      <c r="C33" s="48">
        <v>1</v>
      </c>
      <c r="D33" s="52">
        <f ca="1">IFERROR(__xludf.DUMMYFUNCTION("""COMPUTED_VALUE"""),893)</f>
        <v>893</v>
      </c>
      <c r="E33" s="7" t="str">
        <f ca="1">IFERROR(__xludf.DUMMYFUNCTION("""COMPUTED_VALUE"""),"UN")</f>
        <v>UN</v>
      </c>
      <c r="F33" s="7" t="str">
        <f ca="1">IFERROR(__xludf.DUMMYFUNCTION("""COMPUTED_VALUE"""),"Aseo")</f>
        <v>Aseo</v>
      </c>
      <c r="G33" s="49">
        <f t="shared" ca="1" si="0"/>
        <v>893</v>
      </c>
      <c r="H33" s="49">
        <f t="shared" ca="1" si="1"/>
        <v>169.67000000000002</v>
      </c>
      <c r="I33" s="49">
        <f t="shared" ca="1" si="2"/>
        <v>1062.67</v>
      </c>
      <c r="J33" s="1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9.5" customHeight="1">
      <c r="A34" s="7" t="str">
        <f ca="1">IFERROR(__xludf.DUMMYFUNCTION("""COMPUTED_VALUE"""),"ti-ing-af8029ba-0f08-420d-ae31-6cf6502d2e32")</f>
        <v>ti-ing-af8029ba-0f08-420d-ae31-6cf6502d2e32</v>
      </c>
      <c r="B34" s="7" t="str">
        <f ca="1">IFERROR(__xludf.DUMMYFUNCTION("""COMPUTED_VALUE"""),"Lysoform")</f>
        <v>Lysoform</v>
      </c>
      <c r="C34" s="48">
        <v>0</v>
      </c>
      <c r="D34" s="52">
        <f ca="1">IFERROR(__xludf.DUMMYFUNCTION("""COMPUTED_VALUE"""),2428)</f>
        <v>2428</v>
      </c>
      <c r="E34" s="7" t="str">
        <f ca="1">IFERROR(__xludf.DUMMYFUNCTION("""COMPUTED_VALUE"""),"UN")</f>
        <v>UN</v>
      </c>
      <c r="F34" s="7" t="str">
        <f ca="1">IFERROR(__xludf.DUMMYFUNCTION("""COMPUTED_VALUE"""),"Aseo")</f>
        <v>Aseo</v>
      </c>
      <c r="G34" s="49">
        <f t="shared" ca="1" si="0"/>
        <v>0</v>
      </c>
      <c r="H34" s="49">
        <f t="shared" ca="1" si="1"/>
        <v>0</v>
      </c>
      <c r="I34" s="49">
        <f t="shared" ca="1" si="2"/>
        <v>0</v>
      </c>
      <c r="J34" s="15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9.5" customHeight="1">
      <c r="A35" s="7" t="str">
        <f ca="1">IFERROR(__xludf.DUMMYFUNCTION("""COMPUTED_VALUE"""),"ti-ing-64301c86-8657-4a60-9738-54b3f81ead5a")</f>
        <v>ti-ing-64301c86-8657-4a60-9738-54b3f81ead5a</v>
      </c>
      <c r="B35" s="7" t="str">
        <f ca="1">IFERROR(__xludf.DUMMYFUNCTION("""COMPUTED_VALUE"""),"MALLAS DE PELO (100un)")</f>
        <v>MALLAS DE PELO (100un)</v>
      </c>
      <c r="C35" s="48">
        <v>1</v>
      </c>
      <c r="D35" s="52">
        <f ca="1">IFERROR(__xludf.DUMMYFUNCTION("""COMPUTED_VALUE"""),1529)</f>
        <v>1529</v>
      </c>
      <c r="E35" s="7" t="str">
        <f ca="1">IFERROR(__xludf.DUMMYFUNCTION("""COMPUTED_VALUE"""),"UN")</f>
        <v>UN</v>
      </c>
      <c r="F35" s="7" t="str">
        <f ca="1">IFERROR(__xludf.DUMMYFUNCTION("""COMPUTED_VALUE"""),"Aseo")</f>
        <v>Aseo</v>
      </c>
      <c r="G35" s="49">
        <f t="shared" ca="1" si="0"/>
        <v>1529</v>
      </c>
      <c r="H35" s="49">
        <f t="shared" ca="1" si="1"/>
        <v>290.51</v>
      </c>
      <c r="I35" s="49">
        <f t="shared" ca="1" si="2"/>
        <v>1819.51</v>
      </c>
      <c r="J35" s="15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9.5" customHeight="1">
      <c r="A36" s="7" t="str">
        <f ca="1">IFERROR(__xludf.DUMMYFUNCTION("""COMPUTED_VALUE"""),"ti-ing-242bf6e9-d5c5-47e7-8f0a-88f3cbbcc3af")</f>
        <v>ti-ing-242bf6e9-d5c5-47e7-8f0a-88f3cbbcc3af</v>
      </c>
      <c r="B36" s="7" t="str">
        <f ca="1">IFERROR(__xludf.DUMMYFUNCTION("""COMPUTED_VALUE"""),"Mascarillas")</f>
        <v>Mascarillas</v>
      </c>
      <c r="C36" s="48">
        <v>4</v>
      </c>
      <c r="D36" s="52">
        <f ca="1">IFERROR(__xludf.DUMMYFUNCTION("""COMPUTED_VALUE"""),1350)</f>
        <v>1350</v>
      </c>
      <c r="E36" s="7" t="str">
        <f ca="1">IFERROR(__xludf.DUMMYFUNCTION("""COMPUTED_VALUE"""),"UN")</f>
        <v>UN</v>
      </c>
      <c r="F36" s="7" t="str">
        <f ca="1">IFERROR(__xludf.DUMMYFUNCTION("""COMPUTED_VALUE"""),"Aseo")</f>
        <v>Aseo</v>
      </c>
      <c r="G36" s="49">
        <f t="shared" ca="1" si="0"/>
        <v>5400</v>
      </c>
      <c r="H36" s="49">
        <f t="shared" ca="1" si="1"/>
        <v>1026</v>
      </c>
      <c r="I36" s="49">
        <f t="shared" ca="1" si="2"/>
        <v>6426</v>
      </c>
      <c r="J36" s="15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9.5" customHeight="1">
      <c r="A37" s="7" t="str">
        <f ca="1">IFERROR(__xludf.DUMMYFUNCTION("""COMPUTED_VALUE"""),"ti-ing-313073f4-b1b1-442d-b077-951f3ce67b06")</f>
        <v>ti-ing-313073f4-b1b1-442d-b077-951f3ce67b06</v>
      </c>
      <c r="B37" s="7" t="str">
        <f ca="1">IFERROR(__xludf.DUMMYFUNCTION("""COMPUTED_VALUE"""),"NOVA Unidad")</f>
        <v>NOVA Unidad</v>
      </c>
      <c r="C37" s="48">
        <v>5</v>
      </c>
      <c r="D37" s="52">
        <f ca="1">IFERROR(__xludf.DUMMYFUNCTION("""COMPUTED_VALUE"""),2735)</f>
        <v>2735</v>
      </c>
      <c r="E37" s="7" t="str">
        <f ca="1">IFERROR(__xludf.DUMMYFUNCTION("""COMPUTED_VALUE"""),"UN")</f>
        <v>UN</v>
      </c>
      <c r="F37" s="7" t="str">
        <f ca="1">IFERROR(__xludf.DUMMYFUNCTION("""COMPUTED_VALUE"""),"Aseo")</f>
        <v>Aseo</v>
      </c>
      <c r="G37" s="49">
        <f t="shared" ca="1" si="0"/>
        <v>13675</v>
      </c>
      <c r="H37" s="49">
        <f t="shared" ca="1" si="1"/>
        <v>2598.25</v>
      </c>
      <c r="I37" s="49">
        <f t="shared" ca="1" si="2"/>
        <v>16273.25</v>
      </c>
      <c r="J37" s="15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9.5" customHeight="1">
      <c r="A38" s="7" t="str">
        <f ca="1">IFERROR(__xludf.DUMMYFUNCTION("""COMPUTED_VALUE"""),"ti-ing-f2a85135-486f-455a-9223-1092ccd4e7cd")</f>
        <v>ti-ing-f2a85135-486f-455a-9223-1092ccd4e7cd</v>
      </c>
      <c r="B38" s="7" t="str">
        <f ca="1">IFERROR(__xludf.DUMMYFUNCTION("""COMPUTED_VALUE"""),"PALA")</f>
        <v>PALA</v>
      </c>
      <c r="C38" s="48">
        <v>5</v>
      </c>
      <c r="D38" s="52">
        <f ca="1">IFERROR(__xludf.DUMMYFUNCTION("""COMPUTED_VALUE"""),1165)</f>
        <v>1165</v>
      </c>
      <c r="E38" s="7" t="str">
        <f ca="1">IFERROR(__xludf.DUMMYFUNCTION("""COMPUTED_VALUE"""),"UN")</f>
        <v>UN</v>
      </c>
      <c r="F38" s="7" t="str">
        <f ca="1">IFERROR(__xludf.DUMMYFUNCTION("""COMPUTED_VALUE"""),"Aseo")</f>
        <v>Aseo</v>
      </c>
      <c r="G38" s="49">
        <f t="shared" ca="1" si="0"/>
        <v>5825</v>
      </c>
      <c r="H38" s="49">
        <f t="shared" ca="1" si="1"/>
        <v>1106.75</v>
      </c>
      <c r="I38" s="49">
        <f t="shared" ca="1" si="2"/>
        <v>6931.75</v>
      </c>
      <c r="J38" s="15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9.5" customHeight="1">
      <c r="A39" s="7" t="str">
        <f ca="1">IFERROR(__xludf.DUMMYFUNCTION("""COMPUTED_VALUE"""),"ti-ing-a496bcbe-0906-4bd7-90be-10085697981e")</f>
        <v>ti-ing-a496bcbe-0906-4bd7-90be-10085697981e</v>
      </c>
      <c r="B39" s="7" t="str">
        <f ca="1">IFERROR(__xludf.DUMMYFUNCTION("""COMPUTED_VALUE"""),"Paño microfibra")</f>
        <v>Paño microfibra</v>
      </c>
      <c r="C39" s="48">
        <v>16</v>
      </c>
      <c r="D39" s="52">
        <f ca="1">IFERROR(__xludf.DUMMYFUNCTION("""COMPUTED_VALUE"""),650)</f>
        <v>650</v>
      </c>
      <c r="E39" s="7" t="str">
        <f ca="1">IFERROR(__xludf.DUMMYFUNCTION("""COMPUTED_VALUE"""),"UN")</f>
        <v>UN</v>
      </c>
      <c r="F39" s="7" t="str">
        <f ca="1">IFERROR(__xludf.DUMMYFUNCTION("""COMPUTED_VALUE"""),"Aseo")</f>
        <v>Aseo</v>
      </c>
      <c r="G39" s="49">
        <f t="shared" ca="1" si="0"/>
        <v>10400</v>
      </c>
      <c r="H39" s="49">
        <f t="shared" ca="1" si="1"/>
        <v>1976</v>
      </c>
      <c r="I39" s="49">
        <f t="shared" ca="1" si="2"/>
        <v>12376</v>
      </c>
      <c r="J39" s="15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9.5" customHeight="1">
      <c r="A40" s="7" t="str">
        <f ca="1">IFERROR(__xludf.DUMMYFUNCTION("""COMPUTED_VALUE"""),"ti-ing-71ad4a79-597d-4cd3-85f8-8c113261d29e")</f>
        <v>ti-ing-71ad4a79-597d-4cd3-85f8-8c113261d29e</v>
      </c>
      <c r="B40" s="7" t="str">
        <f ca="1">IFERROR(__xludf.DUMMYFUNCTION("""COMPUTED_VALUE"""),"PAÑOS AMARILLOS")</f>
        <v>PAÑOS AMARILLOS</v>
      </c>
      <c r="C40" s="48">
        <v>0</v>
      </c>
      <c r="D40" s="52">
        <f ca="1">IFERROR(__xludf.DUMMYFUNCTION("""COMPUTED_VALUE"""),185)</f>
        <v>185</v>
      </c>
      <c r="E40" s="7" t="str">
        <f ca="1">IFERROR(__xludf.DUMMYFUNCTION("""COMPUTED_VALUE"""),"UN")</f>
        <v>UN</v>
      </c>
      <c r="F40" s="7" t="str">
        <f ca="1">IFERROR(__xludf.DUMMYFUNCTION("""COMPUTED_VALUE"""),"Aseo")</f>
        <v>Aseo</v>
      </c>
      <c r="G40" s="49">
        <f t="shared" ca="1" si="0"/>
        <v>0</v>
      </c>
      <c r="H40" s="49">
        <f t="shared" ca="1" si="1"/>
        <v>0</v>
      </c>
      <c r="I40" s="49">
        <f t="shared" ca="1" si="2"/>
        <v>0</v>
      </c>
      <c r="J40" s="15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9.5" customHeight="1">
      <c r="A41" s="7" t="str">
        <f ca="1">IFERROR(__xludf.DUMMYFUNCTION("""COMPUTED_VALUE"""),"ti-ing-adaa762a-98c1-4bd8-8d7f-d256999a6d54")</f>
        <v>ti-ing-adaa762a-98c1-4bd8-8d7f-d256999a6d54</v>
      </c>
      <c r="B41" s="7" t="str">
        <f ca="1">IFERROR(__xludf.DUMMYFUNCTION("""COMPUTED_VALUE"""),"PAPEL HIGUIENICO UN")</f>
        <v>PAPEL HIGUIENICO UN</v>
      </c>
      <c r="C41" s="48">
        <v>6</v>
      </c>
      <c r="D41" s="52">
        <f ca="1">IFERROR(__xludf.DUMMYFUNCTION("""COMPUTED_VALUE"""),1676.25)</f>
        <v>1676.25</v>
      </c>
      <c r="E41" s="7" t="str">
        <f ca="1">IFERROR(__xludf.DUMMYFUNCTION("""COMPUTED_VALUE"""),"UN")</f>
        <v>UN</v>
      </c>
      <c r="F41" s="7" t="str">
        <f ca="1">IFERROR(__xludf.DUMMYFUNCTION("""COMPUTED_VALUE"""),"Aseo")</f>
        <v>Aseo</v>
      </c>
      <c r="G41" s="49">
        <f t="shared" ca="1" si="0"/>
        <v>10057.5</v>
      </c>
      <c r="H41" s="49">
        <f t="shared" ca="1" si="1"/>
        <v>1910.925</v>
      </c>
      <c r="I41" s="49">
        <f t="shared" ca="1" si="2"/>
        <v>11968.424999999999</v>
      </c>
      <c r="J41" s="15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9.5" customHeight="1">
      <c r="A42" s="7" t="str">
        <f ca="1">IFERROR(__xludf.DUMMYFUNCTION("""COMPUTED_VALUE"""),"ti-ing-02407d3a-e36e-410d-8c91-3e98a395ccac")</f>
        <v>ti-ing-02407d3a-e36e-410d-8c91-3e98a395ccac</v>
      </c>
      <c r="B42" s="7" t="str">
        <f ca="1">IFERROR(__xludf.DUMMYFUNCTION("""COMPUTED_VALUE"""),"Rinza")</f>
        <v>Rinza</v>
      </c>
      <c r="C42" s="48">
        <v>0</v>
      </c>
      <c r="D42" s="52">
        <f ca="1">IFERROR(__xludf.DUMMYFUNCTION("""COMPUTED_VALUE"""),27731)</f>
        <v>27731</v>
      </c>
      <c r="E42" s="7" t="str">
        <f ca="1">IFERROR(__xludf.DUMMYFUNCTION("""COMPUTED_VALUE"""),"UN")</f>
        <v>UN</v>
      </c>
      <c r="F42" s="7" t="str">
        <f ca="1">IFERROR(__xludf.DUMMYFUNCTION("""COMPUTED_VALUE"""),"Aseo")</f>
        <v>Aseo</v>
      </c>
      <c r="G42" s="49">
        <f t="shared" ca="1" si="0"/>
        <v>0</v>
      </c>
      <c r="H42" s="49">
        <f t="shared" ca="1" si="1"/>
        <v>0</v>
      </c>
      <c r="I42" s="49">
        <f t="shared" ca="1" si="2"/>
        <v>0</v>
      </c>
      <c r="J42" s="15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9.5" customHeight="1">
      <c r="A43" s="7" t="str">
        <f ca="1">IFERROR(__xludf.DUMMYFUNCTION("""COMPUTED_VALUE"""),"ti-ing-dcad707d-6012-450f-8e1d-b50e4ae44b10")</f>
        <v>ti-ing-dcad707d-6012-450f-8e1d-b50e4ae44b10</v>
      </c>
      <c r="B43" s="7" t="str">
        <f ca="1">IFERROR(__xludf.DUMMYFUNCTION("""COMPUTED_VALUE"""),"TRAPOS BLANCOS")</f>
        <v>TRAPOS BLANCOS</v>
      </c>
      <c r="C43" s="48">
        <v>6</v>
      </c>
      <c r="D43" s="52">
        <f ca="1">IFERROR(__xludf.DUMMYFUNCTION("""COMPUTED_VALUE"""),789)</f>
        <v>789</v>
      </c>
      <c r="E43" s="7" t="str">
        <f ca="1">IFERROR(__xludf.DUMMYFUNCTION("""COMPUTED_VALUE"""),"UN")</f>
        <v>UN</v>
      </c>
      <c r="F43" s="7" t="str">
        <f ca="1">IFERROR(__xludf.DUMMYFUNCTION("""COMPUTED_VALUE"""),"Aseo")</f>
        <v>Aseo</v>
      </c>
      <c r="G43" s="49">
        <f t="shared" ca="1" si="0"/>
        <v>4734</v>
      </c>
      <c r="H43" s="49">
        <f t="shared" ca="1" si="1"/>
        <v>899.46</v>
      </c>
      <c r="I43" s="49">
        <f t="shared" ca="1" si="2"/>
        <v>5633.46</v>
      </c>
      <c r="J43" s="15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9.5" customHeight="1">
      <c r="A44" s="7" t="str">
        <f ca="1">IFERROR(__xludf.DUMMYFUNCTION("""COMPUTED_VALUE"""),"ti-ing-46619eaa-21aa-41d5-931f-97aa9149b051")</f>
        <v>ti-ing-46619eaa-21aa-41d5-931f-97aa9149b051</v>
      </c>
      <c r="B44" s="7" t="str">
        <f ca="1">IFERROR(__xludf.DUMMYFUNCTION("""COMPUTED_VALUE"""),"VIRUTILLA VERDE")</f>
        <v>VIRUTILLA VERDE</v>
      </c>
      <c r="C44" s="48">
        <v>5</v>
      </c>
      <c r="D44" s="52">
        <f ca="1">IFERROR(__xludf.DUMMYFUNCTION("""COMPUTED_VALUE"""),890)</f>
        <v>890</v>
      </c>
      <c r="E44" s="7" t="str">
        <f ca="1">IFERROR(__xludf.DUMMYFUNCTION("""COMPUTED_VALUE"""),"UN")</f>
        <v>UN</v>
      </c>
      <c r="F44" s="7" t="str">
        <f ca="1">IFERROR(__xludf.DUMMYFUNCTION("""COMPUTED_VALUE"""),"Aseo")</f>
        <v>Aseo</v>
      </c>
      <c r="G44" s="49">
        <f t="shared" ca="1" si="0"/>
        <v>4450</v>
      </c>
      <c r="H44" s="49">
        <f t="shared" ca="1" si="1"/>
        <v>845.5</v>
      </c>
      <c r="I44" s="49">
        <f t="shared" ca="1" si="2"/>
        <v>5295.5</v>
      </c>
      <c r="J44" s="15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9.5" customHeight="1">
      <c r="A45" s="7" t="str">
        <f ca="1">IFERROR(__xludf.DUMMYFUNCTION("""COMPUTED_VALUE"""),"ti-ing-753e3546-8e8c-4c1c-b8c0-f410cb9fac7d")</f>
        <v>ti-ing-753e3546-8e8c-4c1c-b8c0-f410cb9fac7d</v>
      </c>
      <c r="B45" s="7" t="str">
        <f ca="1">IFERROR(__xludf.DUMMYFUNCTION("""COMPUTED_VALUE"""),"Agua con Gas 600 ml")</f>
        <v>Agua con Gas 600 ml</v>
      </c>
      <c r="C45" s="48">
        <v>16</v>
      </c>
      <c r="D45" s="52">
        <f ca="1">IFERROR(__xludf.DUMMYFUNCTION("""COMPUTED_VALUE"""),351.4583)</f>
        <v>351.45830000000001</v>
      </c>
      <c r="E45" s="7" t="str">
        <f ca="1">IFERROR(__xludf.DUMMYFUNCTION("""COMPUTED_VALUE"""),"UN")</f>
        <v>UN</v>
      </c>
      <c r="F45" s="7" t="str">
        <f ca="1">IFERROR(__xludf.DUMMYFUNCTION("""COMPUTED_VALUE"""),"Bebestibles")</f>
        <v>Bebestibles</v>
      </c>
      <c r="G45" s="49">
        <f t="shared" ca="1" si="0"/>
        <v>5623.3328000000001</v>
      </c>
      <c r="H45" s="49">
        <f t="shared" ca="1" si="1"/>
        <v>1068.4332320000001</v>
      </c>
      <c r="I45" s="49">
        <f t="shared" ca="1" si="2"/>
        <v>6691.7660320000005</v>
      </c>
      <c r="J45" s="15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9.5" customHeight="1">
      <c r="A46" s="7" t="str">
        <f ca="1">IFERROR(__xludf.DUMMYFUNCTION("""COMPUTED_VALUE"""),"ti-ing-2d554590-6987-4ebd-8f36-2eaade59201c")</f>
        <v>ti-ing-2d554590-6987-4ebd-8f36-2eaade59201c</v>
      </c>
      <c r="B46" s="7" t="str">
        <f ca="1">IFERROR(__xludf.DUMMYFUNCTION("""COMPUTED_VALUE"""),"Agua sin Gas 600 ml")</f>
        <v>Agua sin Gas 600 ml</v>
      </c>
      <c r="C46" s="48">
        <v>24</v>
      </c>
      <c r="D46" s="52">
        <f ca="1">IFERROR(__xludf.DUMMYFUNCTION("""COMPUTED_VALUE"""),351.4583)</f>
        <v>351.45830000000001</v>
      </c>
      <c r="E46" s="7" t="str">
        <f ca="1">IFERROR(__xludf.DUMMYFUNCTION("""COMPUTED_VALUE"""),"UN")</f>
        <v>UN</v>
      </c>
      <c r="F46" s="7" t="str">
        <f ca="1">IFERROR(__xludf.DUMMYFUNCTION("""COMPUTED_VALUE"""),"Bebestibles")</f>
        <v>Bebestibles</v>
      </c>
      <c r="G46" s="49">
        <f t="shared" ca="1" si="0"/>
        <v>8434.9992000000002</v>
      </c>
      <c r="H46" s="49">
        <f t="shared" ca="1" si="1"/>
        <v>1602.649848</v>
      </c>
      <c r="I46" s="49">
        <f t="shared" ca="1" si="2"/>
        <v>10037.649047999999</v>
      </c>
      <c r="J46" s="15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9.5" customHeight="1">
      <c r="A47" s="7" t="str">
        <f ca="1">IFERROR(__xludf.DUMMYFUNCTION("""COMPUTED_VALUE"""),"ti-ing-e732c346-01d8-4dfd-8ca6-ff14510c0bd5")</f>
        <v>ti-ing-e732c346-01d8-4dfd-8ca6-ff14510c0bd5</v>
      </c>
      <c r="B47" s="7" t="str">
        <f ca="1">IFERROR(__xludf.DUMMYFUNCTION("""COMPUTED_VALUE"""),"Coca cola 350 cc")</f>
        <v>Coca cola 350 cc</v>
      </c>
      <c r="C47" s="48">
        <v>13</v>
      </c>
      <c r="D47" s="52">
        <f ca="1">IFERROR(__xludf.DUMMYFUNCTION("""COMPUTED_VALUE"""),612.7396)</f>
        <v>612.7396</v>
      </c>
      <c r="E47" s="7" t="str">
        <f ca="1">IFERROR(__xludf.DUMMYFUNCTION("""COMPUTED_VALUE"""),"UN")</f>
        <v>UN</v>
      </c>
      <c r="F47" s="7" t="str">
        <f ca="1">IFERROR(__xludf.DUMMYFUNCTION("""COMPUTED_VALUE"""),"Bebestibles")</f>
        <v>Bebestibles</v>
      </c>
      <c r="G47" s="49">
        <f t="shared" ca="1" si="0"/>
        <v>7965.6148000000003</v>
      </c>
      <c r="H47" s="49">
        <f t="shared" ca="1" si="1"/>
        <v>1513.4668120000001</v>
      </c>
      <c r="I47" s="49">
        <f t="shared" ca="1" si="2"/>
        <v>9479.081612</v>
      </c>
      <c r="J47" s="15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9.5" customHeight="1">
      <c r="A48" s="7" t="str">
        <f ca="1">IFERROR(__xludf.DUMMYFUNCTION("""COMPUTED_VALUE"""),"ti-ing-a56c141e-abc8-443a-8266-32d58d78d40c")</f>
        <v>ti-ing-a56c141e-abc8-443a-8266-32d58d78d40c</v>
      </c>
      <c r="B48" s="7" t="str">
        <f ca="1">IFERROR(__xludf.DUMMYFUNCTION("""COMPUTED_VALUE"""),"Coca cola zero 350 cc")</f>
        <v>Coca cola zero 350 cc</v>
      </c>
      <c r="C48" s="65">
        <v>2</v>
      </c>
      <c r="D48" s="52">
        <f ca="1">IFERROR(__xludf.DUMMYFUNCTION("""COMPUTED_VALUE"""),606.5813)</f>
        <v>606.58130000000006</v>
      </c>
      <c r="E48" s="7" t="str">
        <f ca="1">IFERROR(__xludf.DUMMYFUNCTION("""COMPUTED_VALUE"""),"UN")</f>
        <v>UN</v>
      </c>
      <c r="F48" s="7" t="str">
        <f ca="1">IFERROR(__xludf.DUMMYFUNCTION("""COMPUTED_VALUE"""),"Bebestibles")</f>
        <v>Bebestibles</v>
      </c>
      <c r="G48" s="49">
        <f t="shared" ca="1" si="0"/>
        <v>1213.1626000000001</v>
      </c>
      <c r="H48" s="49">
        <f t="shared" ca="1" si="1"/>
        <v>230.50089400000002</v>
      </c>
      <c r="I48" s="49">
        <f t="shared" ca="1" si="2"/>
        <v>1443.6634940000001</v>
      </c>
      <c r="J48" s="15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9.5" customHeight="1">
      <c r="A49" s="7" t="str">
        <f ca="1">IFERROR(__xludf.DUMMYFUNCTION("""COMPUTED_VALUE"""),"ti-ing-5b9f998a-671c-474e-88c0-d5e3e2078b8c")</f>
        <v>ti-ing-5b9f998a-671c-474e-88c0-d5e3e2078b8c</v>
      </c>
      <c r="B49" s="7" t="str">
        <f ca="1">IFERROR(__xludf.DUMMYFUNCTION("""COMPUTED_VALUE"""),"Fanta 350 cc")</f>
        <v>Fanta 350 cc</v>
      </c>
      <c r="C49" s="48">
        <v>4</v>
      </c>
      <c r="D49" s="52">
        <f ca="1">IFERROR(__xludf.DUMMYFUNCTION("""COMPUTED_VALUE"""),612.715)</f>
        <v>612.71500000000003</v>
      </c>
      <c r="E49" s="7" t="str">
        <f ca="1">IFERROR(__xludf.DUMMYFUNCTION("""COMPUTED_VALUE"""),"UN")</f>
        <v>UN</v>
      </c>
      <c r="F49" s="7" t="str">
        <f ca="1">IFERROR(__xludf.DUMMYFUNCTION("""COMPUTED_VALUE"""),"Bebestibles")</f>
        <v>Bebestibles</v>
      </c>
      <c r="G49" s="49">
        <f t="shared" ca="1" si="0"/>
        <v>2450.86</v>
      </c>
      <c r="H49" s="49">
        <f t="shared" ca="1" si="1"/>
        <v>465.66340000000002</v>
      </c>
      <c r="I49" s="49">
        <f t="shared" ca="1" si="2"/>
        <v>2916.5234</v>
      </c>
      <c r="J49" s="15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9.5" customHeight="1">
      <c r="A50" s="7" t="str">
        <f ca="1">IFERROR(__xludf.DUMMYFUNCTION("""COMPUTED_VALUE"""),"ti-ing-42b01feb-e855-4f88-acf1-66c2f819bf59")</f>
        <v>ti-ing-42b01feb-e855-4f88-acf1-66c2f819bf59</v>
      </c>
      <c r="B50" s="7" t="str">
        <f ca="1">IFERROR(__xludf.DUMMYFUNCTION("""COMPUTED_VALUE"""),"Hielo cubos")</f>
        <v>Hielo cubos</v>
      </c>
      <c r="C50" s="48">
        <v>0</v>
      </c>
      <c r="D50" s="52">
        <f ca="1">IFERROR(__xludf.DUMMYFUNCTION("""COMPUTED_VALUE"""),546.2273)</f>
        <v>546.22730000000001</v>
      </c>
      <c r="E50" s="7" t="str">
        <f ca="1">IFERROR(__xludf.DUMMYFUNCTION("""COMPUTED_VALUE"""),"kg")</f>
        <v>kg</v>
      </c>
      <c r="F50" s="7" t="str">
        <f ca="1">IFERROR(__xludf.DUMMYFUNCTION("""COMPUTED_VALUE"""),"Bebestibles")</f>
        <v>Bebestibles</v>
      </c>
      <c r="G50" s="49">
        <f t="shared" ca="1" si="0"/>
        <v>0</v>
      </c>
      <c r="H50" s="49">
        <f t="shared" ca="1" si="1"/>
        <v>0</v>
      </c>
      <c r="I50" s="49">
        <f t="shared" ca="1" si="2"/>
        <v>0</v>
      </c>
      <c r="J50" s="15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9.5" customHeight="1">
      <c r="A51" s="7" t="str">
        <f ca="1">IFERROR(__xludf.DUMMYFUNCTION("""COMPUTED_VALUE"""),"ti-ing-131bfafa-178d-452c-9100-f87e34267a2f")</f>
        <v>ti-ing-131bfafa-178d-452c-9100-f87e34267a2f</v>
      </c>
      <c r="B51" s="7" t="str">
        <f ca="1">IFERROR(__xludf.DUMMYFUNCTION("""COMPUTED_VALUE"""),"Hielo frappe")</f>
        <v>Hielo frappe</v>
      </c>
      <c r="C51" s="48">
        <v>6</v>
      </c>
      <c r="D51" s="52">
        <f ca="1">IFERROR(__xludf.DUMMYFUNCTION("""COMPUTED_VALUE"""),420)</f>
        <v>420</v>
      </c>
      <c r="E51" s="7" t="str">
        <f ca="1">IFERROR(__xludf.DUMMYFUNCTION("""COMPUTED_VALUE"""),"KG")</f>
        <v>KG</v>
      </c>
      <c r="F51" s="7" t="str">
        <f ca="1">IFERROR(__xludf.DUMMYFUNCTION("""COMPUTED_VALUE"""),"Bebestibles")</f>
        <v>Bebestibles</v>
      </c>
      <c r="G51" s="49">
        <f t="shared" ca="1" si="0"/>
        <v>2520</v>
      </c>
      <c r="H51" s="49">
        <f t="shared" ca="1" si="1"/>
        <v>478.8</v>
      </c>
      <c r="I51" s="49">
        <f t="shared" ca="1" si="2"/>
        <v>2998.8</v>
      </c>
      <c r="J51" s="15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9.5" customHeight="1">
      <c r="A52" s="7" t="str">
        <f ca="1">IFERROR(__xludf.DUMMYFUNCTION("""COMPUTED_VALUE"""),"ti-ing-08c36c8f-3d68-4d44-9e13-1657c4d9b90b")</f>
        <v>ti-ing-08c36c8f-3d68-4d44-9e13-1657c4d9b90b</v>
      </c>
      <c r="B52" s="7" t="str">
        <f ca="1">IFERROR(__xludf.DUMMYFUNCTION("""COMPUTED_VALUE"""),"PE PORCION JUGO CHIRIMOYA (EXTRA)")</f>
        <v>PE PORCION JUGO CHIRIMOYA (EXTRA)</v>
      </c>
      <c r="C52" s="48">
        <v>20</v>
      </c>
      <c r="D52" s="52">
        <f ca="1">IFERROR(__xludf.DUMMYFUNCTION("""COMPUTED_VALUE"""),889)</f>
        <v>889</v>
      </c>
      <c r="E52" s="7" t="str">
        <f ca="1">IFERROR(__xludf.DUMMYFUNCTION("""COMPUTED_VALUE"""),"UN")</f>
        <v>UN</v>
      </c>
      <c r="F52" s="7" t="str">
        <f ca="1">IFERROR(__xludf.DUMMYFUNCTION("""COMPUTED_VALUE"""),"Bebestibles")</f>
        <v>Bebestibles</v>
      </c>
      <c r="G52" s="49">
        <f t="shared" ca="1" si="0"/>
        <v>17780</v>
      </c>
      <c r="H52" s="49">
        <f t="shared" ca="1" si="1"/>
        <v>3378.2</v>
      </c>
      <c r="I52" s="49">
        <f t="shared" ca="1" si="2"/>
        <v>21158.2</v>
      </c>
      <c r="J52" s="15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9.5" customHeight="1">
      <c r="A53" s="7" t="str">
        <f ca="1">IFERROR(__xludf.DUMMYFUNCTION("""COMPUTED_VALUE"""),"ti-ing-4583d79a-dadd-4a88-bb28-d3a8be5b5250")</f>
        <v>ti-ing-4583d79a-dadd-4a88-bb28-d3a8be5b5250</v>
      </c>
      <c r="B53" s="7" t="str">
        <f ca="1">IFERROR(__xludf.DUMMYFUNCTION("""COMPUTED_VALUE"""),"PE PORCION JUGO FRAMBUESA (EXTRA)")</f>
        <v>PE PORCION JUGO FRAMBUESA (EXTRA)</v>
      </c>
      <c r="C53" s="48">
        <v>29</v>
      </c>
      <c r="D53" s="52">
        <f ca="1">IFERROR(__xludf.DUMMYFUNCTION("""COMPUTED_VALUE"""),518)</f>
        <v>518</v>
      </c>
      <c r="E53" s="7" t="str">
        <f ca="1">IFERROR(__xludf.DUMMYFUNCTION("""COMPUTED_VALUE"""),"UN")</f>
        <v>UN</v>
      </c>
      <c r="F53" s="7" t="str">
        <f ca="1">IFERROR(__xludf.DUMMYFUNCTION("""COMPUTED_VALUE"""),"Bebestibles")</f>
        <v>Bebestibles</v>
      </c>
      <c r="G53" s="49">
        <f t="shared" ca="1" si="0"/>
        <v>15022</v>
      </c>
      <c r="H53" s="49">
        <f t="shared" ca="1" si="1"/>
        <v>2854.18</v>
      </c>
      <c r="I53" s="49">
        <f t="shared" ca="1" si="2"/>
        <v>17876.18</v>
      </c>
      <c r="J53" s="15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9.5" customHeight="1">
      <c r="A54" s="7" t="str">
        <f ca="1">IFERROR(__xludf.DUMMYFUNCTION("""COMPUTED_VALUE"""),"ti-ing-5c9566ac-4078-4562-a0a9-7e7d97607df1")</f>
        <v>ti-ing-5c9566ac-4078-4562-a0a9-7e7d97607df1</v>
      </c>
      <c r="B54" s="7" t="str">
        <f ca="1">IFERROR(__xludf.DUMMYFUNCTION("""COMPUTED_VALUE"""),"PE PORCION JUGO FRUTILLA (EXTRA)")</f>
        <v>PE PORCION JUGO FRUTILLA (EXTRA)</v>
      </c>
      <c r="C54" s="48">
        <v>39</v>
      </c>
      <c r="D54" s="52">
        <f ca="1">IFERROR(__xludf.DUMMYFUNCTION("""COMPUTED_VALUE"""),493)</f>
        <v>493</v>
      </c>
      <c r="E54" s="7" t="str">
        <f ca="1">IFERROR(__xludf.DUMMYFUNCTION("""COMPUTED_VALUE"""),"UN")</f>
        <v>UN</v>
      </c>
      <c r="F54" s="7" t="str">
        <f ca="1">IFERROR(__xludf.DUMMYFUNCTION("""COMPUTED_VALUE"""),"Bebestibles")</f>
        <v>Bebestibles</v>
      </c>
      <c r="G54" s="49">
        <f t="shared" ca="1" si="0"/>
        <v>19227</v>
      </c>
      <c r="H54" s="49">
        <f t="shared" ca="1" si="1"/>
        <v>3653.13</v>
      </c>
      <c r="I54" s="49">
        <f t="shared" ca="1" si="2"/>
        <v>22880.13</v>
      </c>
      <c r="J54" s="15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9.5" customHeight="1">
      <c r="A55" s="7" t="str">
        <f ca="1">IFERROR(__xludf.DUMMYFUNCTION("""COMPUTED_VALUE"""),"ti-ing-56e58a2b-7a4a-4ef8-8144-55c565857b78")</f>
        <v>ti-ing-56e58a2b-7a4a-4ef8-8144-55c565857b78</v>
      </c>
      <c r="B55" s="7" t="str">
        <f ca="1">IFERROR(__xludf.DUMMYFUNCTION("""COMPUTED_VALUE"""),"PE PORCION JUGO MANGO (EXTRA)")</f>
        <v>PE PORCION JUGO MANGO (EXTRA)</v>
      </c>
      <c r="C55" s="48">
        <v>27</v>
      </c>
      <c r="D55" s="52">
        <f ca="1">IFERROR(__xludf.DUMMYFUNCTION("""COMPUTED_VALUE"""),356)</f>
        <v>356</v>
      </c>
      <c r="E55" s="7" t="str">
        <f ca="1">IFERROR(__xludf.DUMMYFUNCTION("""COMPUTED_VALUE"""),"UN")</f>
        <v>UN</v>
      </c>
      <c r="F55" s="7" t="str">
        <f ca="1">IFERROR(__xludf.DUMMYFUNCTION("""COMPUTED_VALUE"""),"Bebestibles")</f>
        <v>Bebestibles</v>
      </c>
      <c r="G55" s="49">
        <f t="shared" ca="1" si="0"/>
        <v>9612</v>
      </c>
      <c r="H55" s="49">
        <f t="shared" ca="1" si="1"/>
        <v>1826.28</v>
      </c>
      <c r="I55" s="49">
        <f t="shared" ca="1" si="2"/>
        <v>11438.28</v>
      </c>
      <c r="J55" s="15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9.5" customHeight="1">
      <c r="A56" s="7" t="str">
        <f ca="1">IFERROR(__xludf.DUMMYFUNCTION("""COMPUTED_VALUE"""),"ti-ing-5f2ea799-9832-4a2f-a15b-8d69a2a3faae")</f>
        <v>ti-ing-5f2ea799-9832-4a2f-a15b-8d69a2a3faae</v>
      </c>
      <c r="B56" s="7" t="str">
        <f ca="1">IFERROR(__xludf.DUMMYFUNCTION("""COMPUTED_VALUE"""),"PE PORCION JUGO MARACUYA (EXTRA)")</f>
        <v>PE PORCION JUGO MARACUYA (EXTRA)</v>
      </c>
      <c r="C56" s="48">
        <v>24</v>
      </c>
      <c r="D56" s="52">
        <f ca="1">IFERROR(__xludf.DUMMYFUNCTION("""COMPUTED_VALUE"""),858)</f>
        <v>858</v>
      </c>
      <c r="E56" s="7" t="str">
        <f ca="1">IFERROR(__xludf.DUMMYFUNCTION("""COMPUTED_VALUE"""),"UN")</f>
        <v>UN</v>
      </c>
      <c r="F56" s="7" t="str">
        <f ca="1">IFERROR(__xludf.DUMMYFUNCTION("""COMPUTED_VALUE"""),"Bebestibles")</f>
        <v>Bebestibles</v>
      </c>
      <c r="G56" s="49">
        <f t="shared" ca="1" si="0"/>
        <v>20592</v>
      </c>
      <c r="H56" s="49">
        <f t="shared" ca="1" si="1"/>
        <v>3912.48</v>
      </c>
      <c r="I56" s="49">
        <f t="shared" ca="1" si="2"/>
        <v>24504.48</v>
      </c>
      <c r="J56" s="15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9.5" customHeight="1">
      <c r="A57" s="7" t="str">
        <f ca="1">IFERROR(__xludf.DUMMYFUNCTION("""COMPUTED_VALUE"""),"ti-ing-7c21654a-bcfa-46bc-a077-bd6a00b453c5")</f>
        <v>ti-ing-7c21654a-bcfa-46bc-a077-bd6a00b453c5</v>
      </c>
      <c r="B57" s="7" t="str">
        <f ca="1">IFERROR(__xludf.DUMMYFUNCTION("""COMPUTED_VALUE"""),"PE PORCION JUGO MELON (EXTRA)")</f>
        <v>PE PORCION JUGO MELON (EXTRA)</v>
      </c>
      <c r="C57" s="48">
        <v>5</v>
      </c>
      <c r="D57" s="52">
        <f ca="1">IFERROR(__xludf.DUMMYFUNCTION("""COMPUTED_VALUE"""),500)</f>
        <v>500</v>
      </c>
      <c r="E57" s="7" t="str">
        <f ca="1">IFERROR(__xludf.DUMMYFUNCTION("""COMPUTED_VALUE"""),"UN")</f>
        <v>UN</v>
      </c>
      <c r="F57" s="7" t="str">
        <f ca="1">IFERROR(__xludf.DUMMYFUNCTION("""COMPUTED_VALUE"""),"Bebestibles")</f>
        <v>Bebestibles</v>
      </c>
      <c r="G57" s="49">
        <f t="shared" ca="1" si="0"/>
        <v>2500</v>
      </c>
      <c r="H57" s="49">
        <f t="shared" ca="1" si="1"/>
        <v>475</v>
      </c>
      <c r="I57" s="49">
        <f t="shared" ca="1" si="2"/>
        <v>2975</v>
      </c>
      <c r="J57" s="15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9.5" customHeight="1">
      <c r="A58" s="7" t="str">
        <f ca="1">IFERROR(__xludf.DUMMYFUNCTION("""COMPUTED_VALUE"""),"ti-ing-f42d7ef4-1119-47d6-bfe4-33caeace0e4c")</f>
        <v>ti-ing-f42d7ef4-1119-47d6-bfe4-33caeace0e4c</v>
      </c>
      <c r="B58" s="7" t="str">
        <f ca="1">IFERROR(__xludf.DUMMYFUNCTION("""COMPUTED_VALUE"""),"PE PORCION JUGO PIÑA (EXTRA)")</f>
        <v>PE PORCION JUGO PIÑA (EXTRA)</v>
      </c>
      <c r="C58" s="48">
        <v>11</v>
      </c>
      <c r="D58" s="52">
        <f ca="1">IFERROR(__xludf.DUMMYFUNCTION("""COMPUTED_VALUE"""),444)</f>
        <v>444</v>
      </c>
      <c r="E58" s="7" t="str">
        <f ca="1">IFERROR(__xludf.DUMMYFUNCTION("""COMPUTED_VALUE"""),"UN")</f>
        <v>UN</v>
      </c>
      <c r="F58" s="7" t="str">
        <f ca="1">IFERROR(__xludf.DUMMYFUNCTION("""COMPUTED_VALUE"""),"Bebestibles")</f>
        <v>Bebestibles</v>
      </c>
      <c r="G58" s="49">
        <f t="shared" ca="1" si="0"/>
        <v>4884</v>
      </c>
      <c r="H58" s="49">
        <f t="shared" ca="1" si="1"/>
        <v>927.96</v>
      </c>
      <c r="I58" s="49">
        <f t="shared" ca="1" si="2"/>
        <v>5811.96</v>
      </c>
      <c r="J58" s="15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9.5" customHeight="1">
      <c r="A59" s="7" t="str">
        <f ca="1">IFERROR(__xludf.DUMMYFUNCTION("""COMPUTED_VALUE"""),"ti-ing-df343f29-7af3-4b51-8f4b-503bba75c5c6")</f>
        <v>ti-ing-df343f29-7af3-4b51-8f4b-503bba75c5c6</v>
      </c>
      <c r="B59" s="7" t="str">
        <f ca="1">IFERROR(__xludf.DUMMYFUNCTION("""COMPUTED_VALUE"""),"PE pulpa frambuesa mix")</f>
        <v>PE pulpa frambuesa mix</v>
      </c>
      <c r="C59" s="48">
        <v>0</v>
      </c>
      <c r="D59" s="52">
        <f ca="1">IFERROR(__xludf.DUMMYFUNCTION("""COMPUTED_VALUE"""),259)</f>
        <v>259</v>
      </c>
      <c r="E59" s="7" t="str">
        <f ca="1">IFERROR(__xludf.DUMMYFUNCTION("""COMPUTED_VALUE"""),"UN")</f>
        <v>UN</v>
      </c>
      <c r="F59" s="7" t="str">
        <f ca="1">IFERROR(__xludf.DUMMYFUNCTION("""COMPUTED_VALUE"""),"Bebestibles")</f>
        <v>Bebestibles</v>
      </c>
      <c r="G59" s="49">
        <f t="shared" ca="1" si="0"/>
        <v>0</v>
      </c>
      <c r="H59" s="49">
        <f t="shared" ca="1" si="1"/>
        <v>0</v>
      </c>
      <c r="I59" s="49">
        <f t="shared" ca="1" si="2"/>
        <v>0</v>
      </c>
      <c r="J59" s="15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9.5" customHeight="1">
      <c r="A60" s="7" t="str">
        <f ca="1">IFERROR(__xludf.DUMMYFUNCTION("""COMPUTED_VALUE"""),"ti-ing-0fca9086-98f2-4171-92bd-66b245acee2c")</f>
        <v>ti-ing-0fca9086-98f2-4171-92bd-66b245acee2c</v>
      </c>
      <c r="B60" s="7" t="str">
        <f ca="1">IFERROR(__xludf.DUMMYFUNCTION("""COMPUTED_VALUE"""),"PE pulpa frutilla mix")</f>
        <v>PE pulpa frutilla mix</v>
      </c>
      <c r="C60" s="48">
        <v>0</v>
      </c>
      <c r="D60" s="52">
        <f ca="1">IFERROR(__xludf.DUMMYFUNCTION("""COMPUTED_VALUE"""),193)</f>
        <v>193</v>
      </c>
      <c r="E60" s="7" t="str">
        <f ca="1">IFERROR(__xludf.DUMMYFUNCTION("""COMPUTED_VALUE"""),"UN")</f>
        <v>UN</v>
      </c>
      <c r="F60" s="7" t="str">
        <f ca="1">IFERROR(__xludf.DUMMYFUNCTION("""COMPUTED_VALUE"""),"Bebestibles")</f>
        <v>Bebestibles</v>
      </c>
      <c r="G60" s="49">
        <f t="shared" ca="1" si="0"/>
        <v>0</v>
      </c>
      <c r="H60" s="49">
        <f t="shared" ca="1" si="1"/>
        <v>0</v>
      </c>
      <c r="I60" s="49">
        <f t="shared" ca="1" si="2"/>
        <v>0</v>
      </c>
      <c r="J60" s="15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9.5" customHeight="1">
      <c r="A61" s="7" t="str">
        <f ca="1">IFERROR(__xludf.DUMMYFUNCTION("""COMPUTED_VALUE"""),"ti-ing-177ceabf-271a-400b-97bf-bba4e34859a7")</f>
        <v>ti-ing-177ceabf-271a-400b-97bf-bba4e34859a7</v>
      </c>
      <c r="B61" s="7" t="str">
        <f ca="1">IFERROR(__xludf.DUMMYFUNCTION("""COMPUTED_VALUE"""),"PE pulpa mango mix")</f>
        <v>PE pulpa mango mix</v>
      </c>
      <c r="C61" s="48">
        <v>0</v>
      </c>
      <c r="D61" s="52">
        <f ca="1">IFERROR(__xludf.DUMMYFUNCTION("""COMPUTED_VALUE"""),178)</f>
        <v>178</v>
      </c>
      <c r="E61" s="7" t="str">
        <f ca="1">IFERROR(__xludf.DUMMYFUNCTION("""COMPUTED_VALUE"""),"UN")</f>
        <v>UN</v>
      </c>
      <c r="F61" s="7" t="str">
        <f ca="1">IFERROR(__xludf.DUMMYFUNCTION("""COMPUTED_VALUE"""),"Bebestibles")</f>
        <v>Bebestibles</v>
      </c>
      <c r="G61" s="49">
        <f t="shared" ca="1" si="0"/>
        <v>0</v>
      </c>
      <c r="H61" s="49">
        <f t="shared" ca="1" si="1"/>
        <v>0</v>
      </c>
      <c r="I61" s="49">
        <f t="shared" ca="1" si="2"/>
        <v>0</v>
      </c>
      <c r="J61" s="15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9.5" customHeight="1">
      <c r="A62" s="7"/>
      <c r="B62" s="7" t="str">
        <f ca="1">IFERROR(__xludf.DUMMYFUNCTION("""COMPUTED_VALUE"""),"Primaveral")</f>
        <v>Primaveral</v>
      </c>
      <c r="C62" s="48">
        <v>25</v>
      </c>
      <c r="D62" s="52">
        <f ca="1">IFERROR(__xludf.DUMMYFUNCTION("""COMPUTED_VALUE"""),910)</f>
        <v>910</v>
      </c>
      <c r="E62" s="7" t="str">
        <f ca="1">IFERROR(__xludf.DUMMYFUNCTION("""COMPUTED_VALUE"""),"UN")</f>
        <v>UN</v>
      </c>
      <c r="F62" s="7" t="str">
        <f ca="1">IFERROR(__xludf.DUMMYFUNCTION("""COMPUTED_VALUE"""),"Bebestibles")</f>
        <v>Bebestibles</v>
      </c>
      <c r="G62" s="49">
        <f t="shared" ca="1" si="0"/>
        <v>22750</v>
      </c>
      <c r="H62" s="49">
        <f t="shared" ca="1" si="1"/>
        <v>4322.5</v>
      </c>
      <c r="I62" s="49">
        <f t="shared" ca="1" si="2"/>
        <v>27072.5</v>
      </c>
      <c r="J62" s="15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9.5" customHeight="1">
      <c r="A63" s="7" t="str">
        <f ca="1">IFERROR(__xludf.DUMMYFUNCTION("""COMPUTED_VALUE"""),"ti-ing-27365f0e-3bbd-48de-bc63-541a722a9716")</f>
        <v>ti-ing-27365f0e-3bbd-48de-bc63-541a722a9716</v>
      </c>
      <c r="B63" s="7" t="str">
        <f ca="1">IFERROR(__xludf.DUMMYFUNCTION("""COMPUTED_VALUE"""),"Pulpa Chirimoya")</f>
        <v>Pulpa Chirimoya</v>
      </c>
      <c r="C63" s="48">
        <v>14</v>
      </c>
      <c r="D63" s="52">
        <f ca="1">IFERROR(__xludf.DUMMYFUNCTION("""COMPUTED_VALUE"""),5290)</f>
        <v>5290</v>
      </c>
      <c r="E63" s="7" t="str">
        <f ca="1">IFERROR(__xludf.DUMMYFUNCTION("""COMPUTED_VALUE"""),"KG")</f>
        <v>KG</v>
      </c>
      <c r="F63" s="7" t="str">
        <f ca="1">IFERROR(__xludf.DUMMYFUNCTION("""COMPUTED_VALUE"""),"Bebestibles")</f>
        <v>Bebestibles</v>
      </c>
      <c r="G63" s="49">
        <f t="shared" ca="1" si="0"/>
        <v>74060</v>
      </c>
      <c r="H63" s="49">
        <f t="shared" ca="1" si="1"/>
        <v>14071.4</v>
      </c>
      <c r="I63" s="49">
        <f t="shared" ca="1" si="2"/>
        <v>88131.4</v>
      </c>
      <c r="J63" s="15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9.5" customHeight="1">
      <c r="A64" s="7" t="str">
        <f ca="1">IFERROR(__xludf.DUMMYFUNCTION("""COMPUTED_VALUE"""),"ti-ing-c61601c6-808a-4073-be84-3536b4f328af")</f>
        <v>ti-ing-c61601c6-808a-4073-be84-3536b4f328af</v>
      </c>
      <c r="B64" s="7" t="str">
        <f ca="1">IFERROR(__xludf.DUMMYFUNCTION("""COMPUTED_VALUE"""),"Pulpa Frambuesa")</f>
        <v>Pulpa Frambuesa</v>
      </c>
      <c r="C64" s="48">
        <v>15</v>
      </c>
      <c r="D64" s="52">
        <f ca="1">IFERROR(__xludf.DUMMYFUNCTION("""COMPUTED_VALUE"""),6800)</f>
        <v>6800</v>
      </c>
      <c r="E64" s="7" t="str">
        <f ca="1">IFERROR(__xludf.DUMMYFUNCTION("""COMPUTED_VALUE"""),"KG")</f>
        <v>KG</v>
      </c>
      <c r="F64" s="7" t="str">
        <f ca="1">IFERROR(__xludf.DUMMYFUNCTION("""COMPUTED_VALUE"""),"Bebestibles")</f>
        <v>Bebestibles</v>
      </c>
      <c r="G64" s="49">
        <f t="shared" ca="1" si="0"/>
        <v>102000</v>
      </c>
      <c r="H64" s="49">
        <f t="shared" ca="1" si="1"/>
        <v>19380</v>
      </c>
      <c r="I64" s="49">
        <f t="shared" ca="1" si="2"/>
        <v>121380</v>
      </c>
      <c r="J64" s="15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9.5" customHeight="1">
      <c r="A65" s="7" t="str">
        <f ca="1">IFERROR(__xludf.DUMMYFUNCTION("""COMPUTED_VALUE"""),"ti-ing-0a6dd713-e7a7-4872-af86-42c45add6bdf")</f>
        <v>ti-ing-0a6dd713-e7a7-4872-af86-42c45add6bdf</v>
      </c>
      <c r="B65" s="7" t="str">
        <f ca="1">IFERROR(__xludf.DUMMYFUNCTION("""COMPUTED_VALUE"""),"Pulpa Frutilla")</f>
        <v>Pulpa Frutilla</v>
      </c>
      <c r="C65" s="48">
        <v>8</v>
      </c>
      <c r="D65" s="52">
        <f ca="1">IFERROR(__xludf.DUMMYFUNCTION("""COMPUTED_VALUE"""),2950)</f>
        <v>2950</v>
      </c>
      <c r="E65" s="7" t="str">
        <f ca="1">IFERROR(__xludf.DUMMYFUNCTION("""COMPUTED_VALUE"""),"KG")</f>
        <v>KG</v>
      </c>
      <c r="F65" s="7" t="str">
        <f ca="1">IFERROR(__xludf.DUMMYFUNCTION("""COMPUTED_VALUE"""),"Bebestibles")</f>
        <v>Bebestibles</v>
      </c>
      <c r="G65" s="49">
        <f t="shared" ca="1" si="0"/>
        <v>23600</v>
      </c>
      <c r="H65" s="49">
        <f t="shared" ca="1" si="1"/>
        <v>4484</v>
      </c>
      <c r="I65" s="49">
        <f t="shared" ca="1" si="2"/>
        <v>28084</v>
      </c>
      <c r="J65" s="15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9.5" customHeight="1">
      <c r="A66" s="7" t="str">
        <f ca="1">IFERROR(__xludf.DUMMYFUNCTION("""COMPUTED_VALUE"""),"ti-ing-cfdaf79a-6246-42a9-afab-7cba8ae515ca")</f>
        <v>ti-ing-cfdaf79a-6246-42a9-afab-7cba8ae515ca</v>
      </c>
      <c r="B66" s="7" t="str">
        <f ca="1">IFERROR(__xludf.DUMMYFUNCTION("""COMPUTED_VALUE"""),"Pulpa Mango")</f>
        <v>Pulpa Mango</v>
      </c>
      <c r="C66" s="48">
        <v>13</v>
      </c>
      <c r="D66" s="52">
        <f ca="1">IFERROR(__xludf.DUMMYFUNCTION("""COMPUTED_VALUE"""),4490)</f>
        <v>4490</v>
      </c>
      <c r="E66" s="7" t="str">
        <f ca="1">IFERROR(__xludf.DUMMYFUNCTION("""COMPUTED_VALUE"""),"KG")</f>
        <v>KG</v>
      </c>
      <c r="F66" s="7" t="str">
        <f ca="1">IFERROR(__xludf.DUMMYFUNCTION("""COMPUTED_VALUE"""),"Bebestibles")</f>
        <v>Bebestibles</v>
      </c>
      <c r="G66" s="49">
        <f t="shared" ca="1" si="0"/>
        <v>58370</v>
      </c>
      <c r="H66" s="49">
        <f t="shared" ca="1" si="1"/>
        <v>11090.3</v>
      </c>
      <c r="I66" s="49">
        <f t="shared" ca="1" si="2"/>
        <v>69460.3</v>
      </c>
      <c r="J66" s="15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9.5" customHeight="1">
      <c r="A67" s="7" t="str">
        <f ca="1">IFERROR(__xludf.DUMMYFUNCTION("""COMPUTED_VALUE"""),"ti-ing-836eb301-0b64-45eb-89be-be872a9297e4")</f>
        <v>ti-ing-836eb301-0b64-45eb-89be-be872a9297e4</v>
      </c>
      <c r="B67" s="7" t="str">
        <f ca="1">IFERROR(__xludf.DUMMYFUNCTION("""COMPUTED_VALUE"""),"Pulpa Maracuya S/Pepas")</f>
        <v>Pulpa Maracuya S/Pepas</v>
      </c>
      <c r="C67" s="48">
        <v>2</v>
      </c>
      <c r="D67" s="52">
        <f ca="1">IFERROR(__xludf.DUMMYFUNCTION("""COMPUTED_VALUE"""),5990)</f>
        <v>5990</v>
      </c>
      <c r="E67" s="7" t="str">
        <f ca="1">IFERROR(__xludf.DUMMYFUNCTION("""COMPUTED_VALUE"""),"KG")</f>
        <v>KG</v>
      </c>
      <c r="F67" s="7" t="str">
        <f ca="1">IFERROR(__xludf.DUMMYFUNCTION("""COMPUTED_VALUE"""),"Bebestibles")</f>
        <v>Bebestibles</v>
      </c>
      <c r="G67" s="49">
        <f t="shared" ca="1" si="0"/>
        <v>11980</v>
      </c>
      <c r="H67" s="49">
        <f t="shared" ca="1" si="1"/>
        <v>2276.1999999999998</v>
      </c>
      <c r="I67" s="49">
        <f t="shared" ca="1" si="2"/>
        <v>14256.2</v>
      </c>
      <c r="J67" s="15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9.5" customHeight="1">
      <c r="A68" s="7" t="str">
        <f ca="1">IFERROR(__xludf.DUMMYFUNCTION("""COMPUTED_VALUE"""),"ti-ing-f5eb30b4-794d-42f5-a2dd-41746ad30690")</f>
        <v>ti-ing-f5eb30b4-794d-42f5-a2dd-41746ad30690</v>
      </c>
      <c r="B68" s="7" t="str">
        <f ca="1">IFERROR(__xludf.DUMMYFUNCTION("""COMPUTED_VALUE"""),"Pulpa Melon")</f>
        <v>Pulpa Melon</v>
      </c>
      <c r="C68" s="48">
        <v>2</v>
      </c>
      <c r="D68" s="52">
        <f ca="1">IFERROR(__xludf.DUMMYFUNCTION("""COMPUTED_VALUE"""),3100)</f>
        <v>3100</v>
      </c>
      <c r="E68" s="7" t="str">
        <f ca="1">IFERROR(__xludf.DUMMYFUNCTION("""COMPUTED_VALUE"""),"KG")</f>
        <v>KG</v>
      </c>
      <c r="F68" s="7" t="str">
        <f ca="1">IFERROR(__xludf.DUMMYFUNCTION("""COMPUTED_VALUE"""),"Bebestibles")</f>
        <v>Bebestibles</v>
      </c>
      <c r="G68" s="49">
        <f t="shared" ca="1" si="0"/>
        <v>6200</v>
      </c>
      <c r="H68" s="49">
        <f t="shared" ca="1" si="1"/>
        <v>1178</v>
      </c>
      <c r="I68" s="49">
        <f t="shared" ca="1" si="2"/>
        <v>7378</v>
      </c>
      <c r="J68" s="15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9.5" customHeight="1">
      <c r="A69" s="7" t="str">
        <f ca="1">IFERROR(__xludf.DUMMYFUNCTION("""COMPUTED_VALUE"""),"ti-ing-f5eb30b4-794d-42f5-a2dd-41746ad30691")</f>
        <v>ti-ing-f5eb30b4-794d-42f5-a2dd-41746ad30691</v>
      </c>
      <c r="B69" s="7" t="str">
        <f ca="1">IFERROR(__xludf.DUMMYFUNCTION("""COMPUTED_VALUE"""),"Pulpa naranja")</f>
        <v>Pulpa naranja</v>
      </c>
      <c r="C69" s="48">
        <v>18</v>
      </c>
      <c r="D69" s="52">
        <f ca="1">IFERROR(__xludf.DUMMYFUNCTION("""COMPUTED_VALUE"""),4715)</f>
        <v>4715</v>
      </c>
      <c r="E69" s="7" t="str">
        <f ca="1">IFERROR(__xludf.DUMMYFUNCTION("""COMPUTED_VALUE"""),"KG")</f>
        <v>KG</v>
      </c>
      <c r="F69" s="7" t="str">
        <f ca="1">IFERROR(__xludf.DUMMYFUNCTION("""COMPUTED_VALUE"""),"Bebestibles")</f>
        <v>Bebestibles</v>
      </c>
      <c r="G69" s="49">
        <f t="shared" ca="1" si="0"/>
        <v>84870</v>
      </c>
      <c r="H69" s="49">
        <f t="shared" ca="1" si="1"/>
        <v>16125.300000000001</v>
      </c>
      <c r="I69" s="49">
        <f t="shared" ca="1" si="2"/>
        <v>100995.3</v>
      </c>
      <c r="J69" s="15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9.5" customHeight="1">
      <c r="A70" s="7" t="str">
        <f ca="1">IFERROR(__xludf.DUMMYFUNCTION("""COMPUTED_VALUE"""),"ti-ing-05169dad-82a2-4ad5-abca-f8039dfa9275")</f>
        <v>ti-ing-05169dad-82a2-4ad5-abca-f8039dfa9275</v>
      </c>
      <c r="B70" s="7" t="str">
        <f ca="1">IFERROR(__xludf.DUMMYFUNCTION("""COMPUTED_VALUE"""),"Pulpa Piña")</f>
        <v>Pulpa Piña</v>
      </c>
      <c r="C70" s="48">
        <v>1</v>
      </c>
      <c r="D70" s="52">
        <f ca="1">IFERROR(__xludf.DUMMYFUNCTION("""COMPUTED_VALUE"""),3600)</f>
        <v>3600</v>
      </c>
      <c r="E70" s="7" t="str">
        <f ca="1">IFERROR(__xludf.DUMMYFUNCTION("""COMPUTED_VALUE"""),"KG")</f>
        <v>KG</v>
      </c>
      <c r="F70" s="7" t="str">
        <f ca="1">IFERROR(__xludf.DUMMYFUNCTION("""COMPUTED_VALUE"""),"Bebestibles")</f>
        <v>Bebestibles</v>
      </c>
      <c r="G70" s="49">
        <f t="shared" ca="1" si="0"/>
        <v>3600</v>
      </c>
      <c r="H70" s="49">
        <f t="shared" ca="1" si="1"/>
        <v>684</v>
      </c>
      <c r="I70" s="49">
        <f t="shared" ca="1" si="2"/>
        <v>4284</v>
      </c>
      <c r="J70" s="15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9.5" customHeight="1">
      <c r="A71" s="7" t="str">
        <f ca="1">IFERROR(__xludf.DUMMYFUNCTION("""COMPUTED_VALUE"""),"ti-ing-17dc3026-6b74-4df3-a8d6-9e28e708f104")</f>
        <v>ti-ing-17dc3026-6b74-4df3-a8d6-9e28e708f104</v>
      </c>
      <c r="B71" s="7" t="str">
        <f ca="1">IFERROR(__xludf.DUMMYFUNCTION("""COMPUTED_VALUE"""),"Sprite 350 cc")</f>
        <v>Sprite 350 cc</v>
      </c>
      <c r="C71" s="48">
        <v>12</v>
      </c>
      <c r="D71" s="52">
        <f ca="1">IFERROR(__xludf.DUMMYFUNCTION("""COMPUTED_VALUE"""),606.5583)</f>
        <v>606.55830000000003</v>
      </c>
      <c r="E71" s="7" t="str">
        <f ca="1">IFERROR(__xludf.DUMMYFUNCTION("""COMPUTED_VALUE"""),"UN")</f>
        <v>UN</v>
      </c>
      <c r="F71" s="7" t="str">
        <f ca="1">IFERROR(__xludf.DUMMYFUNCTION("""COMPUTED_VALUE"""),"Bebestibles")</f>
        <v>Bebestibles</v>
      </c>
      <c r="G71" s="49">
        <f t="shared" ca="1" si="0"/>
        <v>7278.6995999999999</v>
      </c>
      <c r="H71" s="49">
        <f t="shared" ca="1" si="1"/>
        <v>1382.9529239999999</v>
      </c>
      <c r="I71" s="49">
        <f t="shared" ca="1" si="2"/>
        <v>8661.6525239999992</v>
      </c>
      <c r="J71" s="15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9.5" customHeight="1">
      <c r="A72" s="7" t="str">
        <f ca="1">IFERROR(__xludf.DUMMYFUNCTION("""COMPUTED_VALUE"""),"ti-ing-925cd36a-a250-4073-9075-f890c840ff54")</f>
        <v>ti-ing-925cd36a-a250-4073-9075-f890c840ff54</v>
      </c>
      <c r="B72" s="7" t="str">
        <f ca="1">IFERROR(__xludf.DUMMYFUNCTION("""COMPUTED_VALUE"""),"Sprite Zero 350 cc")</f>
        <v>Sprite Zero 350 cc</v>
      </c>
      <c r="C72" s="48">
        <v>16</v>
      </c>
      <c r="D72" s="52">
        <f ca="1">IFERROR(__xludf.DUMMYFUNCTION("""COMPUTED_VALUE"""),606.5583)</f>
        <v>606.55830000000003</v>
      </c>
      <c r="E72" s="7" t="str">
        <f ca="1">IFERROR(__xludf.DUMMYFUNCTION("""COMPUTED_VALUE"""),"UN")</f>
        <v>UN</v>
      </c>
      <c r="F72" s="7" t="str">
        <f ca="1">IFERROR(__xludf.DUMMYFUNCTION("""COMPUTED_VALUE"""),"Bebestibles")</f>
        <v>Bebestibles</v>
      </c>
      <c r="G72" s="49">
        <f t="shared" ca="1" si="0"/>
        <v>9704.9328000000005</v>
      </c>
      <c r="H72" s="49">
        <f t="shared" ca="1" si="1"/>
        <v>1843.9372320000002</v>
      </c>
      <c r="I72" s="49">
        <f t="shared" ca="1" si="2"/>
        <v>11548.870032000001</v>
      </c>
      <c r="J72" s="15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9.5" customHeight="1">
      <c r="A73" s="7" t="str">
        <f ca="1">IFERROR(__xludf.DUMMYFUNCTION("""COMPUTED_VALUE"""),"ti-ing-f76fed7a-9b00-4997-8f9e-73bd5e249be8")</f>
        <v>ti-ing-f76fed7a-9b00-4997-8f9e-73bd5e249be8</v>
      </c>
      <c r="B73" s="7" t="str">
        <f ca="1">IFERROR(__xludf.DUMMYFUNCTION("""COMPUTED_VALUE"""),"Café Descafeinado 504 (caja)")</f>
        <v>Café Descafeinado 504 (caja)</v>
      </c>
      <c r="C73" s="48">
        <v>1</v>
      </c>
      <c r="D73" s="52">
        <f ca="1">IFERROR(__xludf.DUMMYFUNCTION("""COMPUTED_VALUE"""),519.9)</f>
        <v>519.9</v>
      </c>
      <c r="E73" s="7" t="str">
        <f ca="1">IFERROR(__xludf.DUMMYFUNCTION("""COMPUTED_VALUE"""),"un")</f>
        <v>un</v>
      </c>
      <c r="F73" s="7" t="str">
        <f ca="1">IFERROR(__xludf.DUMMYFUNCTION("""COMPUTED_VALUE"""),"Cafetería")</f>
        <v>Cafetería</v>
      </c>
      <c r="G73" s="49">
        <f t="shared" ca="1" si="0"/>
        <v>519.9</v>
      </c>
      <c r="H73" s="49">
        <f t="shared" ca="1" si="1"/>
        <v>98.780999999999992</v>
      </c>
      <c r="I73" s="49">
        <f t="shared" ca="1" si="2"/>
        <v>618.68099999999993</v>
      </c>
      <c r="J73" s="15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9.5" customHeight="1">
      <c r="A74" s="7" t="str">
        <f ca="1">IFERROR(__xludf.DUMMYFUNCTION("""COMPUTED_VALUE"""),"ti-ing-7999dd71-66f3-480c-ac93-ff256e0b1f76")</f>
        <v>ti-ing-7999dd71-66f3-480c-ac93-ff256e0b1f76</v>
      </c>
      <c r="B74" s="7" t="str">
        <f ca="1">IFERROR(__xludf.DUMMYFUNCTION("""COMPUTED_VALUE"""),"Café grano 1k")</f>
        <v>Café grano 1k</v>
      </c>
      <c r="C74" s="48">
        <v>0</v>
      </c>
      <c r="D74" s="52">
        <f ca="1">IFERROR(__xludf.DUMMYFUNCTION("""COMPUTED_VALUE"""),18705)</f>
        <v>18705</v>
      </c>
      <c r="E74" s="7" t="str">
        <f ca="1">IFERROR(__xludf.DUMMYFUNCTION("""COMPUTED_VALUE"""),"KG")</f>
        <v>KG</v>
      </c>
      <c r="F74" s="7" t="str">
        <f ca="1">IFERROR(__xludf.DUMMYFUNCTION("""COMPUTED_VALUE"""),"Cafetería")</f>
        <v>Cafetería</v>
      </c>
      <c r="G74" s="49">
        <f t="shared" ca="1" si="0"/>
        <v>0</v>
      </c>
      <c r="H74" s="49">
        <f t="shared" ca="1" si="1"/>
        <v>0</v>
      </c>
      <c r="I74" s="49">
        <f t="shared" ca="1" si="2"/>
        <v>0</v>
      </c>
      <c r="J74" s="15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9.5" customHeight="1">
      <c r="A75" s="7" t="str">
        <f ca="1">IFERROR(__xludf.DUMMYFUNCTION("""COMPUTED_VALUE"""),"ti-ing-73128f7c-be42-49de-8aba-c9a9a60678a0")</f>
        <v>ti-ing-73128f7c-be42-49de-8aba-c9a9a60678a0</v>
      </c>
      <c r="B75" s="7" t="str">
        <f ca="1">IFERROR(__xludf.DUMMYFUNCTION("""COMPUTED_VALUE"""),"Chai En Polvo 504 (bolsa 1,8 kg)")</f>
        <v>Chai En Polvo 504 (bolsa 1,8 kg)</v>
      </c>
      <c r="C75" s="48">
        <v>4.47</v>
      </c>
      <c r="D75" s="52">
        <f ca="1">IFERROR(__xludf.DUMMYFUNCTION("""COMPUTED_VALUE"""),21250)</f>
        <v>21250</v>
      </c>
      <c r="E75" s="7" t="str">
        <f ca="1">IFERROR(__xludf.DUMMYFUNCTION("""COMPUTED_VALUE"""),"Kg")</f>
        <v>Kg</v>
      </c>
      <c r="F75" s="7" t="str">
        <f ca="1">IFERROR(__xludf.DUMMYFUNCTION("""COMPUTED_VALUE"""),"Cafetería")</f>
        <v>Cafetería</v>
      </c>
      <c r="G75" s="49">
        <f t="shared" ca="1" si="0"/>
        <v>94987.5</v>
      </c>
      <c r="H75" s="49">
        <f t="shared" ca="1" si="1"/>
        <v>18047.625</v>
      </c>
      <c r="I75" s="49">
        <f t="shared" ca="1" si="2"/>
        <v>113035.125</v>
      </c>
      <c r="J75" s="15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9.5" customHeight="1">
      <c r="A76" s="7" t="str">
        <f ca="1">IFERROR(__xludf.DUMMYFUNCTION("""COMPUTED_VALUE"""),"ti-ing-b9b128e7-f3d3-420f-8ded-36abfbbf64c9")</f>
        <v>ti-ing-b9b128e7-f3d3-420f-8ded-36abfbbf64c9</v>
      </c>
      <c r="B76" s="7" t="str">
        <f ca="1">IFERROR(__xludf.DUMMYFUNCTION("""COMPUTED_VALUE"""),"Chocolate en polvo 504 (bolsa 2 kg)")</f>
        <v>Chocolate en polvo 504 (bolsa 2 kg)</v>
      </c>
      <c r="C76" s="48">
        <v>4.2300000000000004</v>
      </c>
      <c r="D76" s="52">
        <f ca="1">IFERROR(__xludf.DUMMYFUNCTION("""COMPUTED_VALUE"""),13991.5)</f>
        <v>13991.5</v>
      </c>
      <c r="E76" s="7" t="str">
        <f ca="1">IFERROR(__xludf.DUMMYFUNCTION("""COMPUTED_VALUE"""),"KG")</f>
        <v>KG</v>
      </c>
      <c r="F76" s="7" t="str">
        <f ca="1">IFERROR(__xludf.DUMMYFUNCTION("""COMPUTED_VALUE"""),"Cafetería")</f>
        <v>Cafetería</v>
      </c>
      <c r="G76" s="49">
        <f t="shared" ca="1" si="0"/>
        <v>59184.045000000006</v>
      </c>
      <c r="H76" s="49">
        <f t="shared" ca="1" si="1"/>
        <v>11244.968550000001</v>
      </c>
      <c r="I76" s="49">
        <f t="shared" ca="1" si="2"/>
        <v>70429.013550000003</v>
      </c>
      <c r="J76" s="15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9.5" customHeight="1">
      <c r="A77" s="7" t="str">
        <f ca="1">IFERROR(__xludf.DUMMYFUNCTION("""COMPUTED_VALUE"""),"ti-ing-60b67dd6-c83d-47fb-ac43-4a397918a54a")</f>
        <v>ti-ing-60b67dd6-c83d-47fb-ac43-4a397918a54a</v>
      </c>
      <c r="B77" s="7" t="str">
        <f ca="1">IFERROR(__xludf.DUMMYFUNCTION("""COMPUTED_VALUE"""),"Chocolate Liquido")</f>
        <v>Chocolate Liquido</v>
      </c>
      <c r="C77" s="48">
        <v>2</v>
      </c>
      <c r="D77" s="52">
        <f ca="1">IFERROR(__xludf.DUMMYFUNCTION("""COMPUTED_VALUE"""),3360)</f>
        <v>3360</v>
      </c>
      <c r="E77" s="7" t="str">
        <f ca="1">IFERROR(__xludf.DUMMYFUNCTION("""COMPUTED_VALUE"""),"un")</f>
        <v>un</v>
      </c>
      <c r="F77" s="7" t="str">
        <f ca="1">IFERROR(__xludf.DUMMYFUNCTION("""COMPUTED_VALUE"""),"Cafetería")</f>
        <v>Cafetería</v>
      </c>
      <c r="G77" s="49">
        <f t="shared" ca="1" si="0"/>
        <v>6720</v>
      </c>
      <c r="H77" s="49">
        <f t="shared" ca="1" si="1"/>
        <v>1276.8</v>
      </c>
      <c r="I77" s="49">
        <f t="shared" ca="1" si="2"/>
        <v>7996.8</v>
      </c>
      <c r="J77" s="15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9.5" customHeight="1">
      <c r="A78" s="7" t="str">
        <f ca="1">IFERROR(__xludf.DUMMYFUNCTION("""COMPUTED_VALUE"""),"ti-ing-7d8d02af-ef1d-4855-8b49-db888802881d")</f>
        <v>ti-ing-7d8d02af-ef1d-4855-8b49-db888802881d</v>
      </c>
      <c r="B78" s="7" t="str">
        <f ca="1">IFERROR(__xludf.DUMMYFUNCTION("""COMPUTED_VALUE"""),"Mashmellows")</f>
        <v>Mashmellows</v>
      </c>
      <c r="C78" s="48">
        <v>3</v>
      </c>
      <c r="D78" s="52">
        <f ca="1">IFERROR(__xludf.DUMMYFUNCTION("""COMPUTED_VALUE"""),1512.733)</f>
        <v>1512.7329999999999</v>
      </c>
      <c r="E78" s="7" t="str">
        <f ca="1">IFERROR(__xludf.DUMMYFUNCTION("""COMPUTED_VALUE"""),"Kg")</f>
        <v>Kg</v>
      </c>
      <c r="F78" s="7" t="str">
        <f ca="1">IFERROR(__xludf.DUMMYFUNCTION("""COMPUTED_VALUE"""),"Cafetería")</f>
        <v>Cafetería</v>
      </c>
      <c r="G78" s="49">
        <f t="shared" ca="1" si="0"/>
        <v>4538.1989999999996</v>
      </c>
      <c r="H78" s="49">
        <f t="shared" ca="1" si="1"/>
        <v>862.25780999999995</v>
      </c>
      <c r="I78" s="49">
        <f t="shared" ca="1" si="2"/>
        <v>5400.4568099999997</v>
      </c>
      <c r="J78" s="15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9.5" customHeight="1">
      <c r="A79" s="7"/>
      <c r="B79" s="7" t="str">
        <f ca="1">IFERROR(__xludf.DUMMYFUNCTION("""COMPUTED_VALUE"""),"Matcha")</f>
        <v>Matcha</v>
      </c>
      <c r="C79" s="48">
        <v>0.22</v>
      </c>
      <c r="D79" s="52">
        <f ca="1">IFERROR(__xludf.DUMMYFUNCTION("""COMPUTED_VALUE"""),133333)</f>
        <v>133333</v>
      </c>
      <c r="E79" s="7" t="str">
        <f ca="1">IFERROR(__xludf.DUMMYFUNCTION("""COMPUTED_VALUE"""),"KG")</f>
        <v>KG</v>
      </c>
      <c r="F79" s="7" t="str">
        <f ca="1">IFERROR(__xludf.DUMMYFUNCTION("""COMPUTED_VALUE"""),"Cafetería")</f>
        <v>Cafetería</v>
      </c>
      <c r="G79" s="49">
        <f t="shared" ca="1" si="0"/>
        <v>29333.26</v>
      </c>
      <c r="H79" s="49">
        <f t="shared" ca="1" si="1"/>
        <v>5573.3193999999994</v>
      </c>
      <c r="I79" s="49">
        <f t="shared" ca="1" si="2"/>
        <v>34906.579399999995</v>
      </c>
      <c r="J79" s="15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9.5" customHeight="1">
      <c r="A80" s="7"/>
      <c r="B80" s="7" t="str">
        <f ca="1">IFERROR(__xludf.DUMMYFUNCTION("""COMPUTED_VALUE"""),"Metilcelulosa")</f>
        <v>Metilcelulosa</v>
      </c>
      <c r="C80" s="48">
        <v>8.2000000000000003E-2</v>
      </c>
      <c r="D80" s="52">
        <f ca="1">IFERROR(__xludf.DUMMYFUNCTION("""COMPUTED_VALUE"""),14958)</f>
        <v>14958</v>
      </c>
      <c r="E80" s="7" t="str">
        <f ca="1">IFERROR(__xludf.DUMMYFUNCTION("""COMPUTED_VALUE"""),"KG")</f>
        <v>KG</v>
      </c>
      <c r="F80" s="7" t="str">
        <f ca="1">IFERROR(__xludf.DUMMYFUNCTION("""COMPUTED_VALUE"""),"Cafetería")</f>
        <v>Cafetería</v>
      </c>
      <c r="G80" s="49">
        <f t="shared" ca="1" si="0"/>
        <v>1226.556</v>
      </c>
      <c r="H80" s="49">
        <f t="shared" ca="1" si="1"/>
        <v>233.04564000000002</v>
      </c>
      <c r="I80" s="49">
        <f t="shared" ca="1" si="2"/>
        <v>1459.6016400000001</v>
      </c>
      <c r="J80" s="15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9.5" customHeight="1">
      <c r="A81" s="7" t="str">
        <f ca="1">IFERROR(__xludf.DUMMYFUNCTION("""COMPUTED_VALUE"""),"ti-ing-63ac2eac-77a4-4a08-942d-2708cdee1af2")</f>
        <v>ti-ing-63ac2eac-77a4-4a08-942d-2708cdee1af2</v>
      </c>
      <c r="B81" s="7" t="str">
        <f ca="1">IFERROR(__xludf.DUMMYFUNCTION("""COMPUTED_VALUE"""),"Syrup Esencia Amaretto 504 (750cc)")</f>
        <v>Syrup Esencia Amaretto 504 (750cc)</v>
      </c>
      <c r="C81" s="48">
        <v>1</v>
      </c>
      <c r="D81" s="52">
        <f ca="1">IFERROR(__xludf.DUMMYFUNCTION("""COMPUTED_VALUE"""),14565.33)</f>
        <v>14565.33</v>
      </c>
      <c r="E81" s="7" t="str">
        <f ca="1">IFERROR(__xludf.DUMMYFUNCTION("""COMPUTED_VALUE"""),"un")</f>
        <v>un</v>
      </c>
      <c r="F81" s="7" t="str">
        <f ca="1">IFERROR(__xludf.DUMMYFUNCTION("""COMPUTED_VALUE"""),"Cafetería")</f>
        <v>Cafetería</v>
      </c>
      <c r="G81" s="49">
        <f t="shared" ca="1" si="0"/>
        <v>14565.33</v>
      </c>
      <c r="H81" s="49">
        <f t="shared" ca="1" si="1"/>
        <v>2767.4126999999999</v>
      </c>
      <c r="I81" s="49">
        <f t="shared" ca="1" si="2"/>
        <v>17332.742699999999</v>
      </c>
      <c r="J81" s="15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9.5" customHeight="1">
      <c r="A82" s="7" t="str">
        <f ca="1">IFERROR(__xludf.DUMMYFUNCTION("""COMPUTED_VALUE"""),"ti-ing-c849733f-e001-48f8-93bc-ba7bae902493")</f>
        <v>ti-ing-c849733f-e001-48f8-93bc-ba7bae902493</v>
      </c>
      <c r="B82" s="7" t="str">
        <f ca="1">IFERROR(__xludf.DUMMYFUNCTION("""COMPUTED_VALUE"""),"Syrup Esencia Avellana 504 (750cc)")</f>
        <v>Syrup Esencia Avellana 504 (750cc)</v>
      </c>
      <c r="C82" s="48">
        <v>0.93300000000000005</v>
      </c>
      <c r="D82" s="52">
        <f ca="1">IFERROR(__xludf.DUMMYFUNCTION("""COMPUTED_VALUE"""),14565.33)</f>
        <v>14565.33</v>
      </c>
      <c r="E82" s="7" t="str">
        <f ca="1">IFERROR(__xludf.DUMMYFUNCTION("""COMPUTED_VALUE"""),"un")</f>
        <v>un</v>
      </c>
      <c r="F82" s="7" t="str">
        <f ca="1">IFERROR(__xludf.DUMMYFUNCTION("""COMPUTED_VALUE"""),"Cafetería")</f>
        <v>Cafetería</v>
      </c>
      <c r="G82" s="49">
        <f t="shared" ca="1" si="0"/>
        <v>13589.45289</v>
      </c>
      <c r="H82" s="49">
        <f t="shared" ca="1" si="1"/>
        <v>2581.9960491000002</v>
      </c>
      <c r="I82" s="49">
        <f t="shared" ca="1" si="2"/>
        <v>16171.448939100001</v>
      </c>
      <c r="J82" s="15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9.5" customHeight="1">
      <c r="A83" s="7" t="str">
        <f ca="1">IFERROR(__xludf.DUMMYFUNCTION("""COMPUTED_VALUE"""),"ti-ing-5a1c804e-222c-4669-a220-bc3d876665b0")</f>
        <v>ti-ing-5a1c804e-222c-4669-a220-bc3d876665b0</v>
      </c>
      <c r="B83" s="7" t="str">
        <f ca="1">IFERROR(__xludf.DUMMYFUNCTION("""COMPUTED_VALUE"""),"Syrup Esencia Canela 504 (750cc)")</f>
        <v>Syrup Esencia Canela 504 (750cc)</v>
      </c>
      <c r="C83" s="48">
        <v>0.6</v>
      </c>
      <c r="D83" s="52">
        <f ca="1">IFERROR(__xludf.DUMMYFUNCTION("""COMPUTED_VALUE"""),14565.33)</f>
        <v>14565.33</v>
      </c>
      <c r="E83" s="7" t="str">
        <f ca="1">IFERROR(__xludf.DUMMYFUNCTION("""COMPUTED_VALUE"""),"un")</f>
        <v>un</v>
      </c>
      <c r="F83" s="7" t="str">
        <f ca="1">IFERROR(__xludf.DUMMYFUNCTION("""COMPUTED_VALUE"""),"Cafetería")</f>
        <v>Cafetería</v>
      </c>
      <c r="G83" s="49">
        <f t="shared" ca="1" si="0"/>
        <v>8739.1980000000003</v>
      </c>
      <c r="H83" s="49">
        <f t="shared" ca="1" si="1"/>
        <v>1660.4476200000001</v>
      </c>
      <c r="I83" s="49">
        <f t="shared" ca="1" si="2"/>
        <v>10399.645620000001</v>
      </c>
      <c r="J83" s="15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9.5" customHeight="1">
      <c r="A84" s="7" t="str">
        <f ca="1">IFERROR(__xludf.DUMMYFUNCTION("""COMPUTED_VALUE"""),"ti-ing-2afee1a4-7742-432e-9582-e7f1946d3437")</f>
        <v>ti-ing-2afee1a4-7742-432e-9582-e7f1946d3437</v>
      </c>
      <c r="B84" s="7" t="str">
        <f ca="1">IFERROR(__xludf.DUMMYFUNCTION("""COMPUTED_VALUE"""),"Syrup Esencia Caramelo 504 (750cc)")</f>
        <v>Syrup Esencia Caramelo 504 (750cc)</v>
      </c>
      <c r="C84" s="48">
        <v>0.53</v>
      </c>
      <c r="D84" s="52">
        <f ca="1">IFERROR(__xludf.DUMMYFUNCTION("""COMPUTED_VALUE"""),14565.33)</f>
        <v>14565.33</v>
      </c>
      <c r="E84" s="7" t="str">
        <f ca="1">IFERROR(__xludf.DUMMYFUNCTION("""COMPUTED_VALUE"""),"UN")</f>
        <v>UN</v>
      </c>
      <c r="F84" s="7" t="str">
        <f ca="1">IFERROR(__xludf.DUMMYFUNCTION("""COMPUTED_VALUE"""),"Cafetería")</f>
        <v>Cafetería</v>
      </c>
      <c r="G84" s="49">
        <f t="shared" ca="1" si="0"/>
        <v>7719.6249000000007</v>
      </c>
      <c r="H84" s="49">
        <f t="shared" ca="1" si="1"/>
        <v>1466.7287310000002</v>
      </c>
      <c r="I84" s="49">
        <f t="shared" ca="1" si="2"/>
        <v>9186.3536310000018</v>
      </c>
      <c r="J84" s="15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9.5" customHeight="1">
      <c r="A85" s="7" t="str">
        <f ca="1">IFERROR(__xludf.DUMMYFUNCTION("""COMPUTED_VALUE"""),"ti-ing-19d34ff0-8607-4466-898f-87c0df45d86b")</f>
        <v>ti-ing-19d34ff0-8607-4466-898f-87c0df45d86b</v>
      </c>
      <c r="B85" s="7" t="str">
        <f ca="1">IFERROR(__xludf.DUMMYFUNCTION("""COMPUTED_VALUE"""),"Syrup Esencia Chai 504 (750cc)")</f>
        <v>Syrup Esencia Chai 504 (750cc)</v>
      </c>
      <c r="C85" s="48">
        <v>0.4</v>
      </c>
      <c r="D85" s="52">
        <f ca="1">IFERROR(__xludf.DUMMYFUNCTION("""COMPUTED_VALUE"""),16000)</f>
        <v>16000</v>
      </c>
      <c r="E85" s="7" t="str">
        <f ca="1">IFERROR(__xludf.DUMMYFUNCTION("""COMPUTED_VALUE"""),"UN")</f>
        <v>UN</v>
      </c>
      <c r="F85" s="7" t="str">
        <f ca="1">IFERROR(__xludf.DUMMYFUNCTION("""COMPUTED_VALUE"""),"Cafetería")</f>
        <v>Cafetería</v>
      </c>
      <c r="G85" s="49">
        <f t="shared" ca="1" si="0"/>
        <v>6400</v>
      </c>
      <c r="H85" s="49">
        <f t="shared" ca="1" si="1"/>
        <v>1216</v>
      </c>
      <c r="I85" s="49">
        <f t="shared" ca="1" si="2"/>
        <v>7616</v>
      </c>
      <c r="J85" s="15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9.5" customHeight="1">
      <c r="A86" s="7" t="str">
        <f ca="1">IFERROR(__xludf.DUMMYFUNCTION("""COMPUTED_VALUE"""),"ti-ing-6e43ce5e-9ab8-48be-8833-ad92e26a4c39")</f>
        <v>ti-ing-6e43ce5e-9ab8-48be-8833-ad92e26a4c39</v>
      </c>
      <c r="B86" s="7" t="str">
        <f ca="1">IFERROR(__xludf.DUMMYFUNCTION("""COMPUTED_VALUE"""),"Syrup Esencia coco 504 (750cc)")</f>
        <v>Syrup Esencia coco 504 (750cc)</v>
      </c>
      <c r="C86" s="48">
        <v>0.8</v>
      </c>
      <c r="D86" s="52">
        <f ca="1">IFERROR(__xludf.DUMMYFUNCTION("""COMPUTED_VALUE"""),14565.33)</f>
        <v>14565.33</v>
      </c>
      <c r="E86" s="7" t="str">
        <f ca="1">IFERROR(__xludf.DUMMYFUNCTION("""COMPUTED_VALUE"""),"UN")</f>
        <v>UN</v>
      </c>
      <c r="F86" s="7" t="str">
        <f ca="1">IFERROR(__xludf.DUMMYFUNCTION("""COMPUTED_VALUE"""),"Cafetería")</f>
        <v>Cafetería</v>
      </c>
      <c r="G86" s="49">
        <f t="shared" ca="1" si="0"/>
        <v>11652.264000000001</v>
      </c>
      <c r="H86" s="49">
        <f t="shared" ca="1" si="1"/>
        <v>2213.9301600000003</v>
      </c>
      <c r="I86" s="49">
        <f t="shared" ca="1" si="2"/>
        <v>13866.194160000001</v>
      </c>
      <c r="J86" s="15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9.5" customHeight="1">
      <c r="A87" s="7" t="str">
        <f ca="1">IFERROR(__xludf.DUMMYFUNCTION("""COMPUTED_VALUE"""),"ti-ing-b0ff34ea-0e7e-455b-90d0-99c07f16b527")</f>
        <v>ti-ing-b0ff34ea-0e7e-455b-90d0-99c07f16b527</v>
      </c>
      <c r="B87" s="7" t="str">
        <f ca="1">IFERROR(__xludf.DUMMYFUNCTION("""COMPUTED_VALUE"""),"Syrup Esencia Menta 504 (750cc)")</f>
        <v>Syrup Esencia Menta 504 (750cc)</v>
      </c>
      <c r="C87" s="48">
        <v>0.53</v>
      </c>
      <c r="D87" s="52">
        <f ca="1">IFERROR(__xludf.DUMMYFUNCTION("""COMPUTED_VALUE"""),14565.33)</f>
        <v>14565.33</v>
      </c>
      <c r="E87" s="7" t="str">
        <f ca="1">IFERROR(__xludf.DUMMYFUNCTION("""COMPUTED_VALUE"""),"UN")</f>
        <v>UN</v>
      </c>
      <c r="F87" s="7" t="str">
        <f ca="1">IFERROR(__xludf.DUMMYFUNCTION("""COMPUTED_VALUE"""),"Cafetería")</f>
        <v>Cafetería</v>
      </c>
      <c r="G87" s="49">
        <f t="shared" ca="1" si="0"/>
        <v>7719.6249000000007</v>
      </c>
      <c r="H87" s="49">
        <f t="shared" ca="1" si="1"/>
        <v>1466.7287310000002</v>
      </c>
      <c r="I87" s="49">
        <f t="shared" ca="1" si="2"/>
        <v>9186.3536310000018</v>
      </c>
      <c r="J87" s="15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9.5" customHeight="1">
      <c r="A88" s="7" t="str">
        <f ca="1">IFERROR(__xludf.DUMMYFUNCTION("""COMPUTED_VALUE"""),"ti-ing-6e0beb61-027c-4b38-9367-426237c4b1f2")</f>
        <v>ti-ing-6e0beb61-027c-4b38-9367-426237c4b1f2</v>
      </c>
      <c r="B88" s="7" t="str">
        <f ca="1">IFERROR(__xludf.DUMMYFUNCTION("""COMPUTED_VALUE"""),"Syrup Esencia Vainilla 504 (750cc)")</f>
        <v>Syrup Esencia Vainilla 504 (750cc)</v>
      </c>
      <c r="C88" s="48">
        <v>1</v>
      </c>
      <c r="D88" s="52">
        <f ca="1">IFERROR(__xludf.DUMMYFUNCTION("""COMPUTED_VALUE"""),14565.33)</f>
        <v>14565.33</v>
      </c>
      <c r="E88" s="7" t="str">
        <f ca="1">IFERROR(__xludf.DUMMYFUNCTION("""COMPUTED_VALUE"""),"UN")</f>
        <v>UN</v>
      </c>
      <c r="F88" s="7" t="str">
        <f ca="1">IFERROR(__xludf.DUMMYFUNCTION("""COMPUTED_VALUE"""),"Cafetería")</f>
        <v>Cafetería</v>
      </c>
      <c r="G88" s="49">
        <f t="shared" ca="1" si="0"/>
        <v>14565.33</v>
      </c>
      <c r="H88" s="49">
        <f t="shared" ca="1" si="1"/>
        <v>2767.4126999999999</v>
      </c>
      <c r="I88" s="49">
        <f t="shared" ca="1" si="2"/>
        <v>17332.742699999999</v>
      </c>
      <c r="J88" s="15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9.5" customHeight="1">
      <c r="A89" s="7" t="str">
        <f ca="1">IFERROR(__xludf.DUMMYFUNCTION("""COMPUTED_VALUE"""),"ti-ing-73f124ed-8131-43ba-8640-d0cb789b4e9e")</f>
        <v>ti-ing-73f124ed-8131-43ba-8640-d0cb789b4e9e</v>
      </c>
      <c r="B89" s="7" t="str">
        <f ca="1">IFERROR(__xludf.DUMMYFUNCTION("""COMPUTED_VALUE"""),"Balines para sifon BestWhip")</f>
        <v>Balines para sifon BestWhip</v>
      </c>
      <c r="C89" s="48">
        <v>11</v>
      </c>
      <c r="D89" s="52">
        <f ca="1">IFERROR(__xludf.DUMMYFUNCTION("""COMPUTED_VALUE"""),579)</f>
        <v>579</v>
      </c>
      <c r="E89" s="7" t="str">
        <f ca="1">IFERROR(__xludf.DUMMYFUNCTION("""COMPUTED_VALUE"""),"UN")</f>
        <v>UN</v>
      </c>
      <c r="F89" s="7" t="str">
        <f ca="1">IFERROR(__xludf.DUMMYFUNCTION("""COMPUTED_VALUE"""),"Desechables")</f>
        <v>Desechables</v>
      </c>
      <c r="G89" s="49">
        <f t="shared" ca="1" si="0"/>
        <v>6369</v>
      </c>
      <c r="H89" s="49">
        <f t="shared" ca="1" si="1"/>
        <v>1210.1100000000001</v>
      </c>
      <c r="I89" s="49">
        <f t="shared" ca="1" si="2"/>
        <v>7579.1100000000006</v>
      </c>
      <c r="J89" s="15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9.5" customHeight="1">
      <c r="A90" s="7" t="str">
        <f ca="1">IFERROR(__xludf.DUMMYFUNCTION("""COMPUTED_VALUE"""),"ti-ing-505df4ad-6b27-4623-b751-cef96371da79")</f>
        <v>ti-ing-505df4ad-6b27-4623-b751-cef96371da79</v>
      </c>
      <c r="B90" s="7" t="str">
        <f ca="1">IFERROR(__xludf.DUMMYFUNCTION("""COMPUTED_VALUE"""),"Bandeja rectangular n4 carton empanadas")</f>
        <v>Bandeja rectangular n4 carton empanadas</v>
      </c>
      <c r="C90" s="48">
        <v>200</v>
      </c>
      <c r="D90" s="52">
        <f ca="1">IFERROR(__xludf.DUMMYFUNCTION("""COMPUTED_VALUE"""),27.70396)</f>
        <v>27.703959999999999</v>
      </c>
      <c r="E90" s="7" t="str">
        <f ca="1">IFERROR(__xludf.DUMMYFUNCTION("""COMPUTED_VALUE"""),"UN")</f>
        <v>UN</v>
      </c>
      <c r="F90" s="7" t="str">
        <f ca="1">IFERROR(__xludf.DUMMYFUNCTION("""COMPUTED_VALUE"""),"Desechables")</f>
        <v>Desechables</v>
      </c>
      <c r="G90" s="49">
        <f t="shared" ca="1" si="0"/>
        <v>5540.7919999999995</v>
      </c>
      <c r="H90" s="49">
        <f t="shared" ca="1" si="1"/>
        <v>1052.7504799999999</v>
      </c>
      <c r="I90" s="49">
        <f t="shared" ca="1" si="2"/>
        <v>6593.5424799999992</v>
      </c>
      <c r="J90" s="15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9.5" customHeight="1">
      <c r="A91" s="7" t="str">
        <f ca="1">IFERROR(__xludf.DUMMYFUNCTION("""COMPUTED_VALUE"""),"ti-ing-364ff0c9-e139-4020-bd12-d99eae1a49cd")</f>
        <v>ti-ing-364ff0c9-e139-4020-bd12-d99eae1a49cd</v>
      </c>
      <c r="B91" s="7" t="str">
        <f ca="1">IFERROR(__xludf.DUMMYFUNCTION("""COMPUTED_VALUE"""),"Bolsa Celofan 8x20 cubiertos")</f>
        <v>Bolsa Celofan 8x20 cubiertos</v>
      </c>
      <c r="C91" s="48">
        <v>100</v>
      </c>
      <c r="D91" s="52">
        <f ca="1">IFERROR(__xludf.DUMMYFUNCTION("""COMPUTED_VALUE"""),20.97)</f>
        <v>20.97</v>
      </c>
      <c r="E91" s="7" t="str">
        <f ca="1">IFERROR(__xludf.DUMMYFUNCTION("""COMPUTED_VALUE"""),"un")</f>
        <v>un</v>
      </c>
      <c r="F91" s="7" t="str">
        <f ca="1">IFERROR(__xludf.DUMMYFUNCTION("""COMPUTED_VALUE"""),"Desechables")</f>
        <v>Desechables</v>
      </c>
      <c r="G91" s="49">
        <f t="shared" ca="1" si="0"/>
        <v>2097</v>
      </c>
      <c r="H91" s="49">
        <f t="shared" ca="1" si="1"/>
        <v>398.43</v>
      </c>
      <c r="I91" s="49">
        <f t="shared" ca="1" si="2"/>
        <v>2495.4299999999998</v>
      </c>
      <c r="J91" s="15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9.5" customHeight="1">
      <c r="A92" s="7" t="str">
        <f ca="1">IFERROR(__xludf.DUMMYFUNCTION("""COMPUTED_VALUE"""),"ti-ing-87d71194-0848-4d96-bf1e-88911a7b1aca")</f>
        <v>ti-ing-87d71194-0848-4d96-bf1e-88911a7b1aca</v>
      </c>
      <c r="B92" s="7" t="str">
        <f ca="1">IFERROR(__xludf.DUMMYFUNCTION("""COMPUTED_VALUE"""),"Bolsa De Te Vacia")</f>
        <v>Bolsa De Te Vacia</v>
      </c>
      <c r="C92" s="48">
        <v>189</v>
      </c>
      <c r="D92" s="52">
        <f ca="1">IFERROR(__xludf.DUMMYFUNCTION("""COMPUTED_VALUE"""),6)</f>
        <v>6</v>
      </c>
      <c r="E92" s="7" t="str">
        <f ca="1">IFERROR(__xludf.DUMMYFUNCTION("""COMPUTED_VALUE"""),"UN")</f>
        <v>UN</v>
      </c>
      <c r="F92" s="7" t="str">
        <f ca="1">IFERROR(__xludf.DUMMYFUNCTION("""COMPUTED_VALUE"""),"Desechables")</f>
        <v>Desechables</v>
      </c>
      <c r="G92" s="49">
        <f t="shared" ca="1" si="0"/>
        <v>1134</v>
      </c>
      <c r="H92" s="49">
        <f t="shared" ca="1" si="1"/>
        <v>215.46</v>
      </c>
      <c r="I92" s="49">
        <f t="shared" ca="1" si="2"/>
        <v>1349.46</v>
      </c>
      <c r="J92" s="15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9.5" customHeight="1">
      <c r="A93" s="7" t="str">
        <f ca="1">IFERROR(__xludf.DUMMYFUNCTION("""COMPUTED_VALUE"""),"ti-ing-022d8136-e142-4e65-9ece-9de98d9f28b4")</f>
        <v>ti-ing-022d8136-e142-4e65-9ece-9de98d9f28b4</v>
      </c>
      <c r="B93" s="7" t="str">
        <f ca="1">IFERROR(__xludf.DUMMYFUNCTION("""COMPUTED_VALUE"""),"BOLSA KRAFT CON TROQUEL 28X28X15 (1X500)")</f>
        <v>BOLSA KRAFT CON TROQUEL 28X28X15 (1X500)</v>
      </c>
      <c r="C93" s="48">
        <v>80</v>
      </c>
      <c r="D93" s="52">
        <f ca="1">IFERROR(__xludf.DUMMYFUNCTION("""COMPUTED_VALUE"""),101.162)</f>
        <v>101.16200000000001</v>
      </c>
      <c r="E93" s="7" t="str">
        <f ca="1">IFERROR(__xludf.DUMMYFUNCTION("""COMPUTED_VALUE"""),"UN")</f>
        <v>UN</v>
      </c>
      <c r="F93" s="7" t="str">
        <f ca="1">IFERROR(__xludf.DUMMYFUNCTION("""COMPUTED_VALUE"""),"Desechables")</f>
        <v>Desechables</v>
      </c>
      <c r="G93" s="49">
        <f t="shared" ca="1" si="0"/>
        <v>8092.9600000000009</v>
      </c>
      <c r="H93" s="49">
        <f t="shared" ca="1" si="1"/>
        <v>1537.6624000000002</v>
      </c>
      <c r="I93" s="49">
        <f t="shared" ca="1" si="2"/>
        <v>9630.6224000000002</v>
      </c>
      <c r="J93" s="15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9.5" customHeight="1">
      <c r="A94" s="7" t="str">
        <f ca="1">IFERROR(__xludf.DUMMYFUNCTION("""COMPUTED_VALUE"""),"ti-ing-171a7412-fad1-4c6f-b2ed-c117f284a505")</f>
        <v>ti-ing-171a7412-fad1-4c6f-b2ed-c117f284a505</v>
      </c>
      <c r="B94" s="7" t="str">
        <f ca="1">IFERROR(__xludf.DUMMYFUNCTION("""COMPUTED_VALUE"""),"BOLSA KRAFT CON TROQUEL 32X32X18 (1X200)")</f>
        <v>BOLSA KRAFT CON TROQUEL 32X32X18 (1X200)</v>
      </c>
      <c r="C94" s="48">
        <v>22</v>
      </c>
      <c r="D94" s="52">
        <f ca="1">IFERROR(__xludf.DUMMYFUNCTION("""COMPUTED_VALUE"""),140.49)</f>
        <v>140.49</v>
      </c>
      <c r="E94" s="7" t="str">
        <f ca="1">IFERROR(__xludf.DUMMYFUNCTION("""COMPUTED_VALUE"""),"UN")</f>
        <v>UN</v>
      </c>
      <c r="F94" s="7" t="str">
        <f ca="1">IFERROR(__xludf.DUMMYFUNCTION("""COMPUTED_VALUE"""),"Desechables")</f>
        <v>Desechables</v>
      </c>
      <c r="G94" s="49">
        <f t="shared" ca="1" si="0"/>
        <v>3090.78</v>
      </c>
      <c r="H94" s="49">
        <f t="shared" ca="1" si="1"/>
        <v>587.2482</v>
      </c>
      <c r="I94" s="49">
        <f t="shared" ca="1" si="2"/>
        <v>3678.0282000000002</v>
      </c>
      <c r="J94" s="15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9.5" customHeight="1">
      <c r="A95" s="7" t="str">
        <f ca="1">IFERROR(__xludf.DUMMYFUNCTION("""COMPUTED_VALUE"""),"ti-ing-3f369fe5-7a8e-404f-b4c8-6069d9081623")</f>
        <v>ti-ing-3f369fe5-7a8e-404f-b4c8-6069d9081623</v>
      </c>
      <c r="B95" s="7" t="str">
        <f ca="1">IFERROR(__xludf.DUMMYFUNCTION("""COMPUTED_VALUE"""),"BOLSAS PORCIONADORAS DE PULPA (5 kilos)")</f>
        <v>BOLSAS PORCIONADORAS DE PULPA (5 kilos)</v>
      </c>
      <c r="C95" s="48">
        <v>0.12</v>
      </c>
      <c r="D95" s="52">
        <f ca="1">IFERROR(__xludf.DUMMYFUNCTION("""COMPUTED_VALUE"""),17850)</f>
        <v>17850</v>
      </c>
      <c r="E95" s="7" t="str">
        <f ca="1">IFERROR(__xludf.DUMMYFUNCTION("""COMPUTED_VALUE"""),"UN")</f>
        <v>UN</v>
      </c>
      <c r="F95" s="7" t="str">
        <f ca="1">IFERROR(__xludf.DUMMYFUNCTION("""COMPUTED_VALUE"""),"Desechables")</f>
        <v>Desechables</v>
      </c>
      <c r="G95" s="49">
        <f t="shared" ca="1" si="0"/>
        <v>2142</v>
      </c>
      <c r="H95" s="49">
        <f t="shared" ca="1" si="1"/>
        <v>406.98</v>
      </c>
      <c r="I95" s="49">
        <f t="shared" ca="1" si="2"/>
        <v>2548.98</v>
      </c>
      <c r="J95" s="15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9.5" customHeight="1">
      <c r="A96" s="7" t="str">
        <f ca="1">IFERROR(__xludf.DUMMYFUNCTION("""COMPUTED_VALUE"""),"ti-ing-657d0c90-aee6-466b-953a-6144f3a6e8dd")</f>
        <v>ti-ing-657d0c90-aee6-466b-953a-6144f3a6e8dd</v>
      </c>
      <c r="B96" s="7" t="str">
        <f ca="1">IFERROR(__xludf.DUMMYFUNCTION("""COMPUTED_VALUE"""),"BOMBILLAS (Unidad)")</f>
        <v>BOMBILLAS (Unidad)</v>
      </c>
      <c r="C96" s="48">
        <v>350</v>
      </c>
      <c r="D96" s="52">
        <f ca="1">IFERROR(__xludf.DUMMYFUNCTION("""COMPUTED_VALUE"""),8.03519765)</f>
        <v>8.0351976500000006</v>
      </c>
      <c r="E96" s="7" t="str">
        <f ca="1">IFERROR(__xludf.DUMMYFUNCTION("""COMPUTED_VALUE"""),"UN")</f>
        <v>UN</v>
      </c>
      <c r="F96" s="7" t="str">
        <f ca="1">IFERROR(__xludf.DUMMYFUNCTION("""COMPUTED_VALUE"""),"Desechables")</f>
        <v>Desechables</v>
      </c>
      <c r="G96" s="49">
        <f t="shared" ca="1" si="0"/>
        <v>2812.3191775</v>
      </c>
      <c r="H96" s="49">
        <f t="shared" ca="1" si="1"/>
        <v>534.34064372500006</v>
      </c>
      <c r="I96" s="49">
        <f t="shared" ca="1" si="2"/>
        <v>3346.6598212250001</v>
      </c>
      <c r="J96" s="15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9.5" customHeight="1">
      <c r="A97" s="7" t="str">
        <f ca="1">IFERROR(__xludf.DUMMYFUNCTION("""COMPUTED_VALUE"""),"ti-ing-b9b61920-3597-4e41-bbb7-aad976c547a5")</f>
        <v>ti-ing-b9b61920-3597-4e41-bbb7-aad976c547a5</v>
      </c>
      <c r="B97" s="7" t="str">
        <f ca="1">IFERROR(__xludf.DUMMYFUNCTION("""COMPUTED_VALUE"""),"BOWL KRAFT 1300")</f>
        <v>BOWL KRAFT 1300</v>
      </c>
      <c r="C97" s="48">
        <v>0</v>
      </c>
      <c r="D97" s="52">
        <f ca="1">IFERROR(__xludf.DUMMYFUNCTION("""COMPUTED_VALUE"""),117.6467001)</f>
        <v>117.6467001</v>
      </c>
      <c r="E97" s="7" t="str">
        <f ca="1">IFERROR(__xludf.DUMMYFUNCTION("""COMPUTED_VALUE"""),"UN")</f>
        <v>UN</v>
      </c>
      <c r="F97" s="7" t="str">
        <f ca="1">IFERROR(__xludf.DUMMYFUNCTION("""COMPUTED_VALUE"""),"Desechables")</f>
        <v>Desechables</v>
      </c>
      <c r="G97" s="49">
        <f t="shared" ca="1" si="0"/>
        <v>0</v>
      </c>
      <c r="H97" s="49">
        <f t="shared" ca="1" si="1"/>
        <v>0</v>
      </c>
      <c r="I97" s="49">
        <f t="shared" ca="1" si="2"/>
        <v>0</v>
      </c>
      <c r="J97" s="15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9.5" customHeight="1">
      <c r="A98" s="7" t="str">
        <f ca="1">IFERROR(__xludf.DUMMYFUNCTION("""COMPUTED_VALUE"""),"ti-ing-01eec81f-3fe0-4eca-a163-8d3156ad741d")</f>
        <v>ti-ing-01eec81f-3fe0-4eca-a163-8d3156ad741d</v>
      </c>
      <c r="B98" s="7" t="str">
        <f ca="1">IFERROR(__xludf.DUMMYFUNCTION("""COMPUTED_VALUE"""),"CAJA BRIOCHE CHICA")</f>
        <v>CAJA BRIOCHE CHICA</v>
      </c>
      <c r="C98" s="48">
        <v>41</v>
      </c>
      <c r="D98" s="52">
        <f ca="1">IFERROR(__xludf.DUMMYFUNCTION("""COMPUTED_VALUE"""),128)</f>
        <v>128</v>
      </c>
      <c r="E98" s="7" t="str">
        <f ca="1">IFERROR(__xludf.DUMMYFUNCTION("""COMPUTED_VALUE"""),"UN")</f>
        <v>UN</v>
      </c>
      <c r="F98" s="7" t="str">
        <f ca="1">IFERROR(__xludf.DUMMYFUNCTION("""COMPUTED_VALUE"""),"Desechables")</f>
        <v>Desechables</v>
      </c>
      <c r="G98" s="49">
        <f t="shared" ca="1" si="0"/>
        <v>5248</v>
      </c>
      <c r="H98" s="49">
        <f t="shared" ca="1" si="1"/>
        <v>997.12</v>
      </c>
      <c r="I98" s="49">
        <f t="shared" ca="1" si="2"/>
        <v>6245.12</v>
      </c>
      <c r="J98" s="15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9.5" customHeight="1">
      <c r="A99" s="7" t="str">
        <f ca="1">IFERROR(__xludf.DUMMYFUNCTION("""COMPUTED_VALUE"""),"ti-ing-d9da31d0-599b-48e8-a865-3cb8fc8a6e21")</f>
        <v>ti-ing-d9da31d0-599b-48e8-a865-3cb8fc8a6e21</v>
      </c>
      <c r="B99" s="7" t="str">
        <f ca="1">IFERROR(__xludf.DUMMYFUNCTION("""COMPUTED_VALUE"""),"CAJA BRIOCHE GRANDE")</f>
        <v>CAJA BRIOCHE GRANDE</v>
      </c>
      <c r="C99" s="48">
        <v>51</v>
      </c>
      <c r="D99" s="52">
        <f ca="1">IFERROR(__xludf.DUMMYFUNCTION("""COMPUTED_VALUE"""),155)</f>
        <v>155</v>
      </c>
      <c r="E99" s="7" t="str">
        <f ca="1">IFERROR(__xludf.DUMMYFUNCTION("""COMPUTED_VALUE"""),"un")</f>
        <v>un</v>
      </c>
      <c r="F99" s="7" t="str">
        <f ca="1">IFERROR(__xludf.DUMMYFUNCTION("""COMPUTED_VALUE"""),"Desechables")</f>
        <v>Desechables</v>
      </c>
      <c r="G99" s="49">
        <f t="shared" ca="1" si="0"/>
        <v>7905</v>
      </c>
      <c r="H99" s="49">
        <f t="shared" ca="1" si="1"/>
        <v>1501.95</v>
      </c>
      <c r="I99" s="49">
        <f t="shared" ca="1" si="2"/>
        <v>9406.9500000000007</v>
      </c>
      <c r="J99" s="15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9.5" customHeight="1">
      <c r="A100" s="7" t="str">
        <f ca="1">IFERROR(__xludf.DUMMYFUNCTION("""COMPUTED_VALUE"""),"ti-ing-6eba202e-1eac-456e-ae14-eb2a0b197d41")</f>
        <v>ti-ing-6eba202e-1eac-456e-ae14-eb2a0b197d41</v>
      </c>
      <c r="B100" s="7" t="str">
        <f ca="1">IFERROR(__xludf.DUMMYFUNCTION("""COMPUTED_VALUE"""),"caja kraff con ventana gde")</f>
        <v>caja kraff con ventana gde</v>
      </c>
      <c r="C100" s="48">
        <v>0</v>
      </c>
      <c r="D100" s="52">
        <f ca="1">IFERROR(__xludf.DUMMYFUNCTION("""COMPUTED_VALUE"""),399.96)</f>
        <v>399.96</v>
      </c>
      <c r="E100" s="7" t="str">
        <f ca="1">IFERROR(__xludf.DUMMYFUNCTION("""COMPUTED_VALUE"""),"UN")</f>
        <v>UN</v>
      </c>
      <c r="F100" s="7" t="str">
        <f ca="1">IFERROR(__xludf.DUMMYFUNCTION("""COMPUTED_VALUE"""),"Desechables")</f>
        <v>Desechables</v>
      </c>
      <c r="G100" s="49">
        <f t="shared" ca="1" si="0"/>
        <v>0</v>
      </c>
      <c r="H100" s="49">
        <f t="shared" ca="1" si="1"/>
        <v>0</v>
      </c>
      <c r="I100" s="49">
        <f t="shared" ca="1" si="2"/>
        <v>0</v>
      </c>
      <c r="J100" s="15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9.5" customHeight="1">
      <c r="A101" s="7" t="str">
        <f ca="1">IFERROR(__xludf.DUMMYFUNCTION("""COMPUTED_VALUE"""),"ti-ing-9913b822-0840-4014-8881-2aba5a10c9f4")</f>
        <v>ti-ing-9913b822-0840-4014-8881-2aba5a10c9f4</v>
      </c>
      <c r="B101" s="7" t="str">
        <f ca="1">IFERROR(__xludf.DUMMYFUNCTION("""COMPUTED_VALUE"""),"CAJA KRAFT CON VENTANA CHICA (Caja 200 Un)")</f>
        <v>CAJA KRAFT CON VENTANA CHICA (Caja 200 Un)</v>
      </c>
      <c r="C101" s="48">
        <v>0</v>
      </c>
      <c r="D101" s="52">
        <f ca="1">IFERROR(__xludf.DUMMYFUNCTION("""COMPUTED_VALUE"""),165.335)</f>
        <v>165.33500000000001</v>
      </c>
      <c r="E101" s="7" t="str">
        <f ca="1">IFERROR(__xludf.DUMMYFUNCTION("""COMPUTED_VALUE"""),"UN")</f>
        <v>UN</v>
      </c>
      <c r="F101" s="7" t="str">
        <f ca="1">IFERROR(__xludf.DUMMYFUNCTION("""COMPUTED_VALUE"""),"Desechables")</f>
        <v>Desechables</v>
      </c>
      <c r="G101" s="49">
        <f t="shared" ca="1" si="0"/>
        <v>0</v>
      </c>
      <c r="H101" s="49">
        <f t="shared" ca="1" si="1"/>
        <v>0</v>
      </c>
      <c r="I101" s="49">
        <f t="shared" ca="1" si="2"/>
        <v>0</v>
      </c>
      <c r="J101" s="15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9.5" customHeight="1">
      <c r="A102" s="7" t="str">
        <f ca="1">IFERROR(__xludf.DUMMYFUNCTION("""COMPUTED_VALUE"""),"ti-ing-6de3399c-b35b-4eb5-ae73-cad819723851")</f>
        <v>ti-ing-6de3399c-b35b-4eb5-ae73-cad819723851</v>
      </c>
      <c r="B102" s="7" t="str">
        <f ca="1">IFERROR(__xludf.DUMMYFUNCTION("""COMPUTED_VALUE"""),"Cubre calzado (100un)")</f>
        <v>Cubre calzado (100un)</v>
      </c>
      <c r="C102" s="48">
        <v>0.4</v>
      </c>
      <c r="D102" s="52">
        <f ca="1">IFERROR(__xludf.DUMMYFUNCTION("""COMPUTED_VALUE"""),2680)</f>
        <v>2680</v>
      </c>
      <c r="E102" s="7" t="str">
        <f ca="1">IFERROR(__xludf.DUMMYFUNCTION("""COMPUTED_VALUE"""),"UN")</f>
        <v>UN</v>
      </c>
      <c r="F102" s="7" t="str">
        <f ca="1">IFERROR(__xludf.DUMMYFUNCTION("""COMPUTED_VALUE"""),"Desechables")</f>
        <v>Desechables</v>
      </c>
      <c r="G102" s="49">
        <f t="shared" ca="1" si="0"/>
        <v>1072</v>
      </c>
      <c r="H102" s="49">
        <f t="shared" ca="1" si="1"/>
        <v>203.68</v>
      </c>
      <c r="I102" s="49">
        <f t="shared" ca="1" si="2"/>
        <v>1275.68</v>
      </c>
      <c r="J102" s="15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9.5" customHeight="1">
      <c r="A103" s="7" t="str">
        <f ca="1">IFERROR(__xludf.DUMMYFUNCTION("""COMPUTED_VALUE"""),"ti-ing-079ee413-db86-4e4b-881a-4dc4a49fef4c")</f>
        <v>ti-ing-079ee413-db86-4e4b-881a-4dc4a49fef4c</v>
      </c>
      <c r="B103" s="7" t="str">
        <f ca="1">IFERROR(__xludf.DUMMYFUNCTION("""COMPUTED_VALUE"""),"ENVASE PET- 7189 TORTA INDIVIDUAL")</f>
        <v>ENVASE PET- 7189 TORTA INDIVIDUAL</v>
      </c>
      <c r="C103" s="48">
        <v>10</v>
      </c>
      <c r="D103" s="52">
        <f ca="1">IFERROR(__xludf.DUMMYFUNCTION("""COMPUTED_VALUE"""),71.65)</f>
        <v>71.650000000000006</v>
      </c>
      <c r="E103" s="7" t="str">
        <f ca="1">IFERROR(__xludf.DUMMYFUNCTION("""COMPUTED_VALUE"""),"UN")</f>
        <v>UN</v>
      </c>
      <c r="F103" s="7" t="str">
        <f ca="1">IFERROR(__xludf.DUMMYFUNCTION("""COMPUTED_VALUE"""),"Desechables")</f>
        <v>Desechables</v>
      </c>
      <c r="G103" s="49">
        <f t="shared" ca="1" si="0"/>
        <v>716.5</v>
      </c>
      <c r="H103" s="49">
        <f t="shared" ca="1" si="1"/>
        <v>136.13499999999999</v>
      </c>
      <c r="I103" s="49">
        <f t="shared" ca="1" si="2"/>
        <v>852.63499999999999</v>
      </c>
      <c r="J103" s="15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9.5" customHeight="1">
      <c r="A104" s="7" t="str">
        <f ca="1">IFERROR(__xludf.DUMMYFUNCTION("""COMPUTED_VALUE"""),"ti-ing-17b3be36-797d-4692-b29b-81b4fc773b2d")</f>
        <v>ti-ing-17b3be36-797d-4692-b29b-81b4fc773b2d</v>
      </c>
      <c r="B104" s="7" t="str">
        <f ca="1">IFERROR(__xludf.DUMMYFUNCTION("""COMPUTED_VALUE"""),"Grifa Alambre (Paquete)")</f>
        <v>Grifa Alambre (Paquete)</v>
      </c>
      <c r="C104" s="48">
        <v>10</v>
      </c>
      <c r="D104" s="52">
        <f ca="1">IFERROR(__xludf.DUMMYFUNCTION("""COMPUTED_VALUE"""),672.2)</f>
        <v>672.2</v>
      </c>
      <c r="E104" s="7" t="str">
        <f ca="1">IFERROR(__xludf.DUMMYFUNCTION("""COMPUTED_VALUE"""),"UN")</f>
        <v>UN</v>
      </c>
      <c r="F104" s="7" t="str">
        <f ca="1">IFERROR(__xludf.DUMMYFUNCTION("""COMPUTED_VALUE"""),"Desechables")</f>
        <v>Desechables</v>
      </c>
      <c r="G104" s="49">
        <f t="shared" ca="1" si="0"/>
        <v>6722</v>
      </c>
      <c r="H104" s="49">
        <f t="shared" ca="1" si="1"/>
        <v>1277.18</v>
      </c>
      <c r="I104" s="49">
        <f t="shared" ca="1" si="2"/>
        <v>7999.18</v>
      </c>
      <c r="J104" s="15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9.5" customHeight="1">
      <c r="A105" s="7" t="str">
        <f ca="1">IFERROR(__xludf.DUMMYFUNCTION("""COMPUTED_VALUE"""),"ti-ing-0ebe9668-e620-4524-bc27-1ead811621ea")</f>
        <v>ti-ing-0ebe9668-e620-4524-bc27-1ead811621ea</v>
      </c>
      <c r="B105" s="7" t="str">
        <f ca="1">IFERROR(__xludf.DUMMYFUNCTION("""COMPUTED_VALUE"""),"PALITOS PARA REVOLVER CAFÉ")</f>
        <v>PALITOS PARA REVOLVER CAFÉ</v>
      </c>
      <c r="C105" s="48">
        <v>800</v>
      </c>
      <c r="D105" s="52">
        <f ca="1">IFERROR(__xludf.DUMMYFUNCTION("""COMPUTED_VALUE"""),18.488)</f>
        <v>18.488</v>
      </c>
      <c r="E105" s="7" t="str">
        <f ca="1">IFERROR(__xludf.DUMMYFUNCTION("""COMPUTED_VALUE"""),"UN")</f>
        <v>UN</v>
      </c>
      <c r="F105" s="7" t="str">
        <f ca="1">IFERROR(__xludf.DUMMYFUNCTION("""COMPUTED_VALUE"""),"Desechables")</f>
        <v>Desechables</v>
      </c>
      <c r="G105" s="49">
        <f t="shared" ca="1" si="0"/>
        <v>14790.4</v>
      </c>
      <c r="H105" s="49">
        <f t="shared" ca="1" si="1"/>
        <v>2810.1759999999999</v>
      </c>
      <c r="I105" s="49">
        <f t="shared" ca="1" si="2"/>
        <v>17600.576000000001</v>
      </c>
      <c r="J105" s="15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9.5" customHeight="1">
      <c r="A106" s="7" t="str">
        <f ca="1">IFERROR(__xludf.DUMMYFUNCTION("""COMPUTED_VALUE"""),"ti-ing-e49e641d-6d0e-4558-a4a7-a4bc64ba0cae")</f>
        <v>ti-ing-e49e641d-6d0e-4558-a4a7-a4bc64ba0cae</v>
      </c>
      <c r="B106" s="7" t="str">
        <f ca="1">IFERROR(__xludf.DUMMYFUNCTION("""COMPUTED_VALUE"""),"PAPEL ALUSA ROLLOS CHICOS")</f>
        <v>PAPEL ALUSA ROLLOS CHICOS</v>
      </c>
      <c r="C106" s="48">
        <v>3</v>
      </c>
      <c r="D106" s="52">
        <f ca="1">IFERROR(__xludf.DUMMYFUNCTION("""COMPUTED_VALUE"""),4115)</f>
        <v>4115</v>
      </c>
      <c r="E106" s="7" t="str">
        <f ca="1">IFERROR(__xludf.DUMMYFUNCTION("""COMPUTED_VALUE"""),"UN")</f>
        <v>UN</v>
      </c>
      <c r="F106" s="7" t="str">
        <f ca="1">IFERROR(__xludf.DUMMYFUNCTION("""COMPUTED_VALUE"""),"Desechables")</f>
        <v>Desechables</v>
      </c>
      <c r="G106" s="49">
        <f t="shared" ca="1" si="0"/>
        <v>12345</v>
      </c>
      <c r="H106" s="49">
        <f t="shared" ca="1" si="1"/>
        <v>2345.5500000000002</v>
      </c>
      <c r="I106" s="49">
        <f t="shared" ca="1" si="2"/>
        <v>14690.55</v>
      </c>
      <c r="J106" s="15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9.5" customHeight="1">
      <c r="A107" s="7" t="str">
        <f ca="1">IFERROR(__xludf.DUMMYFUNCTION("""COMPUTED_VALUE"""),"ti-ing-b903c949-8881-4242-8b4f-c5768b2e23ce")</f>
        <v>ti-ing-b903c949-8881-4242-8b4f-c5768b2e23ce</v>
      </c>
      <c r="B107" s="7" t="str">
        <f ca="1">IFERROR(__xludf.DUMMYFUNCTION("""COMPUTED_VALUE"""),"Papel anti grasa con dibujo 29x42")</f>
        <v>Papel anti grasa con dibujo 29x42</v>
      </c>
      <c r="C107" s="48">
        <v>670</v>
      </c>
      <c r="D107" s="52">
        <f ca="1">IFERROR(__xludf.DUMMYFUNCTION("""COMPUTED_VALUE"""),27)</f>
        <v>27</v>
      </c>
      <c r="E107" s="7" t="str">
        <f ca="1">IFERROR(__xludf.DUMMYFUNCTION("""COMPUTED_VALUE"""),"UN")</f>
        <v>UN</v>
      </c>
      <c r="F107" s="7" t="str">
        <f ca="1">IFERROR(__xludf.DUMMYFUNCTION("""COMPUTED_VALUE"""),"Desechables")</f>
        <v>Desechables</v>
      </c>
      <c r="G107" s="49">
        <f t="shared" ca="1" si="0"/>
        <v>18090</v>
      </c>
      <c r="H107" s="49">
        <f t="shared" ca="1" si="1"/>
        <v>3437.1</v>
      </c>
      <c r="I107" s="49">
        <f t="shared" ca="1" si="2"/>
        <v>21527.1</v>
      </c>
      <c r="J107" s="15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9.5" customHeight="1">
      <c r="A108" s="7" t="str">
        <f ca="1">IFERROR(__xludf.DUMMYFUNCTION("""COMPUTED_VALUE"""),"ti-ing-6d0a205b-09d6-4293-a78a-afa0159d1bec")</f>
        <v>ti-ing-6d0a205b-09d6-4293-a78a-afa0159d1bec</v>
      </c>
      <c r="B108" s="7" t="str">
        <f ca="1">IFERROR(__xludf.DUMMYFUNCTION("""COMPUTED_VALUE"""),"Pet H-88 SERVICIO")</f>
        <v>Pet H-88 SERVICIO</v>
      </c>
      <c r="C108" s="48">
        <v>0</v>
      </c>
      <c r="D108" s="52">
        <f ca="1">IFERROR(__xludf.DUMMYFUNCTION("""COMPUTED_VALUE"""),42.42)</f>
        <v>42.42</v>
      </c>
      <c r="E108" s="7" t="str">
        <f ca="1">IFERROR(__xludf.DUMMYFUNCTION("""COMPUTED_VALUE"""),"UN")</f>
        <v>UN</v>
      </c>
      <c r="F108" s="7" t="str">
        <f ca="1">IFERROR(__xludf.DUMMYFUNCTION("""COMPUTED_VALUE"""),"Desechables")</f>
        <v>Desechables</v>
      </c>
      <c r="G108" s="49">
        <f t="shared" ca="1" si="0"/>
        <v>0</v>
      </c>
      <c r="H108" s="49">
        <f t="shared" ca="1" si="1"/>
        <v>0</v>
      </c>
      <c r="I108" s="49">
        <f t="shared" ca="1" si="2"/>
        <v>0</v>
      </c>
      <c r="J108" s="15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9.5" customHeight="1">
      <c r="A109" s="7" t="str">
        <f ca="1">IFERROR(__xludf.DUMMYFUNCTION("""COMPUTED_VALUE"""),"ti-ing-a89c739b-c97d-4aa3-a802-4d102ddd6fcd")</f>
        <v>ti-ing-a89c739b-c97d-4aa3-a802-4d102ddd6fcd</v>
      </c>
      <c r="B109" s="7" t="str">
        <f ca="1">IFERROR(__xludf.DUMMYFUNCTION("""COMPUTED_VALUE"""),"PORTA VASOS CARTON (1x400) (DELIVERY)")</f>
        <v>PORTA VASOS CARTON (1x400) (DELIVERY)</v>
      </c>
      <c r="C109" s="48">
        <v>19</v>
      </c>
      <c r="D109" s="52">
        <f ca="1">IFERROR(__xludf.DUMMYFUNCTION("""COMPUTED_VALUE"""),84.285)</f>
        <v>84.284999999999997</v>
      </c>
      <c r="E109" s="7" t="str">
        <f ca="1">IFERROR(__xludf.DUMMYFUNCTION("""COMPUTED_VALUE"""),"UN")</f>
        <v>UN</v>
      </c>
      <c r="F109" s="7" t="str">
        <f ca="1">IFERROR(__xludf.DUMMYFUNCTION("""COMPUTED_VALUE"""),"Desechables")</f>
        <v>Desechables</v>
      </c>
      <c r="G109" s="49">
        <f t="shared" ca="1" si="0"/>
        <v>1601.415</v>
      </c>
      <c r="H109" s="49">
        <f t="shared" ca="1" si="1"/>
        <v>304.26884999999999</v>
      </c>
      <c r="I109" s="49">
        <f t="shared" ca="1" si="2"/>
        <v>1905.6838499999999</v>
      </c>
      <c r="J109" s="15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9.5" customHeight="1">
      <c r="A110" s="7" t="str">
        <f ca="1">IFERROR(__xludf.DUMMYFUNCTION("""COMPUTED_VALUE"""),"ti-ing-1110c5d7-8954-4527-b0c0-b9b1acd365b9")</f>
        <v>ti-ing-1110c5d7-8954-4527-b0c0-b9b1acd365b9</v>
      </c>
      <c r="B110" s="7" t="str">
        <f ca="1">IFERROR(__xludf.DUMMYFUNCTION("""COMPUTED_VALUE"""),"Rollo termico terminal de pagos getnet")</f>
        <v>Rollo termico terminal de pagos getnet</v>
      </c>
      <c r="C110" s="48">
        <v>0</v>
      </c>
      <c r="D110" s="52">
        <f ca="1">IFERROR(__xludf.DUMMYFUNCTION("""COMPUTED_VALUE"""),0)</f>
        <v>0</v>
      </c>
      <c r="E110" s="7" t="str">
        <f ca="1">IFERROR(__xludf.DUMMYFUNCTION("""COMPUTED_VALUE"""),"UN")</f>
        <v>UN</v>
      </c>
      <c r="F110" s="7" t="str">
        <f ca="1">IFERROR(__xludf.DUMMYFUNCTION("""COMPUTED_VALUE"""),"Desechables")</f>
        <v>Desechables</v>
      </c>
      <c r="G110" s="49">
        <f t="shared" ca="1" si="0"/>
        <v>0</v>
      </c>
      <c r="H110" s="49">
        <f t="shared" ca="1" si="1"/>
        <v>0</v>
      </c>
      <c r="I110" s="49">
        <f t="shared" ca="1" si="2"/>
        <v>0</v>
      </c>
      <c r="J110" s="15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9.5" customHeight="1">
      <c r="A111" s="7" t="str">
        <f ca="1">IFERROR(__xludf.DUMMYFUNCTION("""COMPUTED_VALUE"""),"ti-ing-2b14e6ff-8b0e-4ff0-a453-30a8f6c3fa87")</f>
        <v>ti-ing-2b14e6ff-8b0e-4ff0-a453-30a8f6c3fa87</v>
      </c>
      <c r="B111" s="7" t="str">
        <f ca="1">IFERROR(__xludf.DUMMYFUNCTION("""COMPUTED_VALUE"""),"ROLLOS DE IMPRESORA GRANDE")</f>
        <v>ROLLOS DE IMPRESORA GRANDE</v>
      </c>
      <c r="C111" s="48">
        <v>2</v>
      </c>
      <c r="D111" s="52">
        <f ca="1">IFERROR(__xludf.DUMMYFUNCTION("""COMPUTED_VALUE"""),1690)</f>
        <v>1690</v>
      </c>
      <c r="E111" s="7" t="str">
        <f ca="1">IFERROR(__xludf.DUMMYFUNCTION("""COMPUTED_VALUE"""),"UN")</f>
        <v>UN</v>
      </c>
      <c r="F111" s="7" t="str">
        <f ca="1">IFERROR(__xludf.DUMMYFUNCTION("""COMPUTED_VALUE"""),"Desechables")</f>
        <v>Desechables</v>
      </c>
      <c r="G111" s="49">
        <f t="shared" ca="1" si="0"/>
        <v>3380</v>
      </c>
      <c r="H111" s="49">
        <f t="shared" ca="1" si="1"/>
        <v>642.20000000000005</v>
      </c>
      <c r="I111" s="49">
        <f t="shared" ca="1" si="2"/>
        <v>4022.2</v>
      </c>
      <c r="J111" s="15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9.5" customHeight="1">
      <c r="A112" s="7" t="str">
        <f ca="1">IFERROR(__xludf.DUMMYFUNCTION("""COMPUTED_VALUE"""),"ti-ing-7d497947-0049-4564-85e1-0955bf6ed17b")</f>
        <v>ti-ing-7d497947-0049-4564-85e1-0955bf6ed17b</v>
      </c>
      <c r="B112" s="7" t="str">
        <f ca="1">IFERROR(__xludf.DUMMYFUNCTION("""COMPUTED_VALUE"""),"SACHET AZUCAR (1000un Caja)")</f>
        <v>SACHET AZUCAR (1000un Caja)</v>
      </c>
      <c r="C112" s="48">
        <v>0.89</v>
      </c>
      <c r="D112" s="52">
        <f ca="1">IFERROR(__xludf.DUMMYFUNCTION("""COMPUTED_VALUE"""),9000)</f>
        <v>9000</v>
      </c>
      <c r="E112" s="7" t="str">
        <f ca="1">IFERROR(__xludf.DUMMYFUNCTION("""COMPUTED_VALUE"""),"UN")</f>
        <v>UN</v>
      </c>
      <c r="F112" s="7" t="str">
        <f ca="1">IFERROR(__xludf.DUMMYFUNCTION("""COMPUTED_VALUE"""),"Desechables")</f>
        <v>Desechables</v>
      </c>
      <c r="G112" s="49">
        <f t="shared" ca="1" si="0"/>
        <v>8010</v>
      </c>
      <c r="H112" s="49">
        <f t="shared" ca="1" si="1"/>
        <v>1521.9</v>
      </c>
      <c r="I112" s="49">
        <f t="shared" ca="1" si="2"/>
        <v>9531.9</v>
      </c>
      <c r="J112" s="15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9.5" customHeight="1">
      <c r="A113" s="7" t="str">
        <f ca="1">IFERROR(__xludf.DUMMYFUNCTION("""COMPUTED_VALUE"""),"ti-ing-081763ad-38c2-44b7-a994-e25dfb7024b6")</f>
        <v>ti-ing-081763ad-38c2-44b7-a994-e25dfb7024b6</v>
      </c>
      <c r="B113" s="7" t="str">
        <f ca="1">IFERROR(__xludf.DUMMYFUNCTION("""COMPUTED_VALUE"""),"SACHET AZUCAR MORENA (000un Caja)")</f>
        <v>SACHET AZUCAR MORENA (000un Caja)</v>
      </c>
      <c r="C113" s="48">
        <v>1</v>
      </c>
      <c r="D113" s="52">
        <f ca="1">IFERROR(__xludf.DUMMYFUNCTION("""COMPUTED_VALUE"""),10000)</f>
        <v>10000</v>
      </c>
      <c r="E113" s="7" t="str">
        <f ca="1">IFERROR(__xludf.DUMMYFUNCTION("""COMPUTED_VALUE"""),"UN")</f>
        <v>UN</v>
      </c>
      <c r="F113" s="7" t="str">
        <f ca="1">IFERROR(__xludf.DUMMYFUNCTION("""COMPUTED_VALUE"""),"Desechables")</f>
        <v>Desechables</v>
      </c>
      <c r="G113" s="49">
        <f t="shared" ca="1" si="0"/>
        <v>10000</v>
      </c>
      <c r="H113" s="49">
        <f t="shared" ca="1" si="1"/>
        <v>1900</v>
      </c>
      <c r="I113" s="49">
        <f t="shared" ca="1" si="2"/>
        <v>11900</v>
      </c>
      <c r="J113" s="15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9.5" customHeight="1">
      <c r="A114" s="7" t="str">
        <f ca="1">IFERROR(__xludf.DUMMYFUNCTION("""COMPUTED_VALUE"""),"ti-ing-b833aefa-aae9-439d-b12b-9b22db071743")</f>
        <v>ti-ing-b833aefa-aae9-439d-b12b-9b22db071743</v>
      </c>
      <c r="B114" s="7" t="str">
        <f ca="1">IFERROR(__xludf.DUMMYFUNCTION("""COMPUTED_VALUE"""),"Sachet De Aceite (300un Caja)")</f>
        <v>Sachet De Aceite (300un Caja)</v>
      </c>
      <c r="C114" s="48">
        <v>0.83299999999999996</v>
      </c>
      <c r="D114" s="52">
        <f ca="1">IFERROR(__xludf.DUMMYFUNCTION("""COMPUTED_VALUE"""),48.8333)</f>
        <v>48.833300000000001</v>
      </c>
      <c r="E114" s="7" t="str">
        <f ca="1">IFERROR(__xludf.DUMMYFUNCTION("""COMPUTED_VALUE"""),"UN")</f>
        <v>UN</v>
      </c>
      <c r="F114" s="7" t="str">
        <f ca="1">IFERROR(__xludf.DUMMYFUNCTION("""COMPUTED_VALUE"""),"Desechables")</f>
        <v>Desechables</v>
      </c>
      <c r="G114" s="49">
        <f t="shared" ca="1" si="0"/>
        <v>40.6781389</v>
      </c>
      <c r="H114" s="49">
        <f t="shared" ca="1" si="1"/>
        <v>7.7288463910000003</v>
      </c>
      <c r="I114" s="49">
        <f t="shared" ca="1" si="2"/>
        <v>48.406985290999998</v>
      </c>
      <c r="J114" s="15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9.5" customHeight="1">
      <c r="A115" s="7" t="str">
        <f ca="1">IFERROR(__xludf.DUMMYFUNCTION("""COMPUTED_VALUE"""),"ti-ing-da46b29f-80e6-4d7b-b347-3568a10b3d7d")</f>
        <v>ti-ing-da46b29f-80e6-4d7b-b347-3568a10b3d7d</v>
      </c>
      <c r="B115" s="7" t="str">
        <f ca="1">IFERROR(__xludf.DUMMYFUNCTION("""COMPUTED_VALUE"""),"SACHET ENDULZANTE (1000unCaja)")</f>
        <v>SACHET ENDULZANTE (1000unCaja)</v>
      </c>
      <c r="C115" s="48">
        <v>0.26</v>
      </c>
      <c r="D115" s="52">
        <f ca="1">IFERROR(__xludf.DUMMYFUNCTION("""COMPUTED_VALUE"""),10000)</f>
        <v>10000</v>
      </c>
      <c r="E115" s="7" t="str">
        <f ca="1">IFERROR(__xludf.DUMMYFUNCTION("""COMPUTED_VALUE"""),"UN")</f>
        <v>UN</v>
      </c>
      <c r="F115" s="7" t="str">
        <f ca="1">IFERROR(__xludf.DUMMYFUNCTION("""COMPUTED_VALUE"""),"Desechables")</f>
        <v>Desechables</v>
      </c>
      <c r="G115" s="49">
        <f t="shared" ca="1" si="0"/>
        <v>2600</v>
      </c>
      <c r="H115" s="49">
        <f t="shared" ca="1" si="1"/>
        <v>494</v>
      </c>
      <c r="I115" s="49">
        <f t="shared" ca="1" si="2"/>
        <v>3094</v>
      </c>
      <c r="J115" s="15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9.5" customHeight="1">
      <c r="A116" s="7" t="str">
        <f ca="1">IFERROR(__xludf.DUMMYFUNCTION("""COMPUTED_VALUE"""),"ti-ing-40eede5f-fb08-441c-a3e8-ffe725776bf9")</f>
        <v>ti-ing-40eede5f-fb08-441c-a3e8-ffe725776bf9</v>
      </c>
      <c r="B116" s="7" t="str">
        <f ca="1">IFERROR(__xludf.DUMMYFUNCTION("""COMPUTED_VALUE"""),"SACHET SAL (2000un Caja)")</f>
        <v>SACHET SAL (2000un Caja)</v>
      </c>
      <c r="C116" s="48">
        <v>0.20499999999999999</v>
      </c>
      <c r="D116" s="52">
        <f ca="1">IFERROR(__xludf.DUMMYFUNCTION("""COMPUTED_VALUE"""),7898)</f>
        <v>7898</v>
      </c>
      <c r="E116" s="7" t="str">
        <f ca="1">IFERROR(__xludf.DUMMYFUNCTION("""COMPUTED_VALUE"""),"UN")</f>
        <v>UN</v>
      </c>
      <c r="F116" s="7" t="str">
        <f ca="1">IFERROR(__xludf.DUMMYFUNCTION("""COMPUTED_VALUE"""),"Desechables")</f>
        <v>Desechables</v>
      </c>
      <c r="G116" s="49">
        <f t="shared" ca="1" si="0"/>
        <v>1619.09</v>
      </c>
      <c r="H116" s="49">
        <f t="shared" ca="1" si="1"/>
        <v>307.62709999999998</v>
      </c>
      <c r="I116" s="49">
        <f t="shared" ca="1" si="2"/>
        <v>1926.7170999999998</v>
      </c>
      <c r="J116" s="15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9.5" customHeight="1">
      <c r="A117" s="7" t="str">
        <f ca="1">IFERROR(__xludf.DUMMYFUNCTION("""COMPUTED_VALUE"""),"ti-ing-ef7db192-d75b-4caf-9b64-4071ac937fdd")</f>
        <v>ti-ing-ef7db192-d75b-4caf-9b64-4071ac937fdd</v>
      </c>
      <c r="B117" s="7" t="str">
        <f ca="1">IFERROR(__xludf.DUMMYFUNCTION("""COMPUTED_VALUE"""),"Sachet Stevia (1000un caj)")</f>
        <v>Sachet Stevia (1000un caj)</v>
      </c>
      <c r="C117" s="48">
        <v>1.018</v>
      </c>
      <c r="D117" s="52">
        <f ca="1">IFERROR(__xludf.DUMMYFUNCTION("""COMPUTED_VALUE"""),15000)</f>
        <v>15000</v>
      </c>
      <c r="E117" s="7" t="str">
        <f ca="1">IFERROR(__xludf.DUMMYFUNCTION("""COMPUTED_VALUE"""),"UN")</f>
        <v>UN</v>
      </c>
      <c r="F117" s="7" t="str">
        <f ca="1">IFERROR(__xludf.DUMMYFUNCTION("""COMPUTED_VALUE"""),"Desechables")</f>
        <v>Desechables</v>
      </c>
      <c r="G117" s="49">
        <f t="shared" ca="1" si="0"/>
        <v>15270</v>
      </c>
      <c r="H117" s="49">
        <f t="shared" ca="1" si="1"/>
        <v>2901.3</v>
      </c>
      <c r="I117" s="49">
        <f t="shared" ca="1" si="2"/>
        <v>18171.3</v>
      </c>
      <c r="J117" s="15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9.5" customHeight="1">
      <c r="A118" s="7" t="str">
        <f ca="1">IFERROR(__xludf.DUMMYFUNCTION("""COMPUTED_VALUE"""),"ti-ing-d8901493-508c-4c40-81e4-bdb1f54453c9")</f>
        <v>ti-ing-d8901493-508c-4c40-81e4-bdb1f54453c9</v>
      </c>
      <c r="B118" s="7" t="str">
        <f ca="1">IFERROR(__xludf.DUMMYFUNCTION("""COMPUTED_VALUE"""),"Saco cafe T-200")</f>
        <v>Saco cafe T-200</v>
      </c>
      <c r="C118" s="48">
        <v>1031</v>
      </c>
      <c r="D118" s="52">
        <f ca="1">IFERROR(__xludf.DUMMYFUNCTION("""COMPUTED_VALUE"""),14.267)</f>
        <v>14.266999999999999</v>
      </c>
      <c r="E118" s="7" t="str">
        <f ca="1">IFERROR(__xludf.DUMMYFUNCTION("""COMPUTED_VALUE"""),"UN")</f>
        <v>UN</v>
      </c>
      <c r="F118" s="7" t="str">
        <f ca="1">IFERROR(__xludf.DUMMYFUNCTION("""COMPUTED_VALUE"""),"Desechables")</f>
        <v>Desechables</v>
      </c>
      <c r="G118" s="49">
        <f t="shared" ca="1" si="0"/>
        <v>14709.277</v>
      </c>
      <c r="H118" s="49">
        <f t="shared" ca="1" si="1"/>
        <v>2794.7626300000002</v>
      </c>
      <c r="I118" s="49">
        <f t="shared" ca="1" si="2"/>
        <v>17504.039629999999</v>
      </c>
      <c r="J118" s="15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9.5" customHeight="1">
      <c r="A119" s="7" t="str">
        <f ca="1">IFERROR(__xludf.DUMMYFUNCTION("""COMPUTED_VALUE"""),"ti-ing-c288eac1-1799-4159-b7f8-9715a4a51bb5")</f>
        <v>ti-ing-c288eac1-1799-4159-b7f8-9715a4a51bb5</v>
      </c>
      <c r="B119" s="7" t="str">
        <f ca="1">IFERROR(__xludf.DUMMYFUNCTION("""COMPUTED_VALUE"""),"SACO CAFE T-400")</f>
        <v>SACO CAFE T-400</v>
      </c>
      <c r="C119" s="48">
        <v>584</v>
      </c>
      <c r="D119" s="52">
        <f ca="1">IFERROR(__xludf.DUMMYFUNCTION("""COMPUTED_VALUE"""),28.38)</f>
        <v>28.38</v>
      </c>
      <c r="E119" s="7" t="str">
        <f ca="1">IFERROR(__xludf.DUMMYFUNCTION("""COMPUTED_VALUE"""),"UN")</f>
        <v>UN</v>
      </c>
      <c r="F119" s="7" t="str">
        <f ca="1">IFERROR(__xludf.DUMMYFUNCTION("""COMPUTED_VALUE"""),"Desechables")</f>
        <v>Desechables</v>
      </c>
      <c r="G119" s="49">
        <f t="shared" ca="1" si="0"/>
        <v>16573.919999999998</v>
      </c>
      <c r="H119" s="49">
        <f t="shared" ca="1" si="1"/>
        <v>3149.0447999999997</v>
      </c>
      <c r="I119" s="49">
        <f t="shared" ca="1" si="2"/>
        <v>19722.964799999998</v>
      </c>
      <c r="J119" s="15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9.5" customHeight="1">
      <c r="A120" s="7" t="str">
        <f ca="1">IFERROR(__xludf.DUMMYFUNCTION("""COMPUTED_VALUE"""),"ti-ing-adbdb3a6-fa6e-4cc0-b438-e716257e73a5")</f>
        <v>ti-ing-adbdb3a6-fa6e-4cc0-b438-e716257e73a5</v>
      </c>
      <c r="B120" s="7" t="str">
        <f ca="1">IFERROR(__xludf.DUMMYFUNCTION("""COMPUTED_VALUE"""),"SACO CAFE T-700")</f>
        <v>SACO CAFE T-700</v>
      </c>
      <c r="C120" s="48">
        <v>237</v>
      </c>
      <c r="D120" s="52">
        <f ca="1">IFERROR(__xludf.DUMMYFUNCTION("""COMPUTED_VALUE"""),42.36)</f>
        <v>42.36</v>
      </c>
      <c r="E120" s="7" t="str">
        <f ca="1">IFERROR(__xludf.DUMMYFUNCTION("""COMPUTED_VALUE"""),"UN")</f>
        <v>UN</v>
      </c>
      <c r="F120" s="7" t="str">
        <f ca="1">IFERROR(__xludf.DUMMYFUNCTION("""COMPUTED_VALUE"""),"Desechables")</f>
        <v>Desechables</v>
      </c>
      <c r="G120" s="49">
        <f t="shared" ca="1" si="0"/>
        <v>10039.32</v>
      </c>
      <c r="H120" s="49">
        <f t="shared" ca="1" si="1"/>
        <v>1907.4708000000001</v>
      </c>
      <c r="I120" s="49">
        <f t="shared" ca="1" si="2"/>
        <v>11946.790799999999</v>
      </c>
      <c r="J120" s="15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9.5" customHeight="1">
      <c r="A121" s="7" t="str">
        <f ca="1">IFERROR(__xludf.DUMMYFUNCTION("""COMPUTED_VALUE"""),"ti-ing-9b7809aa-5c0b-4799-8fde-5d6680df5688")</f>
        <v>ti-ing-9b7809aa-5c0b-4799-8fde-5d6680df5688</v>
      </c>
      <c r="B121" s="7" t="str">
        <f ca="1">IFERROR(__xludf.DUMMYFUNCTION("""COMPUTED_VALUE"""),"SERVILLETA CHICA (200un Paquete)")</f>
        <v>SERVILLETA CHICA (200un Paquete)</v>
      </c>
      <c r="C121" s="48">
        <v>3.1</v>
      </c>
      <c r="D121" s="52">
        <f ca="1">IFERROR(__xludf.DUMMYFUNCTION("""COMPUTED_VALUE"""),734.25)</f>
        <v>734.25</v>
      </c>
      <c r="E121" s="7" t="str">
        <f ca="1">IFERROR(__xludf.DUMMYFUNCTION("""COMPUTED_VALUE"""),"UN")</f>
        <v>UN</v>
      </c>
      <c r="F121" s="7" t="str">
        <f ca="1">IFERROR(__xludf.DUMMYFUNCTION("""COMPUTED_VALUE"""),"Desechables")</f>
        <v>Desechables</v>
      </c>
      <c r="G121" s="49">
        <f t="shared" ca="1" si="0"/>
        <v>2276.1750000000002</v>
      </c>
      <c r="H121" s="49">
        <f t="shared" ca="1" si="1"/>
        <v>432.47325000000006</v>
      </c>
      <c r="I121" s="49">
        <f t="shared" ca="1" si="2"/>
        <v>2708.6482500000002</v>
      </c>
      <c r="J121" s="15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9.5" customHeight="1">
      <c r="A122" s="7" t="str">
        <f ca="1">IFERROR(__xludf.DUMMYFUNCTION("""COMPUTED_VALUE"""),"ti-ing-8a33946c-a301-4d70-8e6f-5bf08aab1505")</f>
        <v>ti-ing-8a33946c-a301-4d70-8e6f-5bf08aab1505</v>
      </c>
      <c r="B122" s="7" t="str">
        <f ca="1">IFERROR(__xludf.DUMMYFUNCTION("""COMPUTED_VALUE"""),"SERVILLETA GRANDE (100un Paquete)")</f>
        <v>SERVILLETA GRANDE (100un Paquete)</v>
      </c>
      <c r="C122" s="48">
        <v>1.8</v>
      </c>
      <c r="D122" s="52">
        <f ca="1">IFERROR(__xludf.DUMMYFUNCTION("""COMPUTED_VALUE"""),1247.292)</f>
        <v>1247.2919999999999</v>
      </c>
      <c r="E122" s="7" t="str">
        <f ca="1">IFERROR(__xludf.DUMMYFUNCTION("""COMPUTED_VALUE"""),"UN")</f>
        <v>UN</v>
      </c>
      <c r="F122" s="7" t="str">
        <f ca="1">IFERROR(__xludf.DUMMYFUNCTION("""COMPUTED_VALUE"""),"Desechables")</f>
        <v>Desechables</v>
      </c>
      <c r="G122" s="49">
        <f t="shared" ca="1" si="0"/>
        <v>2245.1255999999998</v>
      </c>
      <c r="H122" s="49">
        <f t="shared" ca="1" si="1"/>
        <v>426.57386399999996</v>
      </c>
      <c r="I122" s="49">
        <f t="shared" ca="1" si="2"/>
        <v>2671.6994639999998</v>
      </c>
      <c r="J122" s="15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9.5" customHeight="1">
      <c r="A123" s="7" t="str">
        <f ca="1">IFERROR(__xludf.DUMMYFUNCTION("""COMPUTED_VALUE"""),"ti-ing-cd658cee-a117-438a-b569-785a9aae27da")</f>
        <v>ti-ing-cd658cee-a117-438a-b569-785a9aae27da</v>
      </c>
      <c r="B123" s="7" t="str">
        <f ca="1">IFERROR(__xludf.DUMMYFUNCTION("""COMPUTED_VALUE"""),"Sticker La Brioche")</f>
        <v>Sticker La Brioche</v>
      </c>
      <c r="C123" s="48">
        <v>1000</v>
      </c>
      <c r="D123" s="52">
        <f ca="1">IFERROR(__xludf.DUMMYFUNCTION("""COMPUTED_VALUE"""),25)</f>
        <v>25</v>
      </c>
      <c r="E123" s="7" t="str">
        <f ca="1">IFERROR(__xludf.DUMMYFUNCTION("""COMPUTED_VALUE"""),"un")</f>
        <v>un</v>
      </c>
      <c r="F123" s="7" t="str">
        <f ca="1">IFERROR(__xludf.DUMMYFUNCTION("""COMPUTED_VALUE"""),"Desechables")</f>
        <v>Desechables</v>
      </c>
      <c r="G123" s="49">
        <f t="shared" ca="1" si="0"/>
        <v>25000</v>
      </c>
      <c r="H123" s="49">
        <f t="shared" ca="1" si="1"/>
        <v>4750</v>
      </c>
      <c r="I123" s="49">
        <f t="shared" ca="1" si="2"/>
        <v>29750</v>
      </c>
      <c r="J123" s="15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9.5" customHeight="1">
      <c r="A124" s="7" t="str">
        <f ca="1">IFERROR(__xludf.DUMMYFUNCTION("""COMPUTED_VALUE"""),"ti-ing-5f615c7e-0ecf-4925-aeb1-a3e1d6b038f0")</f>
        <v>ti-ing-5f615c7e-0ecf-4925-aeb1-a3e1d6b038f0</v>
      </c>
      <c r="B124" s="7" t="str">
        <f ca="1">IFERROR(__xludf.DUMMYFUNCTION("""COMPUTED_VALUE"""),"Tapa C-18 Transparente")</f>
        <v>Tapa C-18 Transparente</v>
      </c>
      <c r="C124" s="48">
        <v>50</v>
      </c>
      <c r="D124" s="52">
        <f ca="1">IFERROR(__xludf.DUMMYFUNCTION("""COMPUTED_VALUE"""),75.04157)</f>
        <v>75.041569999999993</v>
      </c>
      <c r="E124" s="7" t="str">
        <f ca="1">IFERROR(__xludf.DUMMYFUNCTION("""COMPUTED_VALUE"""),"UN")</f>
        <v>UN</v>
      </c>
      <c r="F124" s="7" t="str">
        <f ca="1">IFERROR(__xludf.DUMMYFUNCTION("""COMPUTED_VALUE"""),"Desechables")</f>
        <v>Desechables</v>
      </c>
      <c r="G124" s="49">
        <f t="shared" ca="1" si="0"/>
        <v>3752.0784999999996</v>
      </c>
      <c r="H124" s="49">
        <f t="shared" ca="1" si="1"/>
        <v>712.89491499999997</v>
      </c>
      <c r="I124" s="49">
        <f t="shared" ca="1" si="2"/>
        <v>4464.9734149999995</v>
      </c>
      <c r="J124" s="15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9.5" customHeight="1">
      <c r="A125" s="7" t="str">
        <f ca="1">IFERROR(__xludf.DUMMYFUNCTION("""COMPUTED_VALUE"""),"ti-ing-56f980b3-a0b2-4681-914f-f242858e5aa4")</f>
        <v>ti-ing-56f980b3-a0b2-4681-914f-f242858e5aa4</v>
      </c>
      <c r="B125" s="7" t="str">
        <f ca="1">IFERROR(__xludf.DUMMYFUNCTION("""COMPUTED_VALUE"""),"TAPA VASO KRAFT DE CAFÉ CHICO 8 OZ (10x100)")</f>
        <v>TAPA VASO KRAFT DE CAFÉ CHICO 8 OZ (10x100)</v>
      </c>
      <c r="C125" s="48">
        <v>51</v>
      </c>
      <c r="D125" s="52">
        <f ca="1">IFERROR(__xludf.DUMMYFUNCTION("""COMPUTED_VALUE"""),22.19391)</f>
        <v>22.193909999999999</v>
      </c>
      <c r="E125" s="7" t="str">
        <f ca="1">IFERROR(__xludf.DUMMYFUNCTION("""COMPUTED_VALUE"""),"UN")</f>
        <v>UN</v>
      </c>
      <c r="F125" s="7" t="str">
        <f ca="1">IFERROR(__xludf.DUMMYFUNCTION("""COMPUTED_VALUE"""),"Desechables")</f>
        <v>Desechables</v>
      </c>
      <c r="G125" s="49">
        <f t="shared" ca="1" si="0"/>
        <v>1131.88941</v>
      </c>
      <c r="H125" s="49">
        <f t="shared" ca="1" si="1"/>
        <v>215.05898790000001</v>
      </c>
      <c r="I125" s="49">
        <f t="shared" ca="1" si="2"/>
        <v>1346.9483978999999</v>
      </c>
      <c r="J125" s="15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9.5" customHeight="1">
      <c r="A126" s="7" t="str">
        <f ca="1">IFERROR(__xludf.DUMMYFUNCTION("""COMPUTED_VALUE"""),"ti-ing-e8e97ffd-d4fd-4a88-93d3-f1c9f42d2c70")</f>
        <v>ti-ing-e8e97ffd-d4fd-4a88-93d3-f1c9f42d2c70</v>
      </c>
      <c r="B126" s="7" t="str">
        <f ca="1">IFERROR(__xludf.DUMMYFUNCTION("""COMPUTED_VALUE"""),"TAPA VASO KRAFT DE CAFÉ GRANDE 12/16 OZ (20x50)")</f>
        <v>TAPA VASO KRAFT DE CAFÉ GRANDE 12/16 OZ (20x50)</v>
      </c>
      <c r="C126" s="48">
        <v>44</v>
      </c>
      <c r="D126" s="52">
        <f ca="1">IFERROR(__xludf.DUMMYFUNCTION("""COMPUTED_VALUE"""),25.824)</f>
        <v>25.824000000000002</v>
      </c>
      <c r="E126" s="7" t="str">
        <f ca="1">IFERROR(__xludf.DUMMYFUNCTION("""COMPUTED_VALUE"""),"UN")</f>
        <v>UN</v>
      </c>
      <c r="F126" s="7" t="str">
        <f ca="1">IFERROR(__xludf.DUMMYFUNCTION("""COMPUTED_VALUE"""),"Desechables")</f>
        <v>Desechables</v>
      </c>
      <c r="G126" s="49">
        <f t="shared" ca="1" si="0"/>
        <v>1136.2560000000001</v>
      </c>
      <c r="H126" s="49">
        <f t="shared" ca="1" si="1"/>
        <v>215.88864000000001</v>
      </c>
      <c r="I126" s="49">
        <f t="shared" ca="1" si="2"/>
        <v>1352.14464</v>
      </c>
      <c r="J126" s="15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9.5" customHeight="1">
      <c r="A127" s="7" t="str">
        <f ca="1">IFERROR(__xludf.DUMMYFUNCTION("""COMPUTED_VALUE"""),"ti-ing-4ef4c0d1-5801-4432-9578-bf67189095c6")</f>
        <v>ti-ing-4ef4c0d1-5801-4432-9578-bf67189095c6</v>
      </c>
      <c r="B127" s="7" t="str">
        <f ca="1">IFERROR(__xludf.DUMMYFUNCTION("""COMPUTED_VALUE"""),"Tapa vaso plastico transparente La Brioche 16oz")</f>
        <v>Tapa vaso plastico transparente La Brioche 16oz</v>
      </c>
      <c r="C127" s="48">
        <v>72</v>
      </c>
      <c r="D127" s="52">
        <f ca="1">IFERROR(__xludf.DUMMYFUNCTION("""COMPUTED_VALUE"""),19.831)</f>
        <v>19.831</v>
      </c>
      <c r="E127" s="7" t="str">
        <f ca="1">IFERROR(__xludf.DUMMYFUNCTION("""COMPUTED_VALUE"""),"UN")</f>
        <v>UN</v>
      </c>
      <c r="F127" s="7" t="str">
        <f ca="1">IFERROR(__xludf.DUMMYFUNCTION("""COMPUTED_VALUE"""),"Desechables")</f>
        <v>Desechables</v>
      </c>
      <c r="G127" s="49">
        <f t="shared" ca="1" si="0"/>
        <v>1427.8319999999999</v>
      </c>
      <c r="H127" s="49">
        <f t="shared" ca="1" si="1"/>
        <v>271.28807999999998</v>
      </c>
      <c r="I127" s="49">
        <f t="shared" ca="1" si="2"/>
        <v>1699.1200799999999</v>
      </c>
      <c r="J127" s="15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9.5" customHeight="1">
      <c r="A128" s="7" t="str">
        <f ca="1">IFERROR(__xludf.DUMMYFUNCTION("""COMPUTED_VALUE"""),"ti-ing-63ee691c-d1fd-446f-a76e-39a17a192cfa")</f>
        <v>ti-ing-63ee691c-d1fd-446f-a76e-39a17a192cfa</v>
      </c>
      <c r="B128" s="7" t="str">
        <f ca="1">IFERROR(__xludf.DUMMYFUNCTION("""COMPUTED_VALUE"""),"Totebag La Brioche")</f>
        <v>Totebag La Brioche</v>
      </c>
      <c r="C128" s="48">
        <v>13</v>
      </c>
      <c r="D128" s="52">
        <f ca="1">IFERROR(__xludf.DUMMYFUNCTION("""COMPUTED_VALUE"""),1030.48)</f>
        <v>1030.48</v>
      </c>
      <c r="E128" s="7" t="str">
        <f ca="1">IFERROR(__xludf.DUMMYFUNCTION("""COMPUTED_VALUE"""),"UN")</f>
        <v>UN</v>
      </c>
      <c r="F128" s="7" t="str">
        <f ca="1">IFERROR(__xludf.DUMMYFUNCTION("""COMPUTED_VALUE"""),"Desechables")</f>
        <v>Desechables</v>
      </c>
      <c r="G128" s="49">
        <f t="shared" ca="1" si="0"/>
        <v>13396.24</v>
      </c>
      <c r="H128" s="49">
        <f t="shared" ca="1" si="1"/>
        <v>2545.2856000000002</v>
      </c>
      <c r="I128" s="49">
        <f t="shared" ca="1" si="2"/>
        <v>15941.525600000001</v>
      </c>
      <c r="J128" s="15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9.5" customHeight="1">
      <c r="A129" s="7" t="str">
        <f ca="1">IFERROR(__xludf.DUMMYFUNCTION("""COMPUTED_VALUE"""),"ti-ing-6c67fad1-c0b0-4cc1-bcb5-6616cf9ccdef")</f>
        <v>ti-ing-6c67fad1-c0b0-4cc1-bcb5-6616cf9ccdef</v>
      </c>
      <c r="B129" s="7" t="str">
        <f ca="1">IFERROR(__xludf.DUMMYFUNCTION("""COMPUTED_VALUE"""),"Vaso plastico transparente La Brioche 16oz")</f>
        <v>Vaso plastico transparente La Brioche 16oz</v>
      </c>
      <c r="C129" s="48">
        <v>46</v>
      </c>
      <c r="D129" s="52">
        <f ca="1">IFERROR(__xludf.DUMMYFUNCTION("""COMPUTED_VALUE"""),53.76)</f>
        <v>53.76</v>
      </c>
      <c r="E129" s="7" t="str">
        <f ca="1">IFERROR(__xludf.DUMMYFUNCTION("""COMPUTED_VALUE"""),"un")</f>
        <v>un</v>
      </c>
      <c r="F129" s="7" t="str">
        <f ca="1">IFERROR(__xludf.DUMMYFUNCTION("""COMPUTED_VALUE"""),"Desechables")</f>
        <v>Desechables</v>
      </c>
      <c r="G129" s="49">
        <f t="shared" ca="1" si="0"/>
        <v>2472.96</v>
      </c>
      <c r="H129" s="49">
        <f t="shared" ca="1" si="1"/>
        <v>469.86240000000004</v>
      </c>
      <c r="I129" s="49">
        <f t="shared" ca="1" si="2"/>
        <v>2942.8224</v>
      </c>
      <c r="J129" s="15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9.5" customHeight="1">
      <c r="A130" s="7" t="str">
        <f ca="1">IFERROR(__xludf.DUMMYFUNCTION("""COMPUTED_VALUE"""),"ti-ing-38e4a287-f7f0-411b-9aa4-66ed9f4d8879")</f>
        <v>ti-ing-38e4a287-f7f0-411b-9aa4-66ed9f4d8879</v>
      </c>
      <c r="B130" s="7" t="str">
        <f ca="1">IFERROR(__xludf.DUMMYFUNCTION("""COMPUTED_VALUE"""),"Vaso polipapel kraft 8z")</f>
        <v>Vaso polipapel kraft 8z</v>
      </c>
      <c r="C130" s="48">
        <v>0</v>
      </c>
      <c r="D130" s="52">
        <f ca="1">IFERROR(__xludf.DUMMYFUNCTION("""COMPUTED_VALUE"""),35)</f>
        <v>35</v>
      </c>
      <c r="E130" s="7" t="str">
        <f ca="1">IFERROR(__xludf.DUMMYFUNCTION("""COMPUTED_VALUE"""),"UN")</f>
        <v>UN</v>
      </c>
      <c r="F130" s="7" t="str">
        <f ca="1">IFERROR(__xludf.DUMMYFUNCTION("""COMPUTED_VALUE"""),"Desechables")</f>
        <v>Desechables</v>
      </c>
      <c r="G130" s="49">
        <f t="shared" ca="1" si="0"/>
        <v>0</v>
      </c>
      <c r="H130" s="49">
        <f t="shared" ca="1" si="1"/>
        <v>0</v>
      </c>
      <c r="I130" s="49">
        <f t="shared" ca="1" si="2"/>
        <v>0</v>
      </c>
      <c r="J130" s="15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9.5" customHeight="1">
      <c r="A131" s="7" t="str">
        <f ca="1">IFERROR(__xludf.DUMMYFUNCTION("""COMPUTED_VALUE"""),"ti-ing-4ac19bcb-9eb8-4168-b767-1332c4025e39")</f>
        <v>ti-ing-4ac19bcb-9eb8-4168-b767-1332c4025e39</v>
      </c>
      <c r="B131" s="7" t="str">
        <f ca="1">IFERROR(__xludf.DUMMYFUNCTION("""COMPUTED_VALUE"""),"VASOS 350 CC PLASTICO (1x2800)")</f>
        <v>VASOS 350 CC PLASTICO (1x2800)</v>
      </c>
      <c r="C131" s="48">
        <v>18</v>
      </c>
      <c r="D131" s="52">
        <f ca="1">IFERROR(__xludf.DUMMYFUNCTION("""COMPUTED_VALUE"""),55.5686)</f>
        <v>55.568600000000004</v>
      </c>
      <c r="E131" s="7" t="str">
        <f ca="1">IFERROR(__xludf.DUMMYFUNCTION("""COMPUTED_VALUE"""),"UN")</f>
        <v>UN</v>
      </c>
      <c r="F131" s="7" t="str">
        <f ca="1">IFERROR(__xludf.DUMMYFUNCTION("""COMPUTED_VALUE"""),"Desechables")</f>
        <v>Desechables</v>
      </c>
      <c r="G131" s="49">
        <f t="shared" ca="1" si="0"/>
        <v>1000.2348000000001</v>
      </c>
      <c r="H131" s="49">
        <f t="shared" ca="1" si="1"/>
        <v>190.044612</v>
      </c>
      <c r="I131" s="49">
        <f t="shared" ca="1" si="2"/>
        <v>1190.2794120000001</v>
      </c>
      <c r="J131" s="15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9.5" customHeight="1">
      <c r="A132" s="7" t="str">
        <f ca="1">IFERROR(__xludf.DUMMYFUNCTION("""COMPUTED_VALUE"""),"ti-ing-1b068b5c-8486-48c1-95a7-c503be908e2f")</f>
        <v>ti-ing-1b068b5c-8486-48c1-95a7-c503be908e2f</v>
      </c>
      <c r="B132" s="7" t="str">
        <f ca="1">IFERROR(__xludf.DUMMYFUNCTION("""COMPUTED_VALUE"""),"VASOS KRAFT LA BRIOCHE CHICO 8 OZ (20X50)")</f>
        <v>VASOS KRAFT LA BRIOCHE CHICO 8 OZ (20X50)</v>
      </c>
      <c r="C132" s="48">
        <v>78</v>
      </c>
      <c r="D132" s="52">
        <f ca="1">IFERROR(__xludf.DUMMYFUNCTION("""COMPUTED_VALUE"""),46.68825182)</f>
        <v>46.688251819999998</v>
      </c>
      <c r="E132" s="7" t="str">
        <f ca="1">IFERROR(__xludf.DUMMYFUNCTION("""COMPUTED_VALUE"""),"UN")</f>
        <v>UN</v>
      </c>
      <c r="F132" s="7" t="str">
        <f ca="1">IFERROR(__xludf.DUMMYFUNCTION("""COMPUTED_VALUE"""),"Desechables")</f>
        <v>Desechables</v>
      </c>
      <c r="G132" s="49">
        <f t="shared" ca="1" si="0"/>
        <v>3641.6836419599999</v>
      </c>
      <c r="H132" s="49">
        <f t="shared" ca="1" si="1"/>
        <v>691.91989197240002</v>
      </c>
      <c r="I132" s="49">
        <f t="shared" ca="1" si="2"/>
        <v>4333.6035339323998</v>
      </c>
      <c r="J132" s="15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9.5" customHeight="1">
      <c r="A133" s="7" t="str">
        <f ca="1">IFERROR(__xludf.DUMMYFUNCTION("""COMPUTED_VALUE"""),"ti-ing-810c6e51-cf5b-4857-a53b-6b277d684b42")</f>
        <v>ti-ing-810c6e51-cf5b-4857-a53b-6b277d684b42</v>
      </c>
      <c r="B133" s="7" t="str">
        <f ca="1">IFERROR(__xludf.DUMMYFUNCTION("""COMPUTED_VALUE"""),"VASOS KRAFT LA BRIOCHE MEDIANO 12 OZ (50X20)")</f>
        <v>VASOS KRAFT LA BRIOCHE MEDIANO 12 OZ (50X20)</v>
      </c>
      <c r="C133" s="48">
        <v>7</v>
      </c>
      <c r="D133" s="52">
        <f ca="1">IFERROR(__xludf.DUMMYFUNCTION("""COMPUTED_VALUE"""),46.36834499)</f>
        <v>46.368344989999997</v>
      </c>
      <c r="E133" s="7" t="str">
        <f ca="1">IFERROR(__xludf.DUMMYFUNCTION("""COMPUTED_VALUE"""),"UN")</f>
        <v>UN</v>
      </c>
      <c r="F133" s="7" t="str">
        <f ca="1">IFERROR(__xludf.DUMMYFUNCTION("""COMPUTED_VALUE"""),"Desechables")</f>
        <v>Desechables</v>
      </c>
      <c r="G133" s="49">
        <f t="shared" ca="1" si="0"/>
        <v>324.57841493000001</v>
      </c>
      <c r="H133" s="49">
        <f t="shared" ca="1" si="1"/>
        <v>61.6698988367</v>
      </c>
      <c r="I133" s="49">
        <f t="shared" ca="1" si="2"/>
        <v>386.24831376669999</v>
      </c>
      <c r="J133" s="15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9.5" customHeight="1">
      <c r="A134" s="7"/>
      <c r="B134" s="7" t="str">
        <f ca="1">IFERROR(__xludf.DUMMYFUNCTION("""COMPUTED_VALUE"""),"Tenedor madera")</f>
        <v>Tenedor madera</v>
      </c>
      <c r="C134" s="48">
        <v>79</v>
      </c>
      <c r="D134" s="52">
        <f ca="1">IFERROR(__xludf.DUMMYFUNCTION("""COMPUTED_VALUE"""),12.43)</f>
        <v>12.43</v>
      </c>
      <c r="E134" s="7" t="str">
        <f ca="1">IFERROR(__xludf.DUMMYFUNCTION("""COMPUTED_VALUE"""),"UN")</f>
        <v>UN</v>
      </c>
      <c r="F134" s="7" t="str">
        <f ca="1">IFERROR(__xludf.DUMMYFUNCTION("""COMPUTED_VALUE"""),"Desechables")</f>
        <v>Desechables</v>
      </c>
      <c r="G134" s="49">
        <f t="shared" ca="1" si="0"/>
        <v>981.97</v>
      </c>
      <c r="H134" s="49">
        <f t="shared" ca="1" si="1"/>
        <v>186.57429999999999</v>
      </c>
      <c r="I134" s="49">
        <f t="shared" ca="1" si="2"/>
        <v>1168.5443</v>
      </c>
      <c r="J134" s="15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9.5" customHeight="1">
      <c r="A135" s="7"/>
      <c r="B135" s="7" t="str">
        <f ca="1">IFERROR(__xludf.DUMMYFUNCTION("""COMPUTED_VALUE"""),"Cuchillo madera")</f>
        <v>Cuchillo madera</v>
      </c>
      <c r="C135" s="48">
        <v>79</v>
      </c>
      <c r="D135" s="52">
        <f ca="1">IFERROR(__xludf.DUMMYFUNCTION("""COMPUTED_VALUE"""),9.84)</f>
        <v>9.84</v>
      </c>
      <c r="E135" s="7" t="str">
        <f ca="1">IFERROR(__xludf.DUMMYFUNCTION("""COMPUTED_VALUE"""),"UN")</f>
        <v>UN</v>
      </c>
      <c r="F135" s="7" t="str">
        <f ca="1">IFERROR(__xludf.DUMMYFUNCTION("""COMPUTED_VALUE"""),"Desechables")</f>
        <v>Desechables</v>
      </c>
      <c r="G135" s="49">
        <f t="shared" ca="1" si="0"/>
        <v>777.36</v>
      </c>
      <c r="H135" s="49">
        <f t="shared" ca="1" si="1"/>
        <v>147.69839999999999</v>
      </c>
      <c r="I135" s="49">
        <f t="shared" ca="1" si="2"/>
        <v>925.05840000000001</v>
      </c>
      <c r="J135" s="15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9.5" customHeight="1">
      <c r="A136" s="7"/>
      <c r="B136" s="7" t="str">
        <f ca="1">IFERROR(__xludf.DUMMYFUNCTION("""COMPUTED_VALUE"""),"Cuchara madera")</f>
        <v>Cuchara madera</v>
      </c>
      <c r="C136" s="48">
        <v>62</v>
      </c>
      <c r="D136" s="52">
        <f ca="1">IFERROR(__xludf.DUMMYFUNCTION("""COMPUTED_VALUE"""),12.43)</f>
        <v>12.43</v>
      </c>
      <c r="E136" s="7" t="str">
        <f ca="1">IFERROR(__xludf.DUMMYFUNCTION("""COMPUTED_VALUE"""),"UN")</f>
        <v>UN</v>
      </c>
      <c r="F136" s="7" t="str">
        <f ca="1">IFERROR(__xludf.DUMMYFUNCTION("""COMPUTED_VALUE"""),"Desechables")</f>
        <v>Desechables</v>
      </c>
      <c r="G136" s="49">
        <f t="shared" ca="1" si="0"/>
        <v>770.66</v>
      </c>
      <c r="H136" s="49">
        <f t="shared" ca="1" si="1"/>
        <v>146.4254</v>
      </c>
      <c r="I136" s="49">
        <f t="shared" ca="1" si="2"/>
        <v>917.08539999999994</v>
      </c>
      <c r="J136" s="15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9.5" customHeight="1">
      <c r="A137" s="7"/>
      <c r="B137" s="7" t="str">
        <f ca="1">IFERROR(__xludf.DUMMYFUNCTION("""COMPUTED_VALUE"""),"Frutillas")</f>
        <v>Frutillas</v>
      </c>
      <c r="C137" s="48">
        <v>1.1000000000000001</v>
      </c>
      <c r="D137" s="52">
        <f ca="1">IFERROR(__xludf.DUMMYFUNCTION("""COMPUTED_VALUE"""),7000)</f>
        <v>7000</v>
      </c>
      <c r="E137" s="7" t="str">
        <f ca="1">IFERROR(__xludf.DUMMYFUNCTION("""COMPUTED_VALUE"""),"KG")</f>
        <v>KG</v>
      </c>
      <c r="F137" s="7" t="str">
        <f ca="1">IFERROR(__xludf.DUMMYFUNCTION("""COMPUTED_VALUE"""),"Frutas y Verduras")</f>
        <v>Frutas y Verduras</v>
      </c>
      <c r="G137" s="49">
        <f t="shared" ca="1" si="0"/>
        <v>7700.0000000000009</v>
      </c>
      <c r="H137" s="49">
        <f t="shared" ca="1" si="1"/>
        <v>1463.0000000000002</v>
      </c>
      <c r="I137" s="49">
        <f t="shared" ca="1" si="2"/>
        <v>9163.0000000000018</v>
      </c>
      <c r="J137" s="15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9.5" customHeight="1">
      <c r="A138" s="7" t="str">
        <f ca="1">IFERROR(__xludf.DUMMYFUNCTION("""COMPUTED_VALUE"""),"ti-ing-1fd461da-d8b8-447a-9306-56977c2434ec")</f>
        <v>ti-ing-1fd461da-d8b8-447a-9306-56977c2434ec</v>
      </c>
      <c r="B138" s="7" t="str">
        <f ca="1">IFERROR(__xludf.DUMMYFUNCTION("""COMPUTED_VALUE"""),"Limon Sutil")</f>
        <v>Limon Sutil</v>
      </c>
      <c r="C138" s="48">
        <v>2.4</v>
      </c>
      <c r="D138" s="52">
        <f ca="1">IFERROR(__xludf.DUMMYFUNCTION("""COMPUTED_VALUE"""),1990.51)</f>
        <v>1990.51</v>
      </c>
      <c r="E138" s="7" t="str">
        <f ca="1">IFERROR(__xludf.DUMMYFUNCTION("""COMPUTED_VALUE"""),"KG")</f>
        <v>KG</v>
      </c>
      <c r="F138" s="7" t="str">
        <f ca="1">IFERROR(__xludf.DUMMYFUNCTION("""COMPUTED_VALUE"""),"Frutas y Verduras")</f>
        <v>Frutas y Verduras</v>
      </c>
      <c r="G138" s="49">
        <f t="shared" ca="1" si="0"/>
        <v>4777.2240000000002</v>
      </c>
      <c r="H138" s="49">
        <f t="shared" ca="1" si="1"/>
        <v>907.67256000000009</v>
      </c>
      <c r="I138" s="49">
        <f t="shared" ca="1" si="2"/>
        <v>5684.8965600000001</v>
      </c>
      <c r="J138" s="15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9.5" customHeight="1">
      <c r="A139" s="7" t="str">
        <f ca="1">IFERROR(__xludf.DUMMYFUNCTION("""COMPUTED_VALUE"""),"ti-ing-60787c9f-e111-4bf2-8601-3311d46197ae")</f>
        <v>ti-ing-60787c9f-e111-4bf2-8601-3311d46197ae</v>
      </c>
      <c r="B139" s="7" t="str">
        <f ca="1">IFERROR(__xludf.DUMMYFUNCTION("""COMPUTED_VALUE"""),"Crema Vegetal MONA LISA")</f>
        <v>Crema Vegetal MONA LISA</v>
      </c>
      <c r="C139" s="48">
        <v>2</v>
      </c>
      <c r="D139" s="52">
        <f ca="1">IFERROR(__xludf.DUMMYFUNCTION("""COMPUTED_VALUE"""),2890)</f>
        <v>2890</v>
      </c>
      <c r="E139" s="7" t="str">
        <f ca="1">IFERROR(__xludf.DUMMYFUNCTION("""COMPUTED_VALUE"""),"LT")</f>
        <v>LT</v>
      </c>
      <c r="F139" s="7" t="str">
        <f ca="1">IFERROR(__xludf.DUMMYFUNCTION("""COMPUTED_VALUE"""),"Lácteos y Quesos")</f>
        <v>Lácteos y Quesos</v>
      </c>
      <c r="G139" s="49">
        <f t="shared" ca="1" si="0"/>
        <v>5780</v>
      </c>
      <c r="H139" s="49">
        <f t="shared" ca="1" si="1"/>
        <v>1098.2</v>
      </c>
      <c r="I139" s="49">
        <f t="shared" ca="1" si="2"/>
        <v>6878.2</v>
      </c>
      <c r="J139" s="15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9.5" customHeight="1">
      <c r="A140" s="7" t="str">
        <f ca="1">IFERROR(__xludf.DUMMYFUNCTION("""COMPUTED_VALUE"""),"ti-ing-a099253c-8088-44a5-94f5-0a7ec1379344")</f>
        <v>ti-ing-a099253c-8088-44a5-94f5-0a7ec1379344</v>
      </c>
      <c r="B140" s="7" t="str">
        <f ca="1">IFERROR(__xludf.DUMMYFUNCTION("""COMPUTED_VALUE"""),"Leche desc / sin lactosa unidad 1 lt")</f>
        <v>Leche desc / sin lactosa unidad 1 lt</v>
      </c>
      <c r="C140" s="48">
        <v>54</v>
      </c>
      <c r="D140" s="52">
        <f ca="1">IFERROR(__xludf.DUMMYFUNCTION("""COMPUTED_VALUE"""),1123.5)</f>
        <v>1123.5</v>
      </c>
      <c r="E140" s="7" t="str">
        <f ca="1">IFERROR(__xludf.DUMMYFUNCTION("""COMPUTED_VALUE"""),"LT")</f>
        <v>LT</v>
      </c>
      <c r="F140" s="7" t="str">
        <f ca="1">IFERROR(__xludf.DUMMYFUNCTION("""COMPUTED_VALUE"""),"Lácteos y Quesos")</f>
        <v>Lácteos y Quesos</v>
      </c>
      <c r="G140" s="49">
        <f t="shared" ca="1" si="0"/>
        <v>60669</v>
      </c>
      <c r="H140" s="49">
        <f t="shared" ca="1" si="1"/>
        <v>11527.11</v>
      </c>
      <c r="I140" s="49">
        <f t="shared" ca="1" si="2"/>
        <v>72196.11</v>
      </c>
      <c r="J140" s="15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9.5" customHeight="1">
      <c r="A141" s="7" t="str">
        <f ca="1">IFERROR(__xludf.DUMMYFUNCTION("""COMPUTED_VALUE"""),"ti-ing-f217056d-5d63-4d3a-850f-a0137c3c2bc8")</f>
        <v>ti-ing-f217056d-5d63-4d3a-850f-a0137c3c2bc8</v>
      </c>
      <c r="B141" s="7" t="str">
        <f ca="1">IFERROR(__xludf.DUMMYFUNCTION("""COMPUTED_VALUE"""),"Leche entera 1 lt")</f>
        <v>Leche entera 1 lt</v>
      </c>
      <c r="C141" s="48">
        <v>30</v>
      </c>
      <c r="D141" s="52">
        <f ca="1">IFERROR(__xludf.DUMMYFUNCTION("""COMPUTED_VALUE"""),1022.3333)</f>
        <v>1022.3333</v>
      </c>
      <c r="E141" s="7" t="str">
        <f ca="1">IFERROR(__xludf.DUMMYFUNCTION("""COMPUTED_VALUE"""),"LT")</f>
        <v>LT</v>
      </c>
      <c r="F141" s="7" t="str">
        <f ca="1">IFERROR(__xludf.DUMMYFUNCTION("""COMPUTED_VALUE"""),"Lácteos y Quesos")</f>
        <v>Lácteos y Quesos</v>
      </c>
      <c r="G141" s="49">
        <f t="shared" ca="1" si="0"/>
        <v>30669.999</v>
      </c>
      <c r="H141" s="49">
        <f t="shared" ca="1" si="1"/>
        <v>5827.2998100000004</v>
      </c>
      <c r="I141" s="49">
        <f t="shared" ca="1" si="2"/>
        <v>36497.29881</v>
      </c>
      <c r="J141" s="15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9.5" customHeight="1">
      <c r="A142" s="7" t="str">
        <f ca="1">IFERROR(__xludf.DUMMYFUNCTION("""COMPUTED_VALUE"""),"ti-ing-f3d94cde-48f1-42db-8049-c5b03f49e386")</f>
        <v>ti-ing-f3d94cde-48f1-42db-8049-c5b03f49e386</v>
      </c>
      <c r="B142" s="7" t="str">
        <f ca="1">IFERROR(__xludf.DUMMYFUNCTION("""COMPUTED_VALUE"""),"Leche vegetal almendra 1 lt")</f>
        <v>Leche vegetal almendra 1 lt</v>
      </c>
      <c r="C142" s="48">
        <v>1</v>
      </c>
      <c r="D142" s="52">
        <f ca="1">IFERROR(__xludf.DUMMYFUNCTION("""COMPUTED_VALUE"""),1490)</f>
        <v>1490</v>
      </c>
      <c r="E142" s="7" t="str">
        <f ca="1">IFERROR(__xludf.DUMMYFUNCTION("""COMPUTED_VALUE"""),"LT")</f>
        <v>LT</v>
      </c>
      <c r="F142" s="7" t="str">
        <f ca="1">IFERROR(__xludf.DUMMYFUNCTION("""COMPUTED_VALUE"""),"Lácteos y Quesos")</f>
        <v>Lácteos y Quesos</v>
      </c>
      <c r="G142" s="49">
        <f t="shared" ca="1" si="0"/>
        <v>1490</v>
      </c>
      <c r="H142" s="49">
        <f t="shared" ca="1" si="1"/>
        <v>283.10000000000002</v>
      </c>
      <c r="I142" s="49">
        <f t="shared" ca="1" si="2"/>
        <v>1773.1</v>
      </c>
      <c r="J142" s="15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9.5" customHeight="1">
      <c r="A143" s="7" t="str">
        <f ca="1">IFERROR(__xludf.DUMMYFUNCTION("""COMPUTED_VALUE"""),"ti-ing-64b80843-980f-4e02-80ef-5eedfb1ad90d")</f>
        <v>ti-ing-64b80843-980f-4e02-80ef-5eedfb1ad90d</v>
      </c>
      <c r="B143" s="7" t="str">
        <f ca="1">IFERROR(__xludf.DUMMYFUNCTION("""COMPUTED_VALUE"""),"Leche vegetal avena 1 lt")</f>
        <v>Leche vegetal avena 1 lt</v>
      </c>
      <c r="C143" s="48">
        <v>1</v>
      </c>
      <c r="D143" s="52">
        <f ca="1">IFERROR(__xludf.DUMMYFUNCTION("""COMPUTED_VALUE"""),2290)</f>
        <v>2290</v>
      </c>
      <c r="E143" s="7" t="str">
        <f ca="1">IFERROR(__xludf.DUMMYFUNCTION("""COMPUTED_VALUE"""),"LT")</f>
        <v>LT</v>
      </c>
      <c r="F143" s="7" t="str">
        <f ca="1">IFERROR(__xludf.DUMMYFUNCTION("""COMPUTED_VALUE"""),"Lácteos y Quesos")</f>
        <v>Lácteos y Quesos</v>
      </c>
      <c r="G143" s="49">
        <f t="shared" ca="1" si="0"/>
        <v>2290</v>
      </c>
      <c r="H143" s="49">
        <f t="shared" ca="1" si="1"/>
        <v>435.1</v>
      </c>
      <c r="I143" s="49">
        <f t="shared" ca="1" si="2"/>
        <v>2725.1</v>
      </c>
      <c r="J143" s="15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9.5" customHeight="1">
      <c r="A144" s="7" t="str">
        <f ca="1">IFERROR(__xludf.DUMMYFUNCTION("""COMPUTED_VALUE"""),"ti-ing-7f6f3cb5-d68f-4eda-8218-918eb16bfa9b")</f>
        <v>ti-ing-7f6f3cb5-d68f-4eda-8218-918eb16bfa9b</v>
      </c>
      <c r="B144" s="7" t="str">
        <f ca="1">IFERROR(__xludf.DUMMYFUNCTION("""COMPUTED_VALUE"""),"Leche Vegetal Soya 1 lt")</f>
        <v>Leche Vegetal Soya 1 lt</v>
      </c>
      <c r="C144" s="48">
        <v>2</v>
      </c>
      <c r="D144" s="52">
        <f ca="1">IFERROR(__xludf.DUMMYFUNCTION("""COMPUTED_VALUE"""),2290)</f>
        <v>2290</v>
      </c>
      <c r="E144" s="7" t="str">
        <f ca="1">IFERROR(__xludf.DUMMYFUNCTION("""COMPUTED_VALUE"""),"LT")</f>
        <v>LT</v>
      </c>
      <c r="F144" s="7" t="str">
        <f ca="1">IFERROR(__xludf.DUMMYFUNCTION("""COMPUTED_VALUE"""),"Lácteos y Quesos")</f>
        <v>Lácteos y Quesos</v>
      </c>
      <c r="G144" s="49">
        <f t="shared" ca="1" si="0"/>
        <v>4580</v>
      </c>
      <c r="H144" s="49">
        <f t="shared" ca="1" si="1"/>
        <v>870.2</v>
      </c>
      <c r="I144" s="49">
        <f t="shared" ca="1" si="2"/>
        <v>5450.2</v>
      </c>
      <c r="J144" s="15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9.5" customHeight="1">
      <c r="A145" s="7" t="str">
        <f ca="1">IFERROR(__xludf.DUMMYFUNCTION("""COMPUTED_VALUE"""),"ti-ing-2541bdef-1295-48fd-a2a6-eb459571041d")</f>
        <v>ti-ing-2541bdef-1295-48fd-a2a6-eb459571041d</v>
      </c>
      <c r="B145" s="7" t="str">
        <f ca="1">IFERROR(__xludf.DUMMYFUNCTION("""COMPUTED_VALUE"""),"Bicarbonato kg")</f>
        <v>Bicarbonato kg</v>
      </c>
      <c r="C145" s="48">
        <v>0.63300000000000001</v>
      </c>
      <c r="D145" s="52">
        <f ca="1">IFERROR(__xludf.DUMMYFUNCTION("""COMPUTED_VALUE"""),2850)</f>
        <v>2850</v>
      </c>
      <c r="E145" s="7" t="str">
        <f ca="1">IFERROR(__xludf.DUMMYFUNCTION("""COMPUTED_VALUE"""),"KG")</f>
        <v>KG</v>
      </c>
      <c r="F145" s="7" t="str">
        <f ca="1">IFERROR(__xludf.DUMMYFUNCTION("""COMPUTED_VALUE"""),"Pastelería")</f>
        <v>Pastelería</v>
      </c>
      <c r="G145" s="49">
        <f t="shared" ca="1" si="0"/>
        <v>1804.05</v>
      </c>
      <c r="H145" s="49">
        <f t="shared" ca="1" si="1"/>
        <v>342.76949999999999</v>
      </c>
      <c r="I145" s="49">
        <f t="shared" ca="1" si="2"/>
        <v>2146.8195000000001</v>
      </c>
      <c r="J145" s="15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9.5" customHeight="1">
      <c r="A146" s="7" t="str">
        <f ca="1">IFERROR(__xludf.DUMMYFUNCTION("""COMPUTED_VALUE"""),"ti-ing-a11b5aec-b526-418e-8eae-07a24b51f441")</f>
        <v>ti-ing-a11b5aec-b526-418e-8eae-07a24b51f441</v>
      </c>
      <c r="B146" s="7" t="str">
        <f ca="1">IFERROR(__xludf.DUMMYFUNCTION("""COMPUTED_VALUE"""),"Cacao Dulce kg")</f>
        <v>Cacao Dulce kg</v>
      </c>
      <c r="C146" s="48">
        <v>4.5999999999999999E-2</v>
      </c>
      <c r="D146" s="52">
        <f ca="1">IFERROR(__xludf.DUMMYFUNCTION("""COMPUTED_VALUE"""),6030)</f>
        <v>6030</v>
      </c>
      <c r="E146" s="7" t="str">
        <f ca="1">IFERROR(__xludf.DUMMYFUNCTION("""COMPUTED_VALUE"""),"KG")</f>
        <v>KG</v>
      </c>
      <c r="F146" s="7" t="str">
        <f ca="1">IFERROR(__xludf.DUMMYFUNCTION("""COMPUTED_VALUE"""),"Pastelería")</f>
        <v>Pastelería</v>
      </c>
      <c r="G146" s="49">
        <f t="shared" ca="1" si="0"/>
        <v>277.38</v>
      </c>
      <c r="H146" s="49">
        <f t="shared" ca="1" si="1"/>
        <v>52.702199999999998</v>
      </c>
      <c r="I146" s="49">
        <f t="shared" ca="1" si="2"/>
        <v>330.0822</v>
      </c>
      <c r="J146" s="15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9.5" customHeight="1">
      <c r="A147" s="7" t="str">
        <f ca="1">IFERROR(__xludf.DUMMYFUNCTION("""COMPUTED_VALUE"""),"ti-ing-dd0f1244-936b-4a8b-b9b2-4a35e302d871")</f>
        <v>ti-ing-dd0f1244-936b-4a8b-b9b2-4a35e302d871</v>
      </c>
      <c r="B147" s="7" t="str">
        <f ca="1">IFERROR(__xludf.DUMMYFUNCTION("""COMPUTED_VALUE"""),"Canela en polvo kg")</f>
        <v>Canela en polvo kg</v>
      </c>
      <c r="C147" s="48">
        <v>3.5999999999999997E-2</v>
      </c>
      <c r="D147" s="52">
        <f ca="1">IFERROR(__xludf.DUMMYFUNCTION("""COMPUTED_VALUE"""),9950)</f>
        <v>9950</v>
      </c>
      <c r="E147" s="7" t="str">
        <f ca="1">IFERROR(__xludf.DUMMYFUNCTION("""COMPUTED_VALUE"""),"KG")</f>
        <v>KG</v>
      </c>
      <c r="F147" s="7" t="str">
        <f ca="1">IFERROR(__xludf.DUMMYFUNCTION("""COMPUTED_VALUE"""),"Pastelería")</f>
        <v>Pastelería</v>
      </c>
      <c r="G147" s="49">
        <f t="shared" ca="1" si="0"/>
        <v>358.2</v>
      </c>
      <c r="H147" s="49">
        <f t="shared" ca="1" si="1"/>
        <v>68.057999999999993</v>
      </c>
      <c r="I147" s="49">
        <f t="shared" ca="1" si="2"/>
        <v>426.25799999999998</v>
      </c>
      <c r="J147" s="15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9.5" customHeight="1">
      <c r="A148" s="7" t="str">
        <f ca="1">IFERROR(__xludf.DUMMYFUNCTION("""COMPUTED_VALUE"""),"ti-ing-838436a7-39c0-470f-8526-61e27cb03924")</f>
        <v>ti-ing-838436a7-39c0-470f-8526-61e27cb03924</v>
      </c>
      <c r="B148" s="7" t="str">
        <f ca="1">IFERROR(__xludf.DUMMYFUNCTION("""COMPUTED_VALUE"""),"Chocolate Blanco Monedas servicio")</f>
        <v>Chocolate Blanco Monedas servicio</v>
      </c>
      <c r="C148" s="48">
        <v>0.95</v>
      </c>
      <c r="D148" s="52">
        <f ca="1">IFERROR(__xludf.DUMMYFUNCTION("""COMPUTED_VALUE"""),19520)</f>
        <v>19520</v>
      </c>
      <c r="E148" s="7" t="str">
        <f ca="1">IFERROR(__xludf.DUMMYFUNCTION("""COMPUTED_VALUE"""),"KG")</f>
        <v>KG</v>
      </c>
      <c r="F148" s="7" t="str">
        <f ca="1">IFERROR(__xludf.DUMMYFUNCTION("""COMPUTED_VALUE"""),"Pastelería")</f>
        <v>Pastelería</v>
      </c>
      <c r="G148" s="49">
        <f t="shared" ca="1" si="0"/>
        <v>18544</v>
      </c>
      <c r="H148" s="49">
        <f t="shared" ca="1" si="1"/>
        <v>3523.36</v>
      </c>
      <c r="I148" s="49">
        <f t="shared" ca="1" si="2"/>
        <v>22067.360000000001</v>
      </c>
      <c r="J148" s="15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9.5" customHeight="1">
      <c r="A149" s="7"/>
      <c r="B149" s="7" t="str">
        <f ca="1">IFERROR(__xludf.DUMMYFUNCTION("""COMPUTED_VALUE"""),"Galleta oreo entera ")</f>
        <v xml:space="preserve">Galleta oreo entera </v>
      </c>
      <c r="C149" s="48">
        <v>0</v>
      </c>
      <c r="D149" s="52">
        <f ca="1">IFERROR(__xludf.DUMMYFUNCTION("""COMPUTED_VALUE"""),870)</f>
        <v>870</v>
      </c>
      <c r="E149" s="7" t="str">
        <f ca="1">IFERROR(__xludf.DUMMYFUNCTION("""COMPUTED_VALUE"""),"UN")</f>
        <v>UN</v>
      </c>
      <c r="F149" s="7" t="str">
        <f ca="1">IFERROR(__xludf.DUMMYFUNCTION("""COMPUTED_VALUE"""),"Pastelería")</f>
        <v>Pastelería</v>
      </c>
      <c r="G149" s="49">
        <f t="shared" ca="1" si="0"/>
        <v>0</v>
      </c>
      <c r="H149" s="49">
        <f t="shared" ca="1" si="1"/>
        <v>0</v>
      </c>
      <c r="I149" s="49">
        <f t="shared" ca="1" si="2"/>
        <v>0</v>
      </c>
      <c r="J149" s="15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9.5" customHeight="1">
      <c r="A150" s="7"/>
      <c r="B150" s="7" t="str">
        <f ca="1">IFERROR(__xludf.DUMMYFUNCTION("""COMPUTED_VALUE"""),"Galleta oreo molida ")</f>
        <v xml:space="preserve">Galleta oreo molida </v>
      </c>
      <c r="C150" s="48">
        <v>2</v>
      </c>
      <c r="D150" s="52">
        <f ca="1">IFERROR(__xludf.DUMMYFUNCTION("""COMPUTED_VALUE"""),5404)</f>
        <v>5404</v>
      </c>
      <c r="E150" s="7" t="str">
        <f ca="1">IFERROR(__xludf.DUMMYFUNCTION("""COMPUTED_VALUE"""),"KG")</f>
        <v>KG</v>
      </c>
      <c r="F150" s="7" t="str">
        <f ca="1">IFERROR(__xludf.DUMMYFUNCTION("""COMPUTED_VALUE"""),"Pastelería")</f>
        <v>Pastelería</v>
      </c>
      <c r="G150" s="49">
        <f t="shared" ca="1" si="0"/>
        <v>10808</v>
      </c>
      <c r="H150" s="49">
        <f t="shared" ca="1" si="1"/>
        <v>2053.52</v>
      </c>
      <c r="I150" s="49">
        <f t="shared" ca="1" si="2"/>
        <v>12861.52</v>
      </c>
      <c r="J150" s="15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9.5" customHeight="1">
      <c r="A151" s="7"/>
      <c r="B151" s="7" t="str">
        <f ca="1">IFERROR(__xludf.DUMMYFUNCTION("""COMPUTED_VALUE"""),"manjar colun ")</f>
        <v xml:space="preserve">manjar colun </v>
      </c>
      <c r="C151" s="48">
        <v>1</v>
      </c>
      <c r="D151" s="52">
        <f ca="1">IFERROR(__xludf.DUMMYFUNCTION("""COMPUTED_VALUE"""),3187)</f>
        <v>3187</v>
      </c>
      <c r="E151" s="7" t="str">
        <f ca="1">IFERROR(__xludf.DUMMYFUNCTION("""COMPUTED_VALUE"""),"KG")</f>
        <v>KG</v>
      </c>
      <c r="F151" s="7" t="str">
        <f ca="1">IFERROR(__xludf.DUMMYFUNCTION("""COMPUTED_VALUE"""),"Pastelería")</f>
        <v>Pastelería</v>
      </c>
      <c r="G151" s="49">
        <f t="shared" ca="1" si="0"/>
        <v>3187</v>
      </c>
      <c r="H151" s="49">
        <f t="shared" ca="1" si="1"/>
        <v>605.53</v>
      </c>
      <c r="I151" s="49">
        <f t="shared" ca="1" si="2"/>
        <v>3792.5299999999997</v>
      </c>
      <c r="J151" s="15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9.5" customHeight="1">
      <c r="A152" s="7" t="str">
        <f ca="1">IFERROR(__xludf.DUMMYFUNCTION("""COMPUTED_VALUE"""),"ti-ing-d2775d01-0f4a-4325-8e30-1bf0598c39a5")</f>
        <v>ti-ing-d2775d01-0f4a-4325-8e30-1bf0598c39a5</v>
      </c>
      <c r="B152" s="7" t="str">
        <f ca="1">IFERROR(__xludf.DUMMYFUNCTION("""COMPUTED_VALUE"""),"Salsa caramelo")</f>
        <v>Salsa caramelo</v>
      </c>
      <c r="C152" s="48">
        <v>5</v>
      </c>
      <c r="D152" s="52">
        <f ca="1">IFERROR(__xludf.DUMMYFUNCTION("""COMPUTED_VALUE"""),3360)</f>
        <v>3360</v>
      </c>
      <c r="E152" s="7" t="str">
        <f ca="1">IFERROR(__xludf.DUMMYFUNCTION("""COMPUTED_VALUE"""),"UN")</f>
        <v>UN</v>
      </c>
      <c r="F152" s="7" t="str">
        <f ca="1">IFERROR(__xludf.DUMMYFUNCTION("""COMPUTED_VALUE"""),"Pastelería")</f>
        <v>Pastelería</v>
      </c>
      <c r="G152" s="49">
        <f t="shared" ca="1" si="0"/>
        <v>16800</v>
      </c>
      <c r="H152" s="49">
        <f t="shared" ca="1" si="1"/>
        <v>3192</v>
      </c>
      <c r="I152" s="49">
        <f t="shared" ca="1" si="2"/>
        <v>19992</v>
      </c>
      <c r="J152" s="15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9.5" customHeight="1">
      <c r="A153" s="7"/>
      <c r="B153" s="7" t="str">
        <f ca="1">IFERROR(__xludf.DUMMYFUNCTION("""COMPUTED_VALUE"""),"Alfajor nutella ")</f>
        <v xml:space="preserve">Alfajor nutella </v>
      </c>
      <c r="C153" s="48"/>
      <c r="D153" s="52">
        <f ca="1">IFERROR(__xludf.DUMMYFUNCTION("""COMPUTED_VALUE"""),500)</f>
        <v>500</v>
      </c>
      <c r="E153" s="7" t="str">
        <f ca="1">IFERROR(__xludf.DUMMYFUNCTION("""COMPUTED_VALUE"""),"UN")</f>
        <v>UN</v>
      </c>
      <c r="F153" s="7" t="str">
        <f ca="1">IFERROR(__xludf.DUMMYFUNCTION("""COMPUTED_VALUE"""),"Productos Elaborados")</f>
        <v>Productos Elaborados</v>
      </c>
      <c r="G153" s="49">
        <f t="shared" ca="1" si="0"/>
        <v>0</v>
      </c>
      <c r="H153" s="49">
        <f t="shared" ca="1" si="1"/>
        <v>0</v>
      </c>
      <c r="I153" s="49">
        <f t="shared" ca="1" si="2"/>
        <v>0</v>
      </c>
      <c r="J153" s="15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9.5" customHeight="1">
      <c r="A154" s="7"/>
      <c r="B154" s="7" t="str">
        <f ca="1">IFERROR(__xludf.DUMMYFUNCTION("""COMPUTED_VALUE"""),"Alfajor pie de limón")</f>
        <v>Alfajor pie de limón</v>
      </c>
      <c r="C154" s="48"/>
      <c r="D154" s="52">
        <f ca="1">IFERROR(__xludf.DUMMYFUNCTION("""COMPUTED_VALUE"""),500)</f>
        <v>500</v>
      </c>
      <c r="E154" s="7" t="str">
        <f ca="1">IFERROR(__xludf.DUMMYFUNCTION("""COMPUTED_VALUE"""),"UN")</f>
        <v>UN</v>
      </c>
      <c r="F154" s="7" t="str">
        <f ca="1">IFERROR(__xludf.DUMMYFUNCTION("""COMPUTED_VALUE"""),"Productos Elaborados")</f>
        <v>Productos Elaborados</v>
      </c>
      <c r="G154" s="49">
        <f t="shared" ca="1" si="0"/>
        <v>0</v>
      </c>
      <c r="H154" s="49">
        <f t="shared" ca="1" si="1"/>
        <v>0</v>
      </c>
      <c r="I154" s="49">
        <f t="shared" ca="1" si="2"/>
        <v>0</v>
      </c>
      <c r="J154" s="15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9.5" customHeight="1">
      <c r="A155" s="7"/>
      <c r="B155" s="7" t="str">
        <f ca="1">IFERROR(__xludf.DUMMYFUNCTION("""COMPUTED_VALUE"""),"Alfajor pistacho")</f>
        <v>Alfajor pistacho</v>
      </c>
      <c r="C155" s="48"/>
      <c r="D155" s="52">
        <f ca="1">IFERROR(__xludf.DUMMYFUNCTION("""COMPUTED_VALUE"""),611)</f>
        <v>611</v>
      </c>
      <c r="E155" s="7" t="str">
        <f ca="1">IFERROR(__xludf.DUMMYFUNCTION("""COMPUTED_VALUE"""),"UN")</f>
        <v>UN</v>
      </c>
      <c r="F155" s="7" t="str">
        <f ca="1">IFERROR(__xludf.DUMMYFUNCTION("""COMPUTED_VALUE"""),"Productos Elaborados")</f>
        <v>Productos Elaborados</v>
      </c>
      <c r="G155" s="49">
        <f t="shared" ca="1" si="0"/>
        <v>0</v>
      </c>
      <c r="H155" s="49">
        <f t="shared" ca="1" si="1"/>
        <v>0</v>
      </c>
      <c r="I155" s="49">
        <f t="shared" ca="1" si="2"/>
        <v>0</v>
      </c>
      <c r="J155" s="15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9.5" customHeight="1">
      <c r="A156" s="7" t="str">
        <f ca="1">IFERROR(__xludf.DUMMYFUNCTION("""COMPUTED_VALUE"""),"ti-ing-06055fb6-65a2-41ca-945b-3203f9d63b3e")</f>
        <v>ti-ing-06055fb6-65a2-41ca-945b-3203f9d63b3e</v>
      </c>
      <c r="B156" s="7" t="str">
        <f ca="1">IFERROR(__xludf.DUMMYFUNCTION("""COMPUTED_VALUE"""),"Alfajores clasicos")</f>
        <v>Alfajores clasicos</v>
      </c>
      <c r="C156" s="48"/>
      <c r="D156" s="52">
        <f ca="1">IFERROR(__xludf.DUMMYFUNCTION("""COMPUTED_VALUE"""),148)</f>
        <v>148</v>
      </c>
      <c r="E156" s="7" t="str">
        <f ca="1">IFERROR(__xludf.DUMMYFUNCTION("""COMPUTED_VALUE"""),"UN")</f>
        <v>UN</v>
      </c>
      <c r="F156" s="7" t="str">
        <f ca="1">IFERROR(__xludf.DUMMYFUNCTION("""COMPUTED_VALUE"""),"Productos Elaborados")</f>
        <v>Productos Elaborados</v>
      </c>
      <c r="G156" s="49">
        <f t="shared" ca="1" si="0"/>
        <v>0</v>
      </c>
      <c r="H156" s="49">
        <f t="shared" ca="1" si="1"/>
        <v>0</v>
      </c>
      <c r="I156" s="49">
        <f t="shared" ca="1" si="2"/>
        <v>0</v>
      </c>
      <c r="J156" s="15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9.5" customHeight="1">
      <c r="A157" s="7" t="str">
        <f ca="1">IFERROR(__xludf.DUMMYFUNCTION("""COMPUTED_VALUE"""),"ti-ing-cead6fe1-662c-4d38-b508-1fb28ad7eaae")</f>
        <v>ti-ing-cead6fe1-662c-4d38-b508-1fb28ad7eaae</v>
      </c>
      <c r="B157" s="7" t="str">
        <f ca="1">IFERROR(__xludf.DUMMYFUNCTION("""COMPUTED_VALUE"""),"Alfajores de chocolate")</f>
        <v>Alfajores de chocolate</v>
      </c>
      <c r="C157" s="48"/>
      <c r="D157" s="52">
        <f ca="1">IFERROR(__xludf.DUMMYFUNCTION("""COMPUTED_VALUE"""),213)</f>
        <v>213</v>
      </c>
      <c r="E157" s="7" t="str">
        <f ca="1">IFERROR(__xludf.DUMMYFUNCTION("""COMPUTED_VALUE"""),"un")</f>
        <v>un</v>
      </c>
      <c r="F157" s="7" t="str">
        <f ca="1">IFERROR(__xludf.DUMMYFUNCTION("""COMPUTED_VALUE"""),"Productos Elaborados")</f>
        <v>Productos Elaborados</v>
      </c>
      <c r="G157" s="49">
        <f t="shared" ca="1" si="0"/>
        <v>0</v>
      </c>
      <c r="H157" s="49">
        <f t="shared" ca="1" si="1"/>
        <v>0</v>
      </c>
      <c r="I157" s="49">
        <f t="shared" ca="1" si="2"/>
        <v>0</v>
      </c>
      <c r="J157" s="15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9.5" customHeight="1">
      <c r="A158" s="7" t="str">
        <f ca="1">IFERROR(__xludf.DUMMYFUNCTION("""COMPUTED_VALUE"""),"ti-ing-d2cbc387-665d-4102-ac94-18a1ec32b684")</f>
        <v>ti-ing-d2cbc387-665d-4102-ac94-18a1ec32b684</v>
      </c>
      <c r="B158" s="7" t="str">
        <f ca="1">IFERROR(__xludf.DUMMYFUNCTION("""COMPUTED_VALUE"""),"Baguette")</f>
        <v>Baguette</v>
      </c>
      <c r="C158" s="48"/>
      <c r="D158" s="52">
        <f ca="1">IFERROR(__xludf.DUMMYFUNCTION("""COMPUTED_VALUE"""),258)</f>
        <v>258</v>
      </c>
      <c r="E158" s="7" t="str">
        <f ca="1">IFERROR(__xludf.DUMMYFUNCTION("""COMPUTED_VALUE"""),"UN")</f>
        <v>UN</v>
      </c>
      <c r="F158" s="7" t="str">
        <f ca="1">IFERROR(__xludf.DUMMYFUNCTION("""COMPUTED_VALUE"""),"Productos Elaborados")</f>
        <v>Productos Elaborados</v>
      </c>
      <c r="G158" s="49">
        <f t="shared" ca="1" si="0"/>
        <v>0</v>
      </c>
      <c r="H158" s="49">
        <f t="shared" ca="1" si="1"/>
        <v>0</v>
      </c>
      <c r="I158" s="49">
        <f t="shared" ca="1" si="2"/>
        <v>0</v>
      </c>
      <c r="J158" s="15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9.5" customHeight="1">
      <c r="A159" s="7" t="str">
        <f ca="1">IFERROR(__xludf.DUMMYFUNCTION("""COMPUTED_VALUE"""),"ti-ing-05be2238-913d-4290-9cd4-f440d8887d3e")</f>
        <v>ti-ing-05be2238-913d-4290-9cd4-f440d8887d3e</v>
      </c>
      <c r="B159" s="7" t="str">
        <f ca="1">IFERROR(__xludf.DUMMYFUNCTION("""COMPUTED_VALUE"""),"Baguette jamon lechuga tomate,salame")</f>
        <v>Baguette jamon lechuga tomate,salame</v>
      </c>
      <c r="C159" s="48"/>
      <c r="D159" s="52">
        <f ca="1">IFERROR(__xludf.DUMMYFUNCTION("""COMPUTED_VALUE"""),800)</f>
        <v>800</v>
      </c>
      <c r="E159" s="7" t="str">
        <f ca="1">IFERROR(__xludf.DUMMYFUNCTION("""COMPUTED_VALUE"""),"UN")</f>
        <v>UN</v>
      </c>
      <c r="F159" s="7" t="str">
        <f ca="1">IFERROR(__xludf.DUMMYFUNCTION("""COMPUTED_VALUE"""),"Productos Elaborados")</f>
        <v>Productos Elaborados</v>
      </c>
      <c r="G159" s="49">
        <f t="shared" ca="1" si="0"/>
        <v>0</v>
      </c>
      <c r="H159" s="49">
        <f t="shared" ca="1" si="1"/>
        <v>0</v>
      </c>
      <c r="I159" s="49">
        <f t="shared" ca="1" si="2"/>
        <v>0</v>
      </c>
      <c r="J159" s="15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9.5" customHeight="1">
      <c r="A160" s="7" t="str">
        <f ca="1">IFERROR(__xludf.DUMMYFUNCTION("""COMPUTED_VALUE"""),"ti-ing-a378583d-145c-4c6c-86b9-6f1b2c7019f1")</f>
        <v>ti-ing-a378583d-145c-4c6c-86b9-6f1b2c7019f1</v>
      </c>
      <c r="B160" s="7" t="str">
        <f ca="1">IFERROR(__xludf.DUMMYFUNCTION("""COMPUTED_VALUE"""),"Baguette queso crema, jamon , rucula")</f>
        <v>Baguette queso crema, jamon , rucula</v>
      </c>
      <c r="C160" s="48"/>
      <c r="D160" s="52">
        <f ca="1">IFERROR(__xludf.DUMMYFUNCTION("""COMPUTED_VALUE"""),800)</f>
        <v>800</v>
      </c>
      <c r="E160" s="7" t="str">
        <f ca="1">IFERROR(__xludf.DUMMYFUNCTION("""COMPUTED_VALUE"""),"UN")</f>
        <v>UN</v>
      </c>
      <c r="F160" s="7" t="str">
        <f ca="1">IFERROR(__xludf.DUMMYFUNCTION("""COMPUTED_VALUE"""),"Productos Elaborados")</f>
        <v>Productos Elaborados</v>
      </c>
      <c r="G160" s="49">
        <f t="shared" ca="1" si="0"/>
        <v>0</v>
      </c>
      <c r="H160" s="49">
        <f t="shared" ca="1" si="1"/>
        <v>0</v>
      </c>
      <c r="I160" s="49">
        <f t="shared" ca="1" si="2"/>
        <v>0</v>
      </c>
      <c r="J160" s="15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9.5" customHeight="1">
      <c r="A161" s="7" t="str">
        <f ca="1">IFERROR(__xludf.DUMMYFUNCTION("""COMPUTED_VALUE"""),"ti-ing-3aa40fb1-5c47-4416-af5a-8b222e930f5b")</f>
        <v>ti-ing-3aa40fb1-5c47-4416-af5a-8b222e930f5b</v>
      </c>
      <c r="B161" s="7" t="str">
        <f ca="1">IFERROR(__xludf.DUMMYFUNCTION("""COMPUTED_VALUE"""),"Baguettin")</f>
        <v>Baguettin</v>
      </c>
      <c r="C161" s="48"/>
      <c r="D161" s="52">
        <f ca="1">IFERROR(__xludf.DUMMYFUNCTION("""COMPUTED_VALUE"""),200)</f>
        <v>200</v>
      </c>
      <c r="E161" s="7" t="str">
        <f ca="1">IFERROR(__xludf.DUMMYFUNCTION("""COMPUTED_VALUE"""),"UN")</f>
        <v>UN</v>
      </c>
      <c r="F161" s="7" t="str">
        <f ca="1">IFERROR(__xludf.DUMMYFUNCTION("""COMPUTED_VALUE"""),"Productos Elaborados")</f>
        <v>Productos Elaborados</v>
      </c>
      <c r="G161" s="49">
        <f t="shared" ca="1" si="0"/>
        <v>0</v>
      </c>
      <c r="H161" s="49">
        <f t="shared" ca="1" si="1"/>
        <v>0</v>
      </c>
      <c r="I161" s="49">
        <f t="shared" ca="1" si="2"/>
        <v>0</v>
      </c>
      <c r="J161" s="15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9.5" customHeight="1">
      <c r="A162" s="7" t="str">
        <f ca="1">IFERROR(__xludf.DUMMYFUNCTION("""COMPUTED_VALUE"""),"ti-ing-e03e8eeb-0d0f-46e0-ad38-ec93e092b80e")</f>
        <v>ti-ing-e03e8eeb-0d0f-46e0-ad38-ec93e092b80e</v>
      </c>
      <c r="B162" s="7" t="str">
        <f ca="1">IFERROR(__xludf.DUMMYFUNCTION("""COMPUTED_VALUE"""),"Blondie con arandanos")</f>
        <v>Blondie con arandanos</v>
      </c>
      <c r="C162" s="48"/>
      <c r="D162" s="52">
        <f ca="1">IFERROR(__xludf.DUMMYFUNCTION("""COMPUTED_VALUE"""),649)</f>
        <v>649</v>
      </c>
      <c r="E162" s="7" t="str">
        <f ca="1">IFERROR(__xludf.DUMMYFUNCTION("""COMPUTED_VALUE"""),"un")</f>
        <v>un</v>
      </c>
      <c r="F162" s="7" t="str">
        <f ca="1">IFERROR(__xludf.DUMMYFUNCTION("""COMPUTED_VALUE"""),"Productos Elaborados")</f>
        <v>Productos Elaborados</v>
      </c>
      <c r="G162" s="49">
        <f t="shared" ca="1" si="0"/>
        <v>0</v>
      </c>
      <c r="H162" s="49">
        <f t="shared" ca="1" si="1"/>
        <v>0</v>
      </c>
      <c r="I162" s="49">
        <f t="shared" ca="1" si="2"/>
        <v>0</v>
      </c>
      <c r="J162" s="15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9.5" customHeight="1">
      <c r="A163" s="7" t="str">
        <f ca="1">IFERROR(__xludf.DUMMYFUNCTION("""COMPUTED_VALUE"""),"ti-ing-eb54101d-0621-43e2-b68d-e2ca2e84264b")</f>
        <v>ti-ing-eb54101d-0621-43e2-b68d-e2ca2e84264b</v>
      </c>
      <c r="B163" s="7" t="str">
        <f ca="1">IFERROR(__xludf.DUMMYFUNCTION("""COMPUTED_VALUE"""),"Bolsa pan hamburguesa 4 un")</f>
        <v>Bolsa pan hamburguesa 4 un</v>
      </c>
      <c r="C163" s="48"/>
      <c r="D163" s="52">
        <f ca="1">IFERROR(__xludf.DUMMYFUNCTION("""COMPUTED_VALUE"""),1060)</f>
        <v>1060</v>
      </c>
      <c r="E163" s="7" t="str">
        <f ca="1">IFERROR(__xludf.DUMMYFUNCTION("""COMPUTED_VALUE"""),"UN")</f>
        <v>UN</v>
      </c>
      <c r="F163" s="7" t="str">
        <f ca="1">IFERROR(__xludf.DUMMYFUNCTION("""COMPUTED_VALUE"""),"Productos Elaborados")</f>
        <v>Productos Elaborados</v>
      </c>
      <c r="G163" s="49">
        <f t="shared" ca="1" si="0"/>
        <v>0</v>
      </c>
      <c r="H163" s="49">
        <f t="shared" ca="1" si="1"/>
        <v>0</v>
      </c>
      <c r="I163" s="49">
        <f t="shared" ca="1" si="2"/>
        <v>0</v>
      </c>
      <c r="J163" s="15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9.5" customHeight="1">
      <c r="A164" s="7" t="str">
        <f ca="1">IFERROR(__xludf.DUMMYFUNCTION("""COMPUTED_VALUE"""),"ti-ing-49c179fb-ea02-49c2-a6a0-acc8e6349bbb")</f>
        <v>ti-ing-49c179fb-ea02-49c2-a6a0-acc8e6349bbb</v>
      </c>
      <c r="B164" s="7" t="str">
        <f ca="1">IFERROR(__xludf.DUMMYFUNCTION("""COMPUTED_VALUE"""),"Bolsa pan rallado x kilo")</f>
        <v>Bolsa pan rallado x kilo</v>
      </c>
      <c r="C164" s="48"/>
      <c r="D164" s="52">
        <f ca="1">IFERROR(__xludf.DUMMYFUNCTION("""COMPUTED_VALUE"""),700)</f>
        <v>700</v>
      </c>
      <c r="E164" s="7" t="str">
        <f ca="1">IFERROR(__xludf.DUMMYFUNCTION("""COMPUTED_VALUE"""),"KG")</f>
        <v>KG</v>
      </c>
      <c r="F164" s="7" t="str">
        <f ca="1">IFERROR(__xludf.DUMMYFUNCTION("""COMPUTED_VALUE"""),"Productos Elaborados")</f>
        <v>Productos Elaborados</v>
      </c>
      <c r="G164" s="49">
        <f t="shared" ca="1" si="0"/>
        <v>0</v>
      </c>
      <c r="H164" s="49">
        <f t="shared" ca="1" si="1"/>
        <v>0</v>
      </c>
      <c r="I164" s="49">
        <f t="shared" ca="1" si="2"/>
        <v>0</v>
      </c>
      <c r="J164" s="15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9.5" customHeight="1">
      <c r="A165" s="7" t="str">
        <f ca="1">IFERROR(__xludf.DUMMYFUNCTION("""COMPUTED_VALUE"""),"ti-ing-cd95c43c-069d-439d-881c-35b23623d837")</f>
        <v>ti-ing-cd95c43c-069d-439d-881c-35b23623d837</v>
      </c>
      <c r="B165" s="7" t="str">
        <f ca="1">IFERROR(__xludf.DUMMYFUNCTION("""COMPUTED_VALUE"""),"Brioche cebolla x 6un")</f>
        <v>Brioche cebolla x 6un</v>
      </c>
      <c r="C165" s="48"/>
      <c r="D165" s="52">
        <f ca="1">IFERROR(__xludf.DUMMYFUNCTION("""COMPUTED_VALUE"""),1000)</f>
        <v>1000</v>
      </c>
      <c r="E165" s="7" t="str">
        <f ca="1">IFERROR(__xludf.DUMMYFUNCTION("""COMPUTED_VALUE"""),"UN")</f>
        <v>UN</v>
      </c>
      <c r="F165" s="7" t="str">
        <f ca="1">IFERROR(__xludf.DUMMYFUNCTION("""COMPUTED_VALUE"""),"Productos Elaborados")</f>
        <v>Productos Elaborados</v>
      </c>
      <c r="G165" s="49">
        <f t="shared" ca="1" si="0"/>
        <v>0</v>
      </c>
      <c r="H165" s="49">
        <f t="shared" ca="1" si="1"/>
        <v>0</v>
      </c>
      <c r="I165" s="49">
        <f t="shared" ca="1" si="2"/>
        <v>0</v>
      </c>
      <c r="J165" s="156"/>
      <c r="K165" s="4"/>
      <c r="L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9.5" customHeight="1">
      <c r="A166" s="7" t="str">
        <f ca="1">IFERROR(__xludf.DUMMYFUNCTION("""COMPUTED_VALUE"""),"ti-ing-1a0bb16f-dd0d-4046-821b-d6620f443cdc")</f>
        <v>ti-ing-1a0bb16f-dd0d-4046-821b-d6620f443cdc</v>
      </c>
      <c r="B166" s="7" t="str">
        <f ca="1">IFERROR(__xludf.DUMMYFUNCTION("""COMPUTED_VALUE"""),"Brioche chocochips 6xun")</f>
        <v>Brioche chocochips 6xun</v>
      </c>
      <c r="C166" s="48"/>
      <c r="D166" s="52">
        <f ca="1">IFERROR(__xludf.DUMMYFUNCTION("""COMPUTED_VALUE"""),1000)</f>
        <v>1000</v>
      </c>
      <c r="E166" s="7" t="str">
        <f ca="1">IFERROR(__xludf.DUMMYFUNCTION("""COMPUTED_VALUE"""),"UN")</f>
        <v>UN</v>
      </c>
      <c r="F166" s="7" t="str">
        <f ca="1">IFERROR(__xludf.DUMMYFUNCTION("""COMPUTED_VALUE"""),"Productos Elaborados")</f>
        <v>Productos Elaborados</v>
      </c>
      <c r="G166" s="49">
        <f t="shared" ca="1" si="0"/>
        <v>0</v>
      </c>
      <c r="H166" s="49">
        <f t="shared" ca="1" si="1"/>
        <v>0</v>
      </c>
      <c r="I166" s="49">
        <f t="shared" ca="1" si="2"/>
        <v>0</v>
      </c>
      <c r="J166" s="156"/>
      <c r="K166" s="4"/>
      <c r="L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9.5" customHeight="1">
      <c r="A167" s="7" t="str">
        <f ca="1">IFERROR(__xludf.DUMMYFUNCTION("""COMPUTED_VALUE"""),"ti-ing-79520131-8f1b-4c98-b425-126eac94229a")</f>
        <v>ti-ing-79520131-8f1b-4c98-b425-126eac94229a</v>
      </c>
      <c r="B167" s="7" t="str">
        <f ca="1">IFERROR(__xludf.DUMMYFUNCTION("""COMPUTED_VALUE"""),"Brownie bolsa")</f>
        <v>Brownie bolsa</v>
      </c>
      <c r="C167" s="48"/>
      <c r="D167" s="52">
        <f ca="1">IFERROR(__xludf.DUMMYFUNCTION("""COMPUTED_VALUE"""),989)</f>
        <v>989</v>
      </c>
      <c r="E167" s="7" t="str">
        <f ca="1">IFERROR(__xludf.DUMMYFUNCTION("""COMPUTED_VALUE"""),"UN")</f>
        <v>UN</v>
      </c>
      <c r="F167" s="7" t="str">
        <f ca="1">IFERROR(__xludf.DUMMYFUNCTION("""COMPUTED_VALUE"""),"Productos Elaborados")</f>
        <v>Productos Elaborados</v>
      </c>
      <c r="G167" s="49">
        <f t="shared" ca="1" si="0"/>
        <v>0</v>
      </c>
      <c r="H167" s="49">
        <f t="shared" ca="1" si="1"/>
        <v>0</v>
      </c>
      <c r="I167" s="49">
        <f t="shared" ca="1" si="2"/>
        <v>0</v>
      </c>
      <c r="J167" s="156"/>
      <c r="K167" s="4"/>
      <c r="L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9.5" customHeight="1">
      <c r="A168" s="7" t="str">
        <f ca="1">IFERROR(__xludf.DUMMYFUNCTION("""COMPUTED_VALUE"""),"ti-ing-bf7f838c-a6aa-47a6-80cd-90dc43c40d02")</f>
        <v>ti-ing-bf7f838c-a6aa-47a6-80cd-90dc43c40d02</v>
      </c>
      <c r="B168" s="7" t="str">
        <f ca="1">IFERROR(__xludf.DUMMYFUNCTION("""COMPUTED_VALUE"""),"Brownie clasico")</f>
        <v>Brownie clasico</v>
      </c>
      <c r="C168" s="48"/>
      <c r="D168" s="52">
        <f ca="1">IFERROR(__xludf.DUMMYFUNCTION("""COMPUTED_VALUE"""),484)</f>
        <v>484</v>
      </c>
      <c r="E168" s="7" t="str">
        <f ca="1">IFERROR(__xludf.DUMMYFUNCTION("""COMPUTED_VALUE"""),"UN")</f>
        <v>UN</v>
      </c>
      <c r="F168" s="7" t="str">
        <f ca="1">IFERROR(__xludf.DUMMYFUNCTION("""COMPUTED_VALUE"""),"Productos Elaborados")</f>
        <v>Productos Elaborados</v>
      </c>
      <c r="G168" s="49">
        <f t="shared" ca="1" si="0"/>
        <v>0</v>
      </c>
      <c r="H168" s="49">
        <f t="shared" ca="1" si="1"/>
        <v>0</v>
      </c>
      <c r="I168" s="49">
        <f t="shared" ca="1" si="2"/>
        <v>0</v>
      </c>
      <c r="J168" s="156"/>
      <c r="K168" s="4"/>
      <c r="L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9.5" customHeight="1">
      <c r="A169" s="7" t="str">
        <f ca="1">IFERROR(__xludf.DUMMYFUNCTION("""COMPUTED_VALUE"""),"ti-ing-ff8eceba-f704-4d6e-8f8b-51f7eda2778e")</f>
        <v>ti-ing-ff8eceba-f704-4d6e-8f8b-51f7eda2778e</v>
      </c>
      <c r="B169" s="7" t="str">
        <f ca="1">IFERROR(__xludf.DUMMYFUNCTION("""COMPUTED_VALUE"""),"Brownie manjar merengue")</f>
        <v>Brownie manjar merengue</v>
      </c>
      <c r="C169" s="48"/>
      <c r="D169" s="52">
        <f ca="1">IFERROR(__xludf.DUMMYFUNCTION("""COMPUTED_VALUE"""),500)</f>
        <v>500</v>
      </c>
      <c r="E169" s="7" t="str">
        <f ca="1">IFERROR(__xludf.DUMMYFUNCTION("""COMPUTED_VALUE"""),"UN")</f>
        <v>UN</v>
      </c>
      <c r="F169" s="7" t="str">
        <f ca="1">IFERROR(__xludf.DUMMYFUNCTION("""COMPUTED_VALUE"""),"Productos Elaborados")</f>
        <v>Productos Elaborados</v>
      </c>
      <c r="G169" s="49">
        <f t="shared" ca="1" si="0"/>
        <v>0</v>
      </c>
      <c r="H169" s="49">
        <f t="shared" ca="1" si="1"/>
        <v>0</v>
      </c>
      <c r="I169" s="49">
        <f t="shared" ca="1" si="2"/>
        <v>0</v>
      </c>
      <c r="J169" s="156"/>
      <c r="K169" s="4"/>
      <c r="L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9.5" customHeight="1">
      <c r="A170" s="7" t="str">
        <f ca="1">IFERROR(__xludf.DUMMYFUNCTION("""COMPUTED_VALUE"""),"ti-ing-1474cbcd-2cf0-44e9-bde1-2d85f160bbf3")</f>
        <v>ti-ing-1474cbcd-2cf0-44e9-bde1-2d85f160bbf3</v>
      </c>
      <c r="B170" s="7" t="str">
        <f ca="1">IFERROR(__xludf.DUMMYFUNCTION("""COMPUTED_VALUE"""),"Cachito crema pastelera")</f>
        <v>Cachito crema pastelera</v>
      </c>
      <c r="C170" s="48"/>
      <c r="D170" s="52">
        <f ca="1">IFERROR(__xludf.DUMMYFUNCTION("""COMPUTED_VALUE"""),166.19833749)</f>
        <v>166.19833749</v>
      </c>
      <c r="E170" s="7" t="str">
        <f ca="1">IFERROR(__xludf.DUMMYFUNCTION("""COMPUTED_VALUE"""),"UN")</f>
        <v>UN</v>
      </c>
      <c r="F170" s="7" t="str">
        <f ca="1">IFERROR(__xludf.DUMMYFUNCTION("""COMPUTED_VALUE"""),"Productos Elaborados")</f>
        <v>Productos Elaborados</v>
      </c>
      <c r="G170" s="49">
        <f t="shared" ca="1" si="0"/>
        <v>0</v>
      </c>
      <c r="H170" s="49">
        <f t="shared" ca="1" si="1"/>
        <v>0</v>
      </c>
      <c r="I170" s="49">
        <f t="shared" ca="1" si="2"/>
        <v>0</v>
      </c>
      <c r="J170" s="156"/>
      <c r="K170" s="4"/>
      <c r="L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9.5" customHeight="1">
      <c r="A171" s="7" t="str">
        <f ca="1">IFERROR(__xludf.DUMMYFUNCTION("""COMPUTED_VALUE"""),"ti-ing-2f897d67-ca83-4fd4-867f-932d52f0462f")</f>
        <v>ti-ing-2f897d67-ca83-4fd4-867f-932d52f0462f</v>
      </c>
      <c r="B171" s="7" t="str">
        <f ca="1">IFERROR(__xludf.DUMMYFUNCTION("""COMPUTED_VALUE"""),"Cachito dia del niño")</f>
        <v>Cachito dia del niño</v>
      </c>
      <c r="C171" s="48"/>
      <c r="D171" s="52">
        <f ca="1">IFERROR(__xludf.DUMMYFUNCTION("""COMPUTED_VALUE"""),650)</f>
        <v>650</v>
      </c>
      <c r="E171" s="7" t="str">
        <f ca="1">IFERROR(__xludf.DUMMYFUNCTION("""COMPUTED_VALUE"""),"UN")</f>
        <v>UN</v>
      </c>
      <c r="F171" s="7" t="str">
        <f ca="1">IFERROR(__xludf.DUMMYFUNCTION("""COMPUTED_VALUE"""),"Productos Elaborados")</f>
        <v>Productos Elaborados</v>
      </c>
      <c r="G171" s="49">
        <f t="shared" ca="1" si="0"/>
        <v>0</v>
      </c>
      <c r="H171" s="49">
        <f t="shared" ca="1" si="1"/>
        <v>0</v>
      </c>
      <c r="I171" s="49">
        <f t="shared" ca="1" si="2"/>
        <v>0</v>
      </c>
      <c r="J171" s="156"/>
      <c r="K171" s="4"/>
      <c r="L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9.5" customHeight="1">
      <c r="A172" s="7" t="str">
        <f ca="1">IFERROR(__xludf.DUMMYFUNCTION("""COMPUTED_VALUE"""),"ti-ing-1e41e1b0-0851-473d-8abe-6d9b0fc08a9a")</f>
        <v>ti-ing-1e41e1b0-0851-473d-8abe-6d9b0fc08a9a</v>
      </c>
      <c r="B172" s="7" t="str">
        <f ca="1">IFERROR(__xludf.DUMMYFUNCTION("""COMPUTED_VALUE"""),"Cachito manjar")</f>
        <v>Cachito manjar</v>
      </c>
      <c r="C172" s="48"/>
      <c r="D172" s="52">
        <f ca="1">IFERROR(__xludf.DUMMYFUNCTION("""COMPUTED_VALUE"""),166)</f>
        <v>166</v>
      </c>
      <c r="E172" s="7" t="str">
        <f ca="1">IFERROR(__xludf.DUMMYFUNCTION("""COMPUTED_VALUE"""),"UN")</f>
        <v>UN</v>
      </c>
      <c r="F172" s="7" t="str">
        <f ca="1">IFERROR(__xludf.DUMMYFUNCTION("""COMPUTED_VALUE"""),"Productos Elaborados")</f>
        <v>Productos Elaborados</v>
      </c>
      <c r="G172" s="49">
        <f t="shared" ca="1" si="0"/>
        <v>0</v>
      </c>
      <c r="H172" s="49">
        <f t="shared" ca="1" si="1"/>
        <v>0</v>
      </c>
      <c r="I172" s="49">
        <f t="shared" ca="1" si="2"/>
        <v>0</v>
      </c>
      <c r="J172" s="156"/>
      <c r="K172" s="4"/>
      <c r="L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9.5" customHeight="1">
      <c r="A173" s="7" t="str">
        <f ca="1">IFERROR(__xludf.DUMMYFUNCTION("""COMPUTED_VALUE"""),"ti-ing-35b6be63-828c-48a6-a0c2-91cbd737deb5")</f>
        <v>ti-ing-35b6be63-828c-48a6-a0c2-91cbd737deb5</v>
      </c>
      <c r="B173" s="7" t="str">
        <f ca="1">IFERROR(__xludf.DUMMYFUNCTION("""COMPUTED_VALUE"""),"CAJA GALLETA MANTEQUILLA")</f>
        <v>CAJA GALLETA MANTEQUILLA</v>
      </c>
      <c r="C173" s="48"/>
      <c r="D173" s="52">
        <f ca="1">IFERROR(__xludf.DUMMYFUNCTION("""COMPUTED_VALUE"""),1874)</f>
        <v>1874</v>
      </c>
      <c r="E173" s="7" t="str">
        <f ca="1">IFERROR(__xludf.DUMMYFUNCTION("""COMPUTED_VALUE"""),"UN")</f>
        <v>UN</v>
      </c>
      <c r="F173" s="7" t="str">
        <f ca="1">IFERROR(__xludf.DUMMYFUNCTION("""COMPUTED_VALUE"""),"Productos Elaborados")</f>
        <v>Productos Elaborados</v>
      </c>
      <c r="G173" s="49">
        <f t="shared" ca="1" si="0"/>
        <v>0</v>
      </c>
      <c r="H173" s="49">
        <f t="shared" ca="1" si="1"/>
        <v>0</v>
      </c>
      <c r="I173" s="49">
        <f t="shared" ca="1" si="2"/>
        <v>0</v>
      </c>
      <c r="J173" s="156"/>
      <c r="K173" s="4"/>
      <c r="L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9.5" customHeight="1">
      <c r="A174" s="7" t="str">
        <f ca="1">IFERROR(__xludf.DUMMYFUNCTION("""COMPUTED_VALUE"""),"ti-ing-c75016b9-53c7-477c-9b89-9a5d7585640f")</f>
        <v>ti-ing-c75016b9-53c7-477c-9b89-9a5d7585640f</v>
      </c>
      <c r="B174" s="7" t="str">
        <f ca="1">IFERROR(__xludf.DUMMYFUNCTION("""COMPUTED_VALUE"""),"Caprese, (queso tomate albahaca)")</f>
        <v>Caprese, (queso tomate albahaca)</v>
      </c>
      <c r="C174" s="48"/>
      <c r="D174" s="52">
        <f ca="1">IFERROR(__xludf.DUMMYFUNCTION("""COMPUTED_VALUE"""),1500)</f>
        <v>1500</v>
      </c>
      <c r="E174" s="7" t="str">
        <f ca="1">IFERROR(__xludf.DUMMYFUNCTION("""COMPUTED_VALUE"""),"UN")</f>
        <v>UN</v>
      </c>
      <c r="F174" s="7" t="str">
        <f ca="1">IFERROR(__xludf.DUMMYFUNCTION("""COMPUTED_VALUE"""),"Productos Elaborados")</f>
        <v>Productos Elaborados</v>
      </c>
      <c r="G174" s="49">
        <f t="shared" ca="1" si="0"/>
        <v>0</v>
      </c>
      <c r="H174" s="49">
        <f t="shared" ca="1" si="1"/>
        <v>0</v>
      </c>
      <c r="I174" s="49">
        <f t="shared" ca="1" si="2"/>
        <v>0</v>
      </c>
      <c r="J174" s="156"/>
      <c r="K174" s="4"/>
      <c r="L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9.5" customHeight="1">
      <c r="A175" s="7" t="str">
        <f ca="1">IFERROR(__xludf.DUMMYFUNCTION("""COMPUTED_VALUE"""),"ti-ing-ac0a2fcc-7c72-4d34-96cb-5ebd37d774dd")</f>
        <v>ti-ing-ac0a2fcc-7c72-4d34-96cb-5ebd37d774dd</v>
      </c>
      <c r="B175" s="7" t="str">
        <f ca="1">IFERROR(__xludf.DUMMYFUNCTION("""COMPUTED_VALUE"""),"Caramandunga")</f>
        <v>Caramandunga</v>
      </c>
      <c r="C175" s="48"/>
      <c r="D175" s="52">
        <f ca="1">IFERROR(__xludf.DUMMYFUNCTION("""COMPUTED_VALUE"""),1000)</f>
        <v>1000</v>
      </c>
      <c r="E175" s="7" t="str">
        <f ca="1">IFERROR(__xludf.DUMMYFUNCTION("""COMPUTED_VALUE"""),"KG")</f>
        <v>KG</v>
      </c>
      <c r="F175" s="7" t="str">
        <f ca="1">IFERROR(__xludf.DUMMYFUNCTION("""COMPUTED_VALUE"""),"Productos Elaborados")</f>
        <v>Productos Elaborados</v>
      </c>
      <c r="G175" s="49">
        <f t="shared" ca="1" si="0"/>
        <v>0</v>
      </c>
      <c r="H175" s="49">
        <f t="shared" ca="1" si="1"/>
        <v>0</v>
      </c>
      <c r="I175" s="49">
        <f t="shared" ca="1" si="2"/>
        <v>0</v>
      </c>
      <c r="J175" s="156"/>
      <c r="K175" s="4"/>
      <c r="L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9.5" customHeight="1">
      <c r="A176" s="7" t="str">
        <f ca="1">IFERROR(__xludf.DUMMYFUNCTION("""COMPUTED_VALUE"""),"ti-ing-d4dd309e-c332-44c1-a41b-88efd5b35484")</f>
        <v>ti-ing-d4dd309e-c332-44c1-a41b-88efd5b35484</v>
      </c>
      <c r="B176" s="7" t="str">
        <f ca="1">IFERROR(__xludf.DUMMYFUNCTION("""COMPUTED_VALUE"""),"Caramandunga chips de chocolate")</f>
        <v>Caramandunga chips de chocolate</v>
      </c>
      <c r="C176" s="48"/>
      <c r="D176" s="52">
        <f ca="1">IFERROR(__xludf.DUMMYFUNCTION("""COMPUTED_VALUE"""),1200)</f>
        <v>1200</v>
      </c>
      <c r="E176" s="7" t="str">
        <f ca="1">IFERROR(__xludf.DUMMYFUNCTION("""COMPUTED_VALUE"""),"KG")</f>
        <v>KG</v>
      </c>
      <c r="F176" s="7" t="str">
        <f ca="1">IFERROR(__xludf.DUMMYFUNCTION("""COMPUTED_VALUE"""),"Productos Elaborados")</f>
        <v>Productos Elaborados</v>
      </c>
      <c r="G176" s="49">
        <f t="shared" ca="1" si="0"/>
        <v>0</v>
      </c>
      <c r="H176" s="49">
        <f t="shared" ca="1" si="1"/>
        <v>0</v>
      </c>
      <c r="I176" s="49">
        <f t="shared" ca="1" si="2"/>
        <v>0</v>
      </c>
      <c r="J176" s="156"/>
      <c r="K176" s="4"/>
      <c r="L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9.5" customHeight="1">
      <c r="A177" s="7" t="str">
        <f ca="1">IFERROR(__xludf.DUMMYFUNCTION("""COMPUTED_VALUE"""),"ti-ing-00563692-3110-463b-b06a-9695be0fc511")</f>
        <v>ti-ing-00563692-3110-463b-b06a-9695be0fc511</v>
      </c>
      <c r="B177" s="7" t="str">
        <f ca="1">IFERROR(__xludf.DUMMYFUNCTION("""COMPUTED_VALUE"""),"Cheescake frutos rojos")</f>
        <v>Cheescake frutos rojos</v>
      </c>
      <c r="C177" s="48"/>
      <c r="D177" s="52">
        <f ca="1">IFERROR(__xludf.DUMMYFUNCTION("""COMPUTED_VALUE"""),851)</f>
        <v>851</v>
      </c>
      <c r="E177" s="7" t="str">
        <f ca="1">IFERROR(__xludf.DUMMYFUNCTION("""COMPUTED_VALUE"""),"UN")</f>
        <v>UN</v>
      </c>
      <c r="F177" s="7" t="str">
        <f ca="1">IFERROR(__xludf.DUMMYFUNCTION("""COMPUTED_VALUE"""),"Productos Elaborados")</f>
        <v>Productos Elaborados</v>
      </c>
      <c r="G177" s="49">
        <f t="shared" ca="1" si="0"/>
        <v>0</v>
      </c>
      <c r="H177" s="49">
        <f t="shared" ca="1" si="1"/>
        <v>0</v>
      </c>
      <c r="I177" s="49">
        <f t="shared" ca="1" si="2"/>
        <v>0</v>
      </c>
      <c r="J177" s="156"/>
      <c r="K177" s="4"/>
      <c r="L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9.5" customHeight="1">
      <c r="A178" s="7" t="str">
        <f ca="1">IFERROR(__xludf.DUMMYFUNCTION("""COMPUTED_VALUE"""),"ti-ing-4c619862-bab0-4c3c-8818-628a74e80ad6")</f>
        <v>ti-ing-4c619862-bab0-4c3c-8818-628a74e80ad6</v>
      </c>
      <c r="B178" s="7" t="str">
        <f ca="1">IFERROR(__xludf.DUMMYFUNCTION("""COMPUTED_VALUE"""),"Cheescake maracuya")</f>
        <v>Cheescake maracuya</v>
      </c>
      <c r="C178" s="48"/>
      <c r="D178" s="52">
        <f ca="1">IFERROR(__xludf.DUMMYFUNCTION("""COMPUTED_VALUE"""),952)</f>
        <v>952</v>
      </c>
      <c r="E178" s="7" t="str">
        <f ca="1">IFERROR(__xludf.DUMMYFUNCTION("""COMPUTED_VALUE"""),"UN")</f>
        <v>UN</v>
      </c>
      <c r="F178" s="7" t="str">
        <f ca="1">IFERROR(__xludf.DUMMYFUNCTION("""COMPUTED_VALUE"""),"Productos Elaborados")</f>
        <v>Productos Elaborados</v>
      </c>
      <c r="G178" s="49">
        <f t="shared" ca="1" si="0"/>
        <v>0</v>
      </c>
      <c r="H178" s="49">
        <f t="shared" ca="1" si="1"/>
        <v>0</v>
      </c>
      <c r="I178" s="49">
        <f t="shared" ca="1" si="2"/>
        <v>0</v>
      </c>
      <c r="J178" s="156"/>
      <c r="K178" s="4"/>
      <c r="L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9.5" customHeight="1">
      <c r="A179" s="7" t="str">
        <f ca="1">IFERROR(__xludf.DUMMYFUNCTION("""COMPUTED_VALUE"""),"ti-ing-0e4e529b-91b8-4c4a-92fe-3d5064baa651")</f>
        <v>ti-ing-0e4e529b-91b8-4c4a-92fe-3d5064baa651</v>
      </c>
      <c r="B179" s="7" t="str">
        <f ca="1">IFERROR(__xludf.DUMMYFUNCTION("""COMPUTED_VALUE"""),"Chicken bowl")</f>
        <v>Chicken bowl</v>
      </c>
      <c r="C179" s="48"/>
      <c r="D179" s="52">
        <f ca="1">IFERROR(__xludf.DUMMYFUNCTION("""COMPUTED_VALUE"""),2500)</f>
        <v>2500</v>
      </c>
      <c r="E179" s="7" t="str">
        <f ca="1">IFERROR(__xludf.DUMMYFUNCTION("""COMPUTED_VALUE"""),"UN")</f>
        <v>UN</v>
      </c>
      <c r="F179" s="7" t="str">
        <f ca="1">IFERROR(__xludf.DUMMYFUNCTION("""COMPUTED_VALUE"""),"Productos Elaborados")</f>
        <v>Productos Elaborados</v>
      </c>
      <c r="G179" s="49">
        <f t="shared" ca="1" si="0"/>
        <v>0</v>
      </c>
      <c r="H179" s="49">
        <f t="shared" ca="1" si="1"/>
        <v>0</v>
      </c>
      <c r="I179" s="49">
        <f t="shared" ca="1" si="2"/>
        <v>0</v>
      </c>
      <c r="J179" s="156"/>
      <c r="K179" s="4"/>
      <c r="L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9.5" customHeight="1">
      <c r="A180" s="7" t="str">
        <f ca="1">IFERROR(__xludf.DUMMYFUNCTION("""COMPUTED_VALUE"""),"ti-ing-2c3bb795-84cc-4545-b75c-6eb2afe9a214")</f>
        <v>ti-ing-2c3bb795-84cc-4545-b75c-6eb2afe9a214</v>
      </c>
      <c r="B180" s="7" t="str">
        <f ca="1">IFERROR(__xludf.DUMMYFUNCTION("""COMPUTED_VALUE"""),"Ciabatta integral")</f>
        <v>Ciabatta integral</v>
      </c>
      <c r="C180" s="48"/>
      <c r="D180" s="52">
        <f ca="1">IFERROR(__xludf.DUMMYFUNCTION("""COMPUTED_VALUE"""),300)</f>
        <v>300</v>
      </c>
      <c r="E180" s="7" t="str">
        <f ca="1">IFERROR(__xludf.DUMMYFUNCTION("""COMPUTED_VALUE"""),"kg")</f>
        <v>kg</v>
      </c>
      <c r="F180" s="7" t="str">
        <f ca="1">IFERROR(__xludf.DUMMYFUNCTION("""COMPUTED_VALUE"""),"Productos Elaborados")</f>
        <v>Productos Elaborados</v>
      </c>
      <c r="G180" s="49">
        <f t="shared" ca="1" si="0"/>
        <v>0</v>
      </c>
      <c r="H180" s="49">
        <f t="shared" ca="1" si="1"/>
        <v>0</v>
      </c>
      <c r="I180" s="49">
        <f t="shared" ca="1" si="2"/>
        <v>0</v>
      </c>
      <c r="J180" s="156"/>
      <c r="K180" s="4"/>
      <c r="L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9.5" customHeight="1">
      <c r="A181" s="7" t="str">
        <f ca="1">IFERROR(__xludf.DUMMYFUNCTION("""COMPUTED_VALUE"""),"ti-ing-86dda2ed-6250-4ef9-9121-ed2cfc92c5e6")</f>
        <v>ti-ing-86dda2ed-6250-4ef9-9121-ed2cfc92c5e6</v>
      </c>
      <c r="B181" s="7" t="str">
        <f ca="1">IFERROR(__xludf.DUMMYFUNCTION("""COMPUTED_VALUE"""),"Ciabatta semillas sandwich")</f>
        <v>Ciabatta semillas sandwich</v>
      </c>
      <c r="C181" s="48"/>
      <c r="D181" s="52">
        <f ca="1">IFERROR(__xludf.DUMMYFUNCTION("""COMPUTED_VALUE"""),300)</f>
        <v>300</v>
      </c>
      <c r="E181" s="7" t="str">
        <f ca="1">IFERROR(__xludf.DUMMYFUNCTION("""COMPUTED_VALUE"""),"UN")</f>
        <v>UN</v>
      </c>
      <c r="F181" s="7" t="str">
        <f ca="1">IFERROR(__xludf.DUMMYFUNCTION("""COMPUTED_VALUE"""),"Productos Elaborados")</f>
        <v>Productos Elaborados</v>
      </c>
      <c r="G181" s="49">
        <f t="shared" ca="1" si="0"/>
        <v>0</v>
      </c>
      <c r="H181" s="49">
        <f t="shared" ca="1" si="1"/>
        <v>0</v>
      </c>
      <c r="I181" s="49">
        <f t="shared" ca="1" si="2"/>
        <v>0</v>
      </c>
      <c r="J181" s="156"/>
      <c r="K181" s="4"/>
      <c r="L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9.5" customHeight="1">
      <c r="A182" s="7" t="str">
        <f ca="1">IFERROR(__xludf.DUMMYFUNCTION("""COMPUTED_VALUE"""),"ti-ing-996c18ce-c41e-4057-bc7c-c7f7081ab046")</f>
        <v>ti-ing-996c18ce-c41e-4057-bc7c-c7f7081ab046</v>
      </c>
      <c r="B182" s="7" t="str">
        <f ca="1">IFERROR(__xludf.DUMMYFUNCTION("""COMPUTED_VALUE"""),"Cinamon roll")</f>
        <v>Cinamon roll</v>
      </c>
      <c r="C182" s="48"/>
      <c r="D182" s="52">
        <f ca="1">IFERROR(__xludf.DUMMYFUNCTION("""COMPUTED_VALUE"""),500)</f>
        <v>500</v>
      </c>
      <c r="E182" s="7" t="str">
        <f ca="1">IFERROR(__xludf.DUMMYFUNCTION("""COMPUTED_VALUE"""),"UN")</f>
        <v>UN</v>
      </c>
      <c r="F182" s="7" t="str">
        <f ca="1">IFERROR(__xludf.DUMMYFUNCTION("""COMPUTED_VALUE"""),"Productos Elaborados")</f>
        <v>Productos Elaborados</v>
      </c>
      <c r="G182" s="49">
        <f t="shared" ca="1" si="0"/>
        <v>0</v>
      </c>
      <c r="H182" s="49">
        <f t="shared" ca="1" si="1"/>
        <v>0</v>
      </c>
      <c r="I182" s="49">
        <f t="shared" ca="1" si="2"/>
        <v>0</v>
      </c>
      <c r="J182" s="156"/>
      <c r="K182" s="4"/>
      <c r="L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9.5" customHeight="1">
      <c r="A183" s="7" t="str">
        <f ca="1">IFERROR(__xludf.DUMMYFUNCTION("""COMPUTED_VALUE"""),"ti-ing-feab961b-2820-4354-bd97-f1b10f0a3309")</f>
        <v>ti-ing-feab961b-2820-4354-bd97-f1b10f0a3309</v>
      </c>
      <c r="B183" s="7" t="str">
        <f ca="1">IFERROR(__xludf.DUMMYFUNCTION("""COMPUTED_VALUE"""),"Cinamon Roll Frosting")</f>
        <v>Cinamon Roll Frosting</v>
      </c>
      <c r="C183" s="48"/>
      <c r="D183" s="52">
        <f ca="1">IFERROR(__xludf.DUMMYFUNCTION("""COMPUTED_VALUE"""),500)</f>
        <v>500</v>
      </c>
      <c r="E183" s="7" t="str">
        <f ca="1">IFERROR(__xludf.DUMMYFUNCTION("""COMPUTED_VALUE"""),"UN")</f>
        <v>UN</v>
      </c>
      <c r="F183" s="7" t="str">
        <f ca="1">IFERROR(__xludf.DUMMYFUNCTION("""COMPUTED_VALUE"""),"Productos Elaborados")</f>
        <v>Productos Elaborados</v>
      </c>
      <c r="G183" s="49">
        <f t="shared" ca="1" si="0"/>
        <v>0</v>
      </c>
      <c r="H183" s="49">
        <f t="shared" ca="1" si="1"/>
        <v>0</v>
      </c>
      <c r="I183" s="49">
        <f t="shared" ca="1" si="2"/>
        <v>0</v>
      </c>
      <c r="J183" s="156"/>
      <c r="K183" s="4"/>
      <c r="L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9.5" customHeight="1">
      <c r="A184" s="7" t="str">
        <f ca="1">IFERROR(__xludf.DUMMYFUNCTION("""COMPUTED_VALUE"""),"ti-ing-44241e67-c82b-428d-ba7c-986da86900c1")</f>
        <v>ti-ing-44241e67-c82b-428d-ba7c-986da86900c1</v>
      </c>
      <c r="B184" s="7" t="str">
        <f ca="1">IFERROR(__xludf.DUMMYFUNCTION("""COMPUTED_VALUE"""),"COBB DEL CAMPO")</f>
        <v>COBB DEL CAMPO</v>
      </c>
      <c r="C184" s="48"/>
      <c r="D184" s="52">
        <f ca="1">IFERROR(__xludf.DUMMYFUNCTION("""COMPUTED_VALUE"""),2000)</f>
        <v>2000</v>
      </c>
      <c r="E184" s="7" t="str">
        <f ca="1">IFERROR(__xludf.DUMMYFUNCTION("""COMPUTED_VALUE"""),"UN")</f>
        <v>UN</v>
      </c>
      <c r="F184" s="7" t="str">
        <f ca="1">IFERROR(__xludf.DUMMYFUNCTION("""COMPUTED_VALUE"""),"Productos Elaborados")</f>
        <v>Productos Elaborados</v>
      </c>
      <c r="G184" s="49">
        <f t="shared" ca="1" si="0"/>
        <v>0</v>
      </c>
      <c r="H184" s="49">
        <f t="shared" ca="1" si="1"/>
        <v>0</v>
      </c>
      <c r="I184" s="49">
        <f t="shared" ca="1" si="2"/>
        <v>0</v>
      </c>
      <c r="J184" s="156"/>
      <c r="K184" s="4"/>
      <c r="L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9.5" customHeight="1">
      <c r="A185" s="7" t="str">
        <f ca="1">IFERROR(__xludf.DUMMYFUNCTION("""COMPUTED_VALUE"""),"ti-ing-00e37207-4fa5-4f8e-bd90-ee2c24c0d71f")</f>
        <v>ti-ing-00e37207-4fa5-4f8e-bd90-ee2c24c0d71f</v>
      </c>
      <c r="B185" s="7" t="str">
        <f ca="1">IFERROR(__xludf.DUMMYFUNCTION("""COMPUTED_VALUE"""),"COCADAS BOLSA")</f>
        <v>COCADAS BOLSA</v>
      </c>
      <c r="C185" s="48"/>
      <c r="D185" s="52">
        <f ca="1">IFERROR(__xludf.DUMMYFUNCTION("""COMPUTED_VALUE"""),930)</f>
        <v>930</v>
      </c>
      <c r="E185" s="7" t="str">
        <f ca="1">IFERROR(__xludf.DUMMYFUNCTION("""COMPUTED_VALUE"""),"UN")</f>
        <v>UN</v>
      </c>
      <c r="F185" s="7" t="str">
        <f ca="1">IFERROR(__xludf.DUMMYFUNCTION("""COMPUTED_VALUE"""),"Productos Elaborados")</f>
        <v>Productos Elaborados</v>
      </c>
      <c r="G185" s="49">
        <f t="shared" ca="1" si="0"/>
        <v>0</v>
      </c>
      <c r="H185" s="49">
        <f t="shared" ca="1" si="1"/>
        <v>0</v>
      </c>
      <c r="I185" s="49">
        <f t="shared" ca="1" si="2"/>
        <v>0</v>
      </c>
      <c r="J185" s="156"/>
      <c r="K185" s="4"/>
      <c r="L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9.5" customHeight="1">
      <c r="A186" s="7" t="str">
        <f ca="1">IFERROR(__xludf.DUMMYFUNCTION("""COMPUTED_VALUE"""),"ti-ing-c599b8ce-de95-494f-9aa6-40364ce69e27")</f>
        <v>ti-ing-c599b8ce-de95-494f-9aa6-40364ce69e27</v>
      </c>
      <c r="B186" s="7" t="str">
        <f ca="1">IFERROR(__xludf.DUMMYFUNCTION("""COMPUTED_VALUE"""),"Colegia individual")</f>
        <v>Colegia individual</v>
      </c>
      <c r="C186" s="48"/>
      <c r="D186" s="52">
        <f ca="1">IFERROR(__xludf.DUMMYFUNCTION("""COMPUTED_VALUE"""),500)</f>
        <v>500</v>
      </c>
      <c r="E186" s="7" t="str">
        <f ca="1">IFERROR(__xludf.DUMMYFUNCTION("""COMPUTED_VALUE"""),"UN")</f>
        <v>UN</v>
      </c>
      <c r="F186" s="7" t="str">
        <f ca="1">IFERROR(__xludf.DUMMYFUNCTION("""COMPUTED_VALUE"""),"Productos Elaborados")</f>
        <v>Productos Elaborados</v>
      </c>
      <c r="G186" s="49">
        <f t="shared" ca="1" si="0"/>
        <v>0</v>
      </c>
      <c r="H186" s="49">
        <f t="shared" ca="1" si="1"/>
        <v>0</v>
      </c>
      <c r="I186" s="49">
        <f t="shared" ca="1" si="2"/>
        <v>0</v>
      </c>
      <c r="J186" s="156"/>
      <c r="K186" s="4"/>
      <c r="L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9.5" customHeight="1">
      <c r="A187" s="7" t="str">
        <f ca="1">IFERROR(__xludf.DUMMYFUNCTION("""COMPUTED_VALUE"""),"ti-ing-bf3417a5-5027-4c2b-8b17-4beebab986d3")</f>
        <v>ti-ing-bf3417a5-5027-4c2b-8b17-4beebab986d3</v>
      </c>
      <c r="B187" s="7" t="str">
        <f ca="1">IFERROR(__xludf.DUMMYFUNCTION("""COMPUTED_VALUE"""),"Colegial molde")</f>
        <v>Colegial molde</v>
      </c>
      <c r="C187" s="48"/>
      <c r="D187" s="52">
        <f ca="1">IFERROR(__xludf.DUMMYFUNCTION("""COMPUTED_VALUE"""),750)</f>
        <v>750</v>
      </c>
      <c r="E187" s="7" t="str">
        <f ca="1">IFERROR(__xludf.DUMMYFUNCTION("""COMPUTED_VALUE"""),"UN")</f>
        <v>UN</v>
      </c>
      <c r="F187" s="7" t="str">
        <f ca="1">IFERROR(__xludf.DUMMYFUNCTION("""COMPUTED_VALUE"""),"Productos Elaborados")</f>
        <v>Productos Elaborados</v>
      </c>
      <c r="G187" s="49">
        <f t="shared" ca="1" si="0"/>
        <v>0</v>
      </c>
      <c r="H187" s="49">
        <f t="shared" ca="1" si="1"/>
        <v>0</v>
      </c>
      <c r="I187" s="49">
        <f t="shared" ca="1" si="2"/>
        <v>0</v>
      </c>
      <c r="J187" s="156"/>
      <c r="K187" s="4"/>
      <c r="L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9.5" customHeight="1">
      <c r="A188" s="7" t="str">
        <f ca="1">IFERROR(__xludf.DUMMYFUNCTION("""COMPUTED_VALUE"""),"ti-ing-94fec31e-3ab6-4293-b514-ea5480b94e09")</f>
        <v>ti-ing-94fec31e-3ab6-4293-b514-ea5480b94e09</v>
      </c>
      <c r="B188" s="7" t="str">
        <f ca="1">IFERROR(__xludf.DUMMYFUNCTION("""COMPUTED_VALUE"""),"Croissant 4un")</f>
        <v>Croissant 4un</v>
      </c>
      <c r="C188" s="48"/>
      <c r="D188" s="52">
        <f ca="1">IFERROR(__xludf.DUMMYFUNCTION("""COMPUTED_VALUE"""),1000)</f>
        <v>1000</v>
      </c>
      <c r="E188" s="7" t="str">
        <f ca="1">IFERROR(__xludf.DUMMYFUNCTION("""COMPUTED_VALUE"""),"UN")</f>
        <v>UN</v>
      </c>
      <c r="F188" s="7" t="str">
        <f ca="1">IFERROR(__xludf.DUMMYFUNCTION("""COMPUTED_VALUE"""),"Productos Elaborados")</f>
        <v>Productos Elaborados</v>
      </c>
      <c r="G188" s="49">
        <f t="shared" ca="1" si="0"/>
        <v>0</v>
      </c>
      <c r="H188" s="49">
        <f t="shared" ca="1" si="1"/>
        <v>0</v>
      </c>
      <c r="I188" s="49">
        <f t="shared" ca="1" si="2"/>
        <v>0</v>
      </c>
      <c r="J188" s="156"/>
      <c r="K188" s="4"/>
      <c r="L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9.5" customHeight="1">
      <c r="A189" s="7" t="str">
        <f ca="1">IFERROR(__xludf.DUMMYFUNCTION("""COMPUTED_VALUE"""),"ti-ing-11586505-0d9e-453b-ab1e-c16f8f20aeb8")</f>
        <v>ti-ing-11586505-0d9e-453b-ab1e-c16f8f20aeb8</v>
      </c>
      <c r="B189" s="7" t="str">
        <f ca="1">IFERROR(__xludf.DUMMYFUNCTION("""COMPUTED_VALUE"""),"Croissant americano")</f>
        <v>Croissant americano</v>
      </c>
      <c r="C189" s="48"/>
      <c r="D189" s="52">
        <f ca="1">IFERROR(__xludf.DUMMYFUNCTION("""COMPUTED_VALUE"""),650)</f>
        <v>650</v>
      </c>
      <c r="E189" s="7" t="str">
        <f ca="1">IFERROR(__xludf.DUMMYFUNCTION("""COMPUTED_VALUE"""),"UN")</f>
        <v>UN</v>
      </c>
      <c r="F189" s="7" t="str">
        <f ca="1">IFERROR(__xludf.DUMMYFUNCTION("""COMPUTED_VALUE"""),"Productos Elaborados")</f>
        <v>Productos Elaborados</v>
      </c>
      <c r="G189" s="49">
        <f t="shared" ca="1" si="0"/>
        <v>0</v>
      </c>
      <c r="H189" s="49">
        <f t="shared" ca="1" si="1"/>
        <v>0</v>
      </c>
      <c r="I189" s="49">
        <f t="shared" ca="1" si="2"/>
        <v>0</v>
      </c>
      <c r="J189" s="156"/>
      <c r="K189" s="4"/>
      <c r="L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9.5" customHeight="1">
      <c r="A190" s="7" t="str">
        <f ca="1">IFERROR(__xludf.DUMMYFUNCTION("""COMPUTED_VALUE"""),"ti-ing-77833d98-8cb6-471d-8d32-5d23fff65977")</f>
        <v>ti-ing-77833d98-8cb6-471d-8d32-5d23fff65977</v>
      </c>
      <c r="B190" s="7" t="str">
        <f ca="1">IFERROR(__xludf.DUMMYFUNCTION("""COMPUTED_VALUE"""),"Croissant ave mayo")</f>
        <v>Croissant ave mayo</v>
      </c>
      <c r="C190" s="48"/>
      <c r="D190" s="52">
        <f ca="1">IFERROR(__xludf.DUMMYFUNCTION("""COMPUTED_VALUE"""),650)</f>
        <v>650</v>
      </c>
      <c r="E190" s="7" t="str">
        <f ca="1">IFERROR(__xludf.DUMMYFUNCTION("""COMPUTED_VALUE"""),"UN")</f>
        <v>UN</v>
      </c>
      <c r="F190" s="7" t="str">
        <f ca="1">IFERROR(__xludf.DUMMYFUNCTION("""COMPUTED_VALUE"""),"Productos Elaborados")</f>
        <v>Productos Elaborados</v>
      </c>
      <c r="G190" s="49">
        <f t="shared" ca="1" si="0"/>
        <v>0</v>
      </c>
      <c r="H190" s="49">
        <f t="shared" ca="1" si="1"/>
        <v>0</v>
      </c>
      <c r="I190" s="49">
        <f t="shared" ca="1" si="2"/>
        <v>0</v>
      </c>
      <c r="J190" s="156"/>
      <c r="K190" s="4"/>
      <c r="L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9.5" customHeight="1">
      <c r="A191" s="7" t="str">
        <f ca="1">IFERROR(__xludf.DUMMYFUNCTION("""COMPUTED_VALUE"""),"ti-ing-a9bacd07-29b4-426b-9177-90c53f67a47e")</f>
        <v>ti-ing-a9bacd07-29b4-426b-9177-90c53f67a47e</v>
      </c>
      <c r="B191" s="7" t="str">
        <f ca="1">IFERROR(__xludf.DUMMYFUNCTION("""COMPUTED_VALUE"""),"Croissant cheescake")</f>
        <v>Croissant cheescake</v>
      </c>
      <c r="C191" s="48"/>
      <c r="D191" s="52">
        <f ca="1">IFERROR(__xludf.DUMMYFUNCTION("""COMPUTED_VALUE"""),650)</f>
        <v>650</v>
      </c>
      <c r="E191" s="7" t="str">
        <f ca="1">IFERROR(__xludf.DUMMYFUNCTION("""COMPUTED_VALUE"""),"UN")</f>
        <v>UN</v>
      </c>
      <c r="F191" s="7" t="str">
        <f ca="1">IFERROR(__xludf.DUMMYFUNCTION("""COMPUTED_VALUE"""),"Productos Elaborados")</f>
        <v>Productos Elaborados</v>
      </c>
      <c r="G191" s="49">
        <f t="shared" ca="1" si="0"/>
        <v>0</v>
      </c>
      <c r="H191" s="49">
        <f t="shared" ca="1" si="1"/>
        <v>0</v>
      </c>
      <c r="I191" s="49">
        <f t="shared" ca="1" si="2"/>
        <v>0</v>
      </c>
      <c r="J191" s="156"/>
      <c r="K191" s="4"/>
      <c r="L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9.5" customHeight="1">
      <c r="A192" s="7" t="str">
        <f ca="1">IFERROR(__xludf.DUMMYFUNCTION("""COMPUTED_VALUE"""),"ti-ing-90d8a114-0aa9-4a34-8309-119a4248920c")</f>
        <v>ti-ing-90d8a114-0aa9-4a34-8309-119a4248920c</v>
      </c>
      <c r="B192" s="7" t="str">
        <f ca="1">IFERROR(__xludf.DUMMYFUNCTION("""COMPUTED_VALUE"""),"Croissant chocolate")</f>
        <v>Croissant chocolate</v>
      </c>
      <c r="C192" s="48"/>
      <c r="D192" s="52">
        <f ca="1">IFERROR(__xludf.DUMMYFUNCTION("""COMPUTED_VALUE"""),650)</f>
        <v>650</v>
      </c>
      <c r="E192" s="7" t="str">
        <f ca="1">IFERROR(__xludf.DUMMYFUNCTION("""COMPUTED_VALUE"""),"UN")</f>
        <v>UN</v>
      </c>
      <c r="F192" s="7" t="str">
        <f ca="1">IFERROR(__xludf.DUMMYFUNCTION("""COMPUTED_VALUE"""),"Productos Elaborados")</f>
        <v>Productos Elaborados</v>
      </c>
      <c r="G192" s="49">
        <f t="shared" ca="1" si="0"/>
        <v>0</v>
      </c>
      <c r="H192" s="49">
        <f t="shared" ca="1" si="1"/>
        <v>0</v>
      </c>
      <c r="I192" s="49">
        <f t="shared" ca="1" si="2"/>
        <v>0</v>
      </c>
      <c r="J192" s="156"/>
      <c r="K192" s="4"/>
      <c r="L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9.5" customHeight="1">
      <c r="A193" s="7" t="str">
        <f ca="1">IFERROR(__xludf.DUMMYFUNCTION("""COMPUTED_VALUE"""),"ti-ing-7a0858c5-93d0-4585-934b-044b2a12eac7")</f>
        <v>ti-ing-7a0858c5-93d0-4585-934b-044b2a12eac7</v>
      </c>
      <c r="B193" s="7" t="str">
        <f ca="1">IFERROR(__xludf.DUMMYFUNCTION("""COMPUTED_VALUE"""),"Croissant Frutos rojos")</f>
        <v>Croissant Frutos rojos</v>
      </c>
      <c r="C193" s="48"/>
      <c r="D193" s="52">
        <f ca="1">IFERROR(__xludf.DUMMYFUNCTION("""COMPUTED_VALUE"""),650)</f>
        <v>650</v>
      </c>
      <c r="E193" s="7" t="str">
        <f ca="1">IFERROR(__xludf.DUMMYFUNCTION("""COMPUTED_VALUE"""),"UN")</f>
        <v>UN</v>
      </c>
      <c r="F193" s="7" t="str">
        <f ca="1">IFERROR(__xludf.DUMMYFUNCTION("""COMPUTED_VALUE"""),"Productos Elaborados")</f>
        <v>Productos Elaborados</v>
      </c>
      <c r="G193" s="49">
        <f t="shared" ca="1" si="0"/>
        <v>0</v>
      </c>
      <c r="H193" s="49">
        <f t="shared" ca="1" si="1"/>
        <v>0</v>
      </c>
      <c r="I193" s="49">
        <f t="shared" ca="1" si="2"/>
        <v>0</v>
      </c>
      <c r="J193" s="156"/>
      <c r="K193" s="4"/>
      <c r="L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9.5" customHeight="1">
      <c r="A194" s="7" t="str">
        <f ca="1">IFERROR(__xludf.DUMMYFUNCTION("""COMPUTED_VALUE"""),"ti-ing-4d76446e-8596-485c-abfe-24a2c90231f5")</f>
        <v>ti-ing-4d76446e-8596-485c-abfe-24a2c90231f5</v>
      </c>
      <c r="B194" s="7" t="str">
        <f ca="1">IFERROR(__xludf.DUMMYFUNCTION("""COMPUTED_VALUE"""),"Croissant jamon queso")</f>
        <v>Croissant jamon queso</v>
      </c>
      <c r="C194" s="48"/>
      <c r="D194" s="52">
        <f ca="1">IFERROR(__xludf.DUMMYFUNCTION("""COMPUTED_VALUE"""),650)</f>
        <v>650</v>
      </c>
      <c r="E194" s="7" t="str">
        <f ca="1">IFERROR(__xludf.DUMMYFUNCTION("""COMPUTED_VALUE"""),"UN")</f>
        <v>UN</v>
      </c>
      <c r="F194" s="7" t="str">
        <f ca="1">IFERROR(__xludf.DUMMYFUNCTION("""COMPUTED_VALUE"""),"Productos Elaborados")</f>
        <v>Productos Elaborados</v>
      </c>
      <c r="G194" s="49">
        <f t="shared" ca="1" si="0"/>
        <v>0</v>
      </c>
      <c r="H194" s="49">
        <f t="shared" ca="1" si="1"/>
        <v>0</v>
      </c>
      <c r="I194" s="49">
        <f t="shared" ca="1" si="2"/>
        <v>0</v>
      </c>
      <c r="J194" s="156"/>
      <c r="K194" s="4"/>
      <c r="L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9.5" customHeight="1">
      <c r="A195" s="7" t="str">
        <f ca="1">IFERROR(__xludf.DUMMYFUNCTION("""COMPUTED_VALUE"""),"ti-ing-a878a084-7424-4b76-aadc-69c9c894b339")</f>
        <v>ti-ing-a878a084-7424-4b76-aadc-69c9c894b339</v>
      </c>
      <c r="B195" s="7" t="str">
        <f ca="1">IFERROR(__xludf.DUMMYFUNCTION("""COMPUTED_VALUE"""),"Croissant Nutella")</f>
        <v>Croissant Nutella</v>
      </c>
      <c r="C195" s="48"/>
      <c r="D195" s="52">
        <f ca="1">IFERROR(__xludf.DUMMYFUNCTION("""COMPUTED_VALUE"""),650)</f>
        <v>650</v>
      </c>
      <c r="E195" s="7" t="str">
        <f ca="1">IFERROR(__xludf.DUMMYFUNCTION("""COMPUTED_VALUE"""),"UN")</f>
        <v>UN</v>
      </c>
      <c r="F195" s="7" t="str">
        <f ca="1">IFERROR(__xludf.DUMMYFUNCTION("""COMPUTED_VALUE"""),"Productos Elaborados")</f>
        <v>Productos Elaborados</v>
      </c>
      <c r="G195" s="49">
        <f t="shared" ca="1" si="0"/>
        <v>0</v>
      </c>
      <c r="H195" s="49">
        <f t="shared" ca="1" si="1"/>
        <v>0</v>
      </c>
      <c r="I195" s="49">
        <f t="shared" ca="1" si="2"/>
        <v>0</v>
      </c>
      <c r="J195" s="156"/>
      <c r="K195" s="4"/>
      <c r="L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9.5" customHeight="1">
      <c r="A196" s="7" t="str">
        <f ca="1">IFERROR(__xludf.DUMMYFUNCTION("""COMPUTED_VALUE"""),"ti-ing-f319272a-8ac2-45ea-9b99-7a8517f28618")</f>
        <v>ti-ing-f319272a-8ac2-45ea-9b99-7a8517f28618</v>
      </c>
      <c r="B196" s="7" t="str">
        <f ca="1">IFERROR(__xludf.DUMMYFUNCTION("""COMPUTED_VALUE"""),"Croissant Pie de limón")</f>
        <v>Croissant Pie de limón</v>
      </c>
      <c r="C196" s="48"/>
      <c r="D196" s="52">
        <f ca="1">IFERROR(__xludf.DUMMYFUNCTION("""COMPUTED_VALUE"""),650)</f>
        <v>650</v>
      </c>
      <c r="E196" s="7" t="str">
        <f ca="1">IFERROR(__xludf.DUMMYFUNCTION("""COMPUTED_VALUE"""),"UN")</f>
        <v>UN</v>
      </c>
      <c r="F196" s="7" t="str">
        <f ca="1">IFERROR(__xludf.DUMMYFUNCTION("""COMPUTED_VALUE"""),"Productos Elaborados")</f>
        <v>Productos Elaborados</v>
      </c>
      <c r="G196" s="49">
        <f t="shared" ca="1" si="0"/>
        <v>0</v>
      </c>
      <c r="H196" s="49">
        <f t="shared" ca="1" si="1"/>
        <v>0</v>
      </c>
      <c r="I196" s="49">
        <f t="shared" ca="1" si="2"/>
        <v>0</v>
      </c>
      <c r="J196" s="156"/>
      <c r="K196" s="4"/>
      <c r="L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9.5" customHeight="1">
      <c r="A197" s="7" t="str">
        <f ca="1">IFERROR(__xludf.DUMMYFUNCTION("""COMPUTED_VALUE"""),"ti-ing-fd112425-6e9a-40f1-94e3-5d2d8759dc9e")</f>
        <v>ti-ing-fd112425-6e9a-40f1-94e3-5d2d8759dc9e</v>
      </c>
      <c r="B197" s="7" t="str">
        <f ca="1">IFERROR(__xludf.DUMMYFUNCTION("""COMPUTED_VALUE"""),"Croissant Pistacho")</f>
        <v>Croissant Pistacho</v>
      </c>
      <c r="C197" s="48"/>
      <c r="D197" s="52">
        <f ca="1">IFERROR(__xludf.DUMMYFUNCTION("""COMPUTED_VALUE"""),600)</f>
        <v>600</v>
      </c>
      <c r="E197" s="7" t="str">
        <f ca="1">IFERROR(__xludf.DUMMYFUNCTION("""COMPUTED_VALUE"""),"UN")</f>
        <v>UN</v>
      </c>
      <c r="F197" s="7" t="str">
        <f ca="1">IFERROR(__xludf.DUMMYFUNCTION("""COMPUTED_VALUE"""),"Productos Elaborados")</f>
        <v>Productos Elaborados</v>
      </c>
      <c r="G197" s="49">
        <f t="shared" ca="1" si="0"/>
        <v>0</v>
      </c>
      <c r="H197" s="49">
        <f t="shared" ca="1" si="1"/>
        <v>0</v>
      </c>
      <c r="I197" s="49">
        <f t="shared" ca="1" si="2"/>
        <v>0</v>
      </c>
      <c r="J197" s="156"/>
      <c r="K197" s="4"/>
      <c r="L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9.5" customHeight="1">
      <c r="A198" s="7" t="str">
        <f ca="1">IFERROR(__xludf.DUMMYFUNCTION("""COMPUTED_VALUE"""),"ti-ing-e0808b53-599f-403a-a534-bae88ad75adb")</f>
        <v>ti-ing-e0808b53-599f-403a-a534-bae88ad75adb</v>
      </c>
      <c r="B198" s="7" t="str">
        <f ca="1">IFERROR(__xludf.DUMMYFUNCTION("""COMPUTED_VALUE"""),"Croissant Suspiro limeño")</f>
        <v>Croissant Suspiro limeño</v>
      </c>
      <c r="C198" s="48"/>
      <c r="D198" s="52">
        <f ca="1">IFERROR(__xludf.DUMMYFUNCTION("""COMPUTED_VALUE"""),650)</f>
        <v>650</v>
      </c>
      <c r="E198" s="7" t="str">
        <f ca="1">IFERROR(__xludf.DUMMYFUNCTION("""COMPUTED_VALUE"""),"UN")</f>
        <v>UN</v>
      </c>
      <c r="F198" s="7" t="str">
        <f ca="1">IFERROR(__xludf.DUMMYFUNCTION("""COMPUTED_VALUE"""),"Productos Elaborados")</f>
        <v>Productos Elaborados</v>
      </c>
      <c r="G198" s="49">
        <f t="shared" ca="1" si="0"/>
        <v>0</v>
      </c>
      <c r="H198" s="49">
        <f t="shared" ca="1" si="1"/>
        <v>0</v>
      </c>
      <c r="I198" s="49">
        <f t="shared" ca="1" si="2"/>
        <v>0</v>
      </c>
      <c r="J198" s="156"/>
      <c r="K198" s="4"/>
      <c r="L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9.5" customHeight="1">
      <c r="A199" s="7"/>
      <c r="B199" s="7" t="str">
        <f ca="1">IFERROR(__xludf.DUMMYFUNCTION("""COMPUTED_VALUE"""),"Croissant Tiramisú")</f>
        <v>Croissant Tiramisú</v>
      </c>
      <c r="C199" s="48"/>
      <c r="D199" s="52">
        <f ca="1">IFERROR(__xludf.DUMMYFUNCTION("""COMPUTED_VALUE"""),700)</f>
        <v>700</v>
      </c>
      <c r="E199" s="7" t="str">
        <f ca="1">IFERROR(__xludf.DUMMYFUNCTION("""COMPUTED_VALUE"""),"UN")</f>
        <v>UN</v>
      </c>
      <c r="F199" s="7" t="str">
        <f ca="1">IFERROR(__xludf.DUMMYFUNCTION("""COMPUTED_VALUE"""),"Productos Elaborados")</f>
        <v>Productos Elaborados</v>
      </c>
      <c r="G199" s="49">
        <f t="shared" ca="1" si="0"/>
        <v>0</v>
      </c>
      <c r="H199" s="49">
        <f t="shared" ca="1" si="1"/>
        <v>0</v>
      </c>
      <c r="I199" s="49">
        <f t="shared" ca="1" si="2"/>
        <v>0</v>
      </c>
      <c r="J199" s="156"/>
      <c r="K199" s="4"/>
      <c r="L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9.5" customHeight="1">
      <c r="A200" s="7" t="str">
        <f ca="1">IFERROR(__xludf.DUMMYFUNCTION("""COMPUTED_VALUE"""),"ti-ing-7812aaa4-e1af-40cf-a808-503971a007f1")</f>
        <v>ti-ing-7812aaa4-e1af-40cf-a808-503971a007f1</v>
      </c>
      <c r="B200" s="7" t="str">
        <f ca="1">IFERROR(__xludf.DUMMYFUNCTION("""COMPUTED_VALUE"""),"Croque monseriur")</f>
        <v>Croque monseriur</v>
      </c>
      <c r="C200" s="48"/>
      <c r="D200" s="52">
        <f ca="1">IFERROR(__xludf.DUMMYFUNCTION("""COMPUTED_VALUE"""),2500)</f>
        <v>2500</v>
      </c>
      <c r="E200" s="7" t="str">
        <f ca="1">IFERROR(__xludf.DUMMYFUNCTION("""COMPUTED_VALUE"""),"UN")</f>
        <v>UN</v>
      </c>
      <c r="F200" s="7" t="str">
        <f ca="1">IFERROR(__xludf.DUMMYFUNCTION("""COMPUTED_VALUE"""),"Productos Elaborados")</f>
        <v>Productos Elaborados</v>
      </c>
      <c r="G200" s="49">
        <f t="shared" ca="1" si="0"/>
        <v>0</v>
      </c>
      <c r="H200" s="49">
        <f t="shared" ca="1" si="1"/>
        <v>0</v>
      </c>
      <c r="I200" s="49">
        <f t="shared" ca="1" si="2"/>
        <v>0</v>
      </c>
      <c r="J200" s="156"/>
      <c r="K200" s="4"/>
      <c r="L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9.5" customHeight="1">
      <c r="A201" s="7" t="str">
        <f ca="1">IFERROR(__xludf.DUMMYFUNCTION("""COMPUTED_VALUE"""),"ti-ing-774b420c-f2dd-4477-b8aa-0b75e520f433")</f>
        <v>ti-ing-774b420c-f2dd-4477-b8aa-0b75e520f433</v>
      </c>
      <c r="B201" s="7" t="str">
        <f ca="1">IFERROR(__xludf.DUMMYFUNCTION("""COMPUTED_VALUE"""),"Dobladitas")</f>
        <v>Dobladitas</v>
      </c>
      <c r="C201" s="48"/>
      <c r="D201" s="52">
        <f ca="1">IFERROR(__xludf.DUMMYFUNCTION("""COMPUTED_VALUE"""),1200)</f>
        <v>1200</v>
      </c>
      <c r="E201" s="7" t="str">
        <f ca="1">IFERROR(__xludf.DUMMYFUNCTION("""COMPUTED_VALUE"""),"KG")</f>
        <v>KG</v>
      </c>
      <c r="F201" s="7" t="str">
        <f ca="1">IFERROR(__xludf.DUMMYFUNCTION("""COMPUTED_VALUE"""),"Productos Elaborados")</f>
        <v>Productos Elaborados</v>
      </c>
      <c r="G201" s="49">
        <f t="shared" ca="1" si="0"/>
        <v>0</v>
      </c>
      <c r="H201" s="49">
        <f t="shared" ca="1" si="1"/>
        <v>0</v>
      </c>
      <c r="I201" s="49">
        <f t="shared" ca="1" si="2"/>
        <v>0</v>
      </c>
      <c r="J201" s="156"/>
      <c r="K201" s="4"/>
      <c r="L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9.5" customHeight="1">
      <c r="A202" s="7" t="str">
        <f ca="1">IFERROR(__xludf.DUMMYFUNCTION("""COMPUTED_VALUE"""),"ti-ing-eafce1a1-c57c-4320-8dbe-0549a248c2a7")</f>
        <v>ti-ing-eafce1a1-c57c-4320-8dbe-0549a248c2a7</v>
      </c>
      <c r="B202" s="7" t="str">
        <f ca="1">IFERROR(__xludf.DUMMYFUNCTION("""COMPUTED_VALUE"""),"Eclair Nutella")</f>
        <v>Eclair Nutella</v>
      </c>
      <c r="C202" s="48"/>
      <c r="D202" s="52">
        <f ca="1">IFERROR(__xludf.DUMMYFUNCTION("""COMPUTED_VALUE"""),450)</f>
        <v>450</v>
      </c>
      <c r="E202" s="7" t="str">
        <f ca="1">IFERROR(__xludf.DUMMYFUNCTION("""COMPUTED_VALUE"""),"UN")</f>
        <v>UN</v>
      </c>
      <c r="F202" s="7" t="str">
        <f ca="1">IFERROR(__xludf.DUMMYFUNCTION("""COMPUTED_VALUE"""),"Productos Elaborados")</f>
        <v>Productos Elaborados</v>
      </c>
      <c r="G202" s="49">
        <f t="shared" ca="1" si="0"/>
        <v>0</v>
      </c>
      <c r="H202" s="49">
        <f t="shared" ca="1" si="1"/>
        <v>0</v>
      </c>
      <c r="I202" s="49">
        <f t="shared" ca="1" si="2"/>
        <v>0</v>
      </c>
      <c r="J202" s="156"/>
      <c r="K202" s="4"/>
      <c r="L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9.5" customHeight="1">
      <c r="A203" s="7" t="str">
        <f ca="1">IFERROR(__xludf.DUMMYFUNCTION("""COMPUTED_VALUE"""),"ti-ing-995c7427-e865-45af-b61e-3ea85358f4ed")</f>
        <v>ti-ing-995c7427-e865-45af-b61e-3ea85358f4ed</v>
      </c>
      <c r="B203" s="7" t="str">
        <f ca="1">IFERROR(__xludf.DUMMYFUNCTION("""COMPUTED_VALUE"""),"Eclair Pistachos")</f>
        <v>Eclair Pistachos</v>
      </c>
      <c r="C203" s="48"/>
      <c r="D203" s="52">
        <f ca="1">IFERROR(__xludf.DUMMYFUNCTION("""COMPUTED_VALUE"""),450)</f>
        <v>450</v>
      </c>
      <c r="E203" s="7" t="str">
        <f ca="1">IFERROR(__xludf.DUMMYFUNCTION("""COMPUTED_VALUE"""),"un")</f>
        <v>un</v>
      </c>
      <c r="F203" s="7" t="str">
        <f ca="1">IFERROR(__xludf.DUMMYFUNCTION("""COMPUTED_VALUE"""),"Productos Elaborados")</f>
        <v>Productos Elaborados</v>
      </c>
      <c r="G203" s="49">
        <f t="shared" ca="1" si="0"/>
        <v>0</v>
      </c>
      <c r="H203" s="49">
        <f t="shared" ca="1" si="1"/>
        <v>0</v>
      </c>
      <c r="I203" s="49">
        <f t="shared" ca="1" si="2"/>
        <v>0</v>
      </c>
      <c r="J203" s="156"/>
      <c r="K203" s="4"/>
      <c r="L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9.5" customHeight="1">
      <c r="A204" s="7" t="str">
        <f ca="1">IFERROR(__xludf.DUMMYFUNCTION("""COMPUTED_VALUE"""),"ti-ing-ce48bbcb-56ff-4884-81c6-ec6f6ace9d60")</f>
        <v>ti-ing-ce48bbcb-56ff-4884-81c6-ec6f6ace9d60</v>
      </c>
      <c r="B204" s="7" t="str">
        <f ca="1">IFERROR(__xludf.DUMMYFUNCTION("""COMPUTED_VALUE"""),"Empanada Camaron Queso")</f>
        <v>Empanada Camaron Queso</v>
      </c>
      <c r="C204" s="48"/>
      <c r="D204" s="52">
        <f ca="1">IFERROR(__xludf.DUMMYFUNCTION("""COMPUTED_VALUE"""),850)</f>
        <v>850</v>
      </c>
      <c r="E204" s="7" t="str">
        <f ca="1">IFERROR(__xludf.DUMMYFUNCTION("""COMPUTED_VALUE"""),"UN")</f>
        <v>UN</v>
      </c>
      <c r="F204" s="7" t="str">
        <f ca="1">IFERROR(__xludf.DUMMYFUNCTION("""COMPUTED_VALUE"""),"Productos Elaborados")</f>
        <v>Productos Elaborados</v>
      </c>
      <c r="G204" s="49">
        <f t="shared" ca="1" si="0"/>
        <v>0</v>
      </c>
      <c r="H204" s="49">
        <f t="shared" ca="1" si="1"/>
        <v>0</v>
      </c>
      <c r="I204" s="49">
        <f t="shared" ca="1" si="2"/>
        <v>0</v>
      </c>
      <c r="J204" s="156"/>
      <c r="K204" s="4"/>
      <c r="L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9.5" customHeight="1">
      <c r="A205" s="7" t="str">
        <f ca="1">IFERROR(__xludf.DUMMYFUNCTION("""COMPUTED_VALUE"""),"ti-ing-8049a4fb-a9e4-4157-85dc-384f65313e52")</f>
        <v>ti-ing-8049a4fb-a9e4-4157-85dc-384f65313e52</v>
      </c>
      <c r="B205" s="7" t="str">
        <f ca="1">IFERROR(__xludf.DUMMYFUNCTION("""COMPUTED_VALUE"""),"Empanada de pino")</f>
        <v>Empanada de pino</v>
      </c>
      <c r="C205" s="48"/>
      <c r="D205" s="52">
        <f ca="1">IFERROR(__xludf.DUMMYFUNCTION("""COMPUTED_VALUE"""),850)</f>
        <v>850</v>
      </c>
      <c r="E205" s="7" t="str">
        <f ca="1">IFERROR(__xludf.DUMMYFUNCTION("""COMPUTED_VALUE"""),"un")</f>
        <v>un</v>
      </c>
      <c r="F205" s="7" t="str">
        <f ca="1">IFERROR(__xludf.DUMMYFUNCTION("""COMPUTED_VALUE"""),"Productos Elaborados")</f>
        <v>Productos Elaborados</v>
      </c>
      <c r="G205" s="49">
        <f t="shared" ca="1" si="0"/>
        <v>0</v>
      </c>
      <c r="H205" s="49">
        <f t="shared" ca="1" si="1"/>
        <v>0</v>
      </c>
      <c r="I205" s="49">
        <f t="shared" ca="1" si="2"/>
        <v>0</v>
      </c>
      <c r="J205" s="156"/>
      <c r="K205" s="4"/>
      <c r="L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9.5" customHeight="1">
      <c r="A206" s="7" t="str">
        <f ca="1">IFERROR(__xludf.DUMMYFUNCTION("""COMPUTED_VALUE"""),"ti-ing-e3a99d1d-11ef-4653-8ebb-d9ad8e15d2d1")</f>
        <v>ti-ing-e3a99d1d-11ef-4653-8ebb-d9ad8e15d2d1</v>
      </c>
      <c r="B206" s="7" t="str">
        <f ca="1">IFERROR(__xludf.DUMMYFUNCTION("""COMPUTED_VALUE"""),"Empanada napolitana")</f>
        <v>Empanada napolitana</v>
      </c>
      <c r="C206" s="48"/>
      <c r="D206" s="52">
        <f ca="1">IFERROR(__xludf.DUMMYFUNCTION("""COMPUTED_VALUE"""),850)</f>
        <v>850</v>
      </c>
      <c r="E206" s="7" t="str">
        <f ca="1">IFERROR(__xludf.DUMMYFUNCTION("""COMPUTED_VALUE"""),"UN")</f>
        <v>UN</v>
      </c>
      <c r="F206" s="7" t="str">
        <f ca="1">IFERROR(__xludf.DUMMYFUNCTION("""COMPUTED_VALUE"""),"Productos Elaborados")</f>
        <v>Productos Elaborados</v>
      </c>
      <c r="G206" s="49">
        <f t="shared" ca="1" si="0"/>
        <v>0</v>
      </c>
      <c r="H206" s="49">
        <f t="shared" ca="1" si="1"/>
        <v>0</v>
      </c>
      <c r="I206" s="49">
        <f t="shared" ca="1" si="2"/>
        <v>0</v>
      </c>
      <c r="J206" s="156"/>
      <c r="K206" s="4"/>
      <c r="L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9.5" customHeight="1">
      <c r="A207" s="7" t="str">
        <f ca="1">IFERROR(__xludf.DUMMYFUNCTION("""COMPUTED_VALUE"""),"ti-ing-3622e28c-4496-4ac4-b200-7ca115e04875")</f>
        <v>ti-ing-3622e28c-4496-4ac4-b200-7ca115e04875</v>
      </c>
      <c r="B207" s="7" t="str">
        <f ca="1">IFERROR(__xludf.DUMMYFUNCTION("""COMPUTED_VALUE"""),"Empanada Queso champíñon")</f>
        <v>Empanada Queso champíñon</v>
      </c>
      <c r="C207" s="48"/>
      <c r="D207" s="52">
        <f ca="1">IFERROR(__xludf.DUMMYFUNCTION("""COMPUTED_VALUE"""),850)</f>
        <v>850</v>
      </c>
      <c r="E207" s="7" t="str">
        <f ca="1">IFERROR(__xludf.DUMMYFUNCTION("""COMPUTED_VALUE"""),"UN")</f>
        <v>UN</v>
      </c>
      <c r="F207" s="7" t="str">
        <f ca="1">IFERROR(__xludf.DUMMYFUNCTION("""COMPUTED_VALUE"""),"Productos Elaborados")</f>
        <v>Productos Elaborados</v>
      </c>
      <c r="G207" s="49">
        <f t="shared" ca="1" si="0"/>
        <v>0</v>
      </c>
      <c r="H207" s="49">
        <f t="shared" ca="1" si="1"/>
        <v>0</v>
      </c>
      <c r="I207" s="49">
        <f t="shared" ca="1" si="2"/>
        <v>0</v>
      </c>
      <c r="J207" s="156"/>
      <c r="K207" s="4"/>
      <c r="L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9.5" customHeight="1">
      <c r="A208" s="7" t="str">
        <f ca="1">IFERROR(__xludf.DUMMYFUNCTION("""COMPUTED_VALUE"""),"ti-ing-a54d8eda-c295-4b5f-91ae-7d7c3ed26908")</f>
        <v>ti-ing-a54d8eda-c295-4b5f-91ae-7d7c3ed26908</v>
      </c>
      <c r="B208" s="7" t="str">
        <f ca="1">IFERROR(__xludf.DUMMYFUNCTION("""COMPUTED_VALUE"""),"ENSALADA CESAR")</f>
        <v>ENSALADA CESAR</v>
      </c>
      <c r="C208" s="48"/>
      <c r="D208" s="52">
        <f ca="1">IFERROR(__xludf.DUMMYFUNCTION("""COMPUTED_VALUE"""),1500)</f>
        <v>1500</v>
      </c>
      <c r="E208" s="7" t="str">
        <f ca="1">IFERROR(__xludf.DUMMYFUNCTION("""COMPUTED_VALUE"""),"UN")</f>
        <v>UN</v>
      </c>
      <c r="F208" s="7" t="str">
        <f ca="1">IFERROR(__xludf.DUMMYFUNCTION("""COMPUTED_VALUE"""),"Productos Elaborados")</f>
        <v>Productos Elaborados</v>
      </c>
      <c r="G208" s="49">
        <f t="shared" ca="1" si="0"/>
        <v>0</v>
      </c>
      <c r="H208" s="49">
        <f t="shared" ca="1" si="1"/>
        <v>0</v>
      </c>
      <c r="I208" s="49">
        <f t="shared" ca="1" si="2"/>
        <v>0</v>
      </c>
      <c r="J208" s="156"/>
      <c r="K208" s="4"/>
      <c r="L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9.5" customHeight="1">
      <c r="A209" s="7" t="str">
        <f ca="1">IFERROR(__xludf.DUMMYFUNCTION("""COMPUTED_VALUE"""),"ti-ing-16d711f1-e4bd-49d3-85f4-7dd3e05b588b")</f>
        <v>ti-ing-16d711f1-e4bd-49d3-85f4-7dd3e05b588b</v>
      </c>
      <c r="B209" s="7" t="str">
        <f ca="1">IFERROR(__xludf.DUMMYFUNCTION("""COMPUTED_VALUE"""),"Focaccia Sandwich")</f>
        <v>Focaccia Sandwich</v>
      </c>
      <c r="C209" s="48"/>
      <c r="D209" s="52">
        <f ca="1">IFERROR(__xludf.DUMMYFUNCTION("""COMPUTED_VALUE"""),800)</f>
        <v>800</v>
      </c>
      <c r="E209" s="7" t="str">
        <f ca="1">IFERROR(__xludf.DUMMYFUNCTION("""COMPUTED_VALUE"""),"UN")</f>
        <v>UN</v>
      </c>
      <c r="F209" s="7" t="str">
        <f ca="1">IFERROR(__xludf.DUMMYFUNCTION("""COMPUTED_VALUE"""),"Productos Elaborados")</f>
        <v>Productos Elaborados</v>
      </c>
      <c r="G209" s="49">
        <f t="shared" ca="1" si="0"/>
        <v>0</v>
      </c>
      <c r="H209" s="49">
        <f t="shared" ca="1" si="1"/>
        <v>0</v>
      </c>
      <c r="I209" s="49">
        <f t="shared" ca="1" si="2"/>
        <v>0</v>
      </c>
      <c r="J209" s="156"/>
      <c r="K209" s="4"/>
      <c r="L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9.5" customHeight="1">
      <c r="A210" s="7" t="str">
        <f ca="1">IFERROR(__xludf.DUMMYFUNCTION("""COMPUTED_VALUE"""),"ti-ing-bc77230d-96a4-428a-8717-99ad71f43a54")</f>
        <v>ti-ing-bc77230d-96a4-428a-8717-99ad71f43a54</v>
      </c>
      <c r="B210" s="7" t="str">
        <f ca="1">IFERROR(__xludf.DUMMYFUNCTION("""COMPUTED_VALUE"""),"Galleta Avena 3 un")</f>
        <v>Galleta Avena 3 un</v>
      </c>
      <c r="C210" s="48"/>
      <c r="D210" s="52">
        <f ca="1">IFERROR(__xludf.DUMMYFUNCTION("""COMPUTED_VALUE"""),559)</f>
        <v>559</v>
      </c>
      <c r="E210" s="7" t="str">
        <f ca="1">IFERROR(__xludf.DUMMYFUNCTION("""COMPUTED_VALUE"""),"UN")</f>
        <v>UN</v>
      </c>
      <c r="F210" s="7" t="str">
        <f ca="1">IFERROR(__xludf.DUMMYFUNCTION("""COMPUTED_VALUE"""),"Productos Elaborados")</f>
        <v>Productos Elaborados</v>
      </c>
      <c r="G210" s="49">
        <f t="shared" ca="1" si="0"/>
        <v>0</v>
      </c>
      <c r="H210" s="49">
        <f t="shared" ca="1" si="1"/>
        <v>0</v>
      </c>
      <c r="I210" s="49">
        <f t="shared" ca="1" si="2"/>
        <v>0</v>
      </c>
      <c r="J210" s="156"/>
      <c r="K210" s="4"/>
      <c r="L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9.5" customHeight="1">
      <c r="A211" s="7" t="str">
        <f ca="1">IFERROR(__xludf.DUMMYFUNCTION("""COMPUTED_VALUE"""),"ti-ing-6d145ed7-a9e8-48b6-bcc0-4db7b3c61b95")</f>
        <v>ti-ing-6d145ed7-a9e8-48b6-bcc0-4db7b3c61b95</v>
      </c>
      <c r="B211" s="7" t="str">
        <f ca="1">IFERROR(__xludf.DUMMYFUNCTION("""COMPUTED_VALUE"""),"Galleta chocolate 3 un")</f>
        <v>Galleta chocolate 3 un</v>
      </c>
      <c r="C211" s="48"/>
      <c r="D211" s="52">
        <f ca="1">IFERROR(__xludf.DUMMYFUNCTION("""COMPUTED_VALUE"""),639)</f>
        <v>639</v>
      </c>
      <c r="E211" s="7" t="str">
        <f ca="1">IFERROR(__xludf.DUMMYFUNCTION("""COMPUTED_VALUE"""),"UN")</f>
        <v>UN</v>
      </c>
      <c r="F211" s="7" t="str">
        <f ca="1">IFERROR(__xludf.DUMMYFUNCTION("""COMPUTED_VALUE"""),"Productos Elaborados")</f>
        <v>Productos Elaborados</v>
      </c>
      <c r="G211" s="49">
        <f t="shared" ca="1" si="0"/>
        <v>0</v>
      </c>
      <c r="H211" s="49">
        <f t="shared" ca="1" si="1"/>
        <v>0</v>
      </c>
      <c r="I211" s="49">
        <f t="shared" ca="1" si="2"/>
        <v>0</v>
      </c>
      <c r="J211" s="156"/>
      <c r="K211" s="4"/>
      <c r="L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9.5" customHeight="1">
      <c r="A212" s="7" t="str">
        <f ca="1">IFERROR(__xludf.DUMMYFUNCTION("""COMPUTED_VALUE"""),"ti-ing-26675115-31e4-4fe6-9f4b-f952cea2afa0")</f>
        <v>ti-ing-26675115-31e4-4fe6-9f4b-f952cea2afa0</v>
      </c>
      <c r="B212" s="7" t="str">
        <f ca="1">IFERROR(__xludf.DUMMYFUNCTION("""COMPUTED_VALUE"""),"GALLETA ESPECIAL 1500")</f>
        <v>GALLETA ESPECIAL 1500</v>
      </c>
      <c r="C212" s="48"/>
      <c r="D212" s="52">
        <f ca="1">IFERROR(__xludf.DUMMYFUNCTION("""COMPUTED_VALUE"""),800)</f>
        <v>800</v>
      </c>
      <c r="E212" s="7" t="str">
        <f ca="1">IFERROR(__xludf.DUMMYFUNCTION("""COMPUTED_VALUE"""),"UN")</f>
        <v>UN</v>
      </c>
      <c r="F212" s="7" t="str">
        <f ca="1">IFERROR(__xludf.DUMMYFUNCTION("""COMPUTED_VALUE"""),"Productos Elaborados")</f>
        <v>Productos Elaborados</v>
      </c>
      <c r="G212" s="49">
        <f t="shared" ca="1" si="0"/>
        <v>0</v>
      </c>
      <c r="H212" s="49">
        <f t="shared" ca="1" si="1"/>
        <v>0</v>
      </c>
      <c r="I212" s="49">
        <f t="shared" ca="1" si="2"/>
        <v>0</v>
      </c>
      <c r="J212" s="156"/>
      <c r="K212" s="4"/>
      <c r="L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9.5" customHeight="1">
      <c r="A213" s="7" t="str">
        <f ca="1">IFERROR(__xludf.DUMMYFUNCTION("""COMPUTED_VALUE"""),"ti-ing-cee77de7-f9f2-4481-b212-5c0f4ff6437e")</f>
        <v>ti-ing-cee77de7-f9f2-4481-b212-5c0f4ff6437e</v>
      </c>
      <c r="B213" s="7" t="str">
        <f ca="1">IFERROR(__xludf.DUMMYFUNCTION("""COMPUTED_VALUE"""),"GALLETA ESPECIAL 2500")</f>
        <v>GALLETA ESPECIAL 2500</v>
      </c>
      <c r="C213" s="48"/>
      <c r="D213" s="52">
        <f ca="1">IFERROR(__xludf.DUMMYFUNCTION("""COMPUTED_VALUE"""),1000)</f>
        <v>1000</v>
      </c>
      <c r="E213" s="7" t="str">
        <f ca="1">IFERROR(__xludf.DUMMYFUNCTION("""COMPUTED_VALUE"""),"UN")</f>
        <v>UN</v>
      </c>
      <c r="F213" s="7" t="str">
        <f ca="1">IFERROR(__xludf.DUMMYFUNCTION("""COMPUTED_VALUE"""),"Productos Elaborados")</f>
        <v>Productos Elaborados</v>
      </c>
      <c r="G213" s="49">
        <f t="shared" ca="1" si="0"/>
        <v>0</v>
      </c>
      <c r="H213" s="49">
        <f t="shared" ca="1" si="1"/>
        <v>0</v>
      </c>
      <c r="I213" s="49">
        <f t="shared" ca="1" si="2"/>
        <v>0</v>
      </c>
      <c r="J213" s="156"/>
      <c r="K213" s="4"/>
      <c r="L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9.5" customHeight="1">
      <c r="A214" s="7" t="str">
        <f ca="1">IFERROR(__xludf.DUMMYFUNCTION("""COMPUTED_VALUE"""),"ti-ing-caaaf555-cbcc-443f-9828-9e54cd65d030")</f>
        <v>ti-ing-caaaf555-cbcc-443f-9828-9e54cd65d030</v>
      </c>
      <c r="B214" s="7" t="str">
        <f ca="1">IFERROR(__xludf.DUMMYFUNCTION("""COMPUTED_VALUE"""),"GALLETAS CHOCOCHIPS 3un")</f>
        <v>GALLETAS CHOCOCHIPS 3un</v>
      </c>
      <c r="C214" s="48"/>
      <c r="D214" s="52">
        <f ca="1">IFERROR(__xludf.DUMMYFUNCTION("""COMPUTED_VALUE"""),563)</f>
        <v>563</v>
      </c>
      <c r="E214" s="7" t="str">
        <f ca="1">IFERROR(__xludf.DUMMYFUNCTION("""COMPUTED_VALUE"""),"UN")</f>
        <v>UN</v>
      </c>
      <c r="F214" s="7" t="str">
        <f ca="1">IFERROR(__xludf.DUMMYFUNCTION("""COMPUTED_VALUE"""),"Productos Elaborados")</f>
        <v>Productos Elaborados</v>
      </c>
      <c r="G214" s="49">
        <f t="shared" ca="1" si="0"/>
        <v>0</v>
      </c>
      <c r="H214" s="49">
        <f t="shared" ca="1" si="1"/>
        <v>0</v>
      </c>
      <c r="I214" s="49">
        <f t="shared" ca="1" si="2"/>
        <v>0</v>
      </c>
      <c r="J214" s="156"/>
      <c r="K214" s="4"/>
      <c r="L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9.5" customHeight="1">
      <c r="A215" s="7" t="str">
        <f ca="1">IFERROR(__xludf.DUMMYFUNCTION("""COMPUTED_VALUE"""),"ti-ing-00a74b9c-e5c4-4d9d-ae39-c2f80bc1f737")</f>
        <v>ti-ing-00a74b9c-e5c4-4d9d-ae39-c2f80bc1f737</v>
      </c>
      <c r="B215" s="7" t="str">
        <f ca="1">IFERROR(__xludf.DUMMYFUNCTION("""COMPUTED_VALUE"""),"GALLETAS MANTEQUILLA 6un")</f>
        <v>GALLETAS MANTEQUILLA 6un</v>
      </c>
      <c r="C215" s="48"/>
      <c r="D215" s="52">
        <f ca="1">IFERROR(__xludf.DUMMYFUNCTION("""COMPUTED_VALUE"""),817)</f>
        <v>817</v>
      </c>
      <c r="E215" s="7" t="str">
        <f ca="1">IFERROR(__xludf.DUMMYFUNCTION("""COMPUTED_VALUE"""),"UN")</f>
        <v>UN</v>
      </c>
      <c r="F215" s="7" t="str">
        <f ca="1">IFERROR(__xludf.DUMMYFUNCTION("""COMPUTED_VALUE"""),"Productos Elaborados")</f>
        <v>Productos Elaborados</v>
      </c>
      <c r="G215" s="49">
        <f t="shared" ca="1" si="0"/>
        <v>0</v>
      </c>
      <c r="H215" s="49">
        <f t="shared" ca="1" si="1"/>
        <v>0</v>
      </c>
      <c r="I215" s="49">
        <f t="shared" ca="1" si="2"/>
        <v>0</v>
      </c>
      <c r="J215" s="156"/>
      <c r="K215" s="4"/>
      <c r="L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9.5" customHeight="1">
      <c r="A216" s="7" t="str">
        <f ca="1">IFERROR(__xludf.DUMMYFUNCTION("""COMPUTED_VALUE"""),"ti-ing-48c23a30-1b31-4b05-8c7e-ea83a1a0907b")</f>
        <v>ti-ing-48c23a30-1b31-4b05-8c7e-ea83a1a0907b</v>
      </c>
      <c r="B216" s="7" t="str">
        <f ca="1">IFERROR(__xludf.DUMMYFUNCTION("""COMPUTED_VALUE"""),"Galletitas mix")</f>
        <v>Galletitas mix</v>
      </c>
      <c r="C216" s="48"/>
      <c r="D216" s="52">
        <f ca="1">IFERROR(__xludf.DUMMYFUNCTION("""COMPUTED_VALUE"""),1325)</f>
        <v>1325</v>
      </c>
      <c r="E216" s="7" t="str">
        <f ca="1">IFERROR(__xludf.DUMMYFUNCTION("""COMPUTED_VALUE"""),"UN")</f>
        <v>UN</v>
      </c>
      <c r="F216" s="7" t="str">
        <f ca="1">IFERROR(__xludf.DUMMYFUNCTION("""COMPUTED_VALUE"""),"Productos Elaborados")</f>
        <v>Productos Elaborados</v>
      </c>
      <c r="G216" s="49">
        <f t="shared" ca="1" si="0"/>
        <v>0</v>
      </c>
      <c r="H216" s="49">
        <f t="shared" ca="1" si="1"/>
        <v>0</v>
      </c>
      <c r="I216" s="49">
        <f t="shared" ca="1" si="2"/>
        <v>0</v>
      </c>
      <c r="J216" s="156"/>
      <c r="K216" s="4"/>
      <c r="L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9.5" customHeight="1">
      <c r="A217" s="7" t="str">
        <f ca="1">IFERROR(__xludf.DUMMYFUNCTION("""COMPUTED_VALUE"""),"ti-ing-08d0a5b7-2f77-4172-b5f5-a1216f181dae")</f>
        <v>ti-ing-08d0a5b7-2f77-4172-b5f5-a1216f181dae</v>
      </c>
      <c r="B217" s="7" t="str">
        <f ca="1">IFERROR(__xludf.DUMMYFUNCTION("""COMPUTED_VALUE"""),"GALLETON AVENA")</f>
        <v>GALLETON AVENA</v>
      </c>
      <c r="C217" s="48"/>
      <c r="D217" s="52">
        <f ca="1">IFERROR(__xludf.DUMMYFUNCTION("""COMPUTED_VALUE"""),800)</f>
        <v>800</v>
      </c>
      <c r="E217" s="7" t="str">
        <f ca="1">IFERROR(__xludf.DUMMYFUNCTION("""COMPUTED_VALUE"""),"UN")</f>
        <v>UN</v>
      </c>
      <c r="F217" s="7" t="str">
        <f ca="1">IFERROR(__xludf.DUMMYFUNCTION("""COMPUTED_VALUE"""),"Productos Elaborados")</f>
        <v>Productos Elaborados</v>
      </c>
      <c r="G217" s="49">
        <f t="shared" ca="1" si="0"/>
        <v>0</v>
      </c>
      <c r="H217" s="49">
        <f t="shared" ca="1" si="1"/>
        <v>0</v>
      </c>
      <c r="I217" s="49">
        <f t="shared" ca="1" si="2"/>
        <v>0</v>
      </c>
      <c r="J217" s="156"/>
      <c r="K217" s="4"/>
      <c r="L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9.5" customHeight="1">
      <c r="A218" s="7" t="str">
        <f ca="1">IFERROR(__xludf.DUMMYFUNCTION("""COMPUTED_VALUE"""),"ti-ing-20cf41c7-57fb-4173-94f9-d26641ca5ec7")</f>
        <v>ti-ing-20cf41c7-57fb-4173-94f9-d26641ca5ec7</v>
      </c>
      <c r="B218" s="7" t="str">
        <f ca="1">IFERROR(__xludf.DUMMYFUNCTION("""COMPUTED_VALUE"""),"GALLETON CHOCO CHIPS")</f>
        <v>GALLETON CHOCO CHIPS</v>
      </c>
      <c r="C218" s="48"/>
      <c r="D218" s="52">
        <f ca="1">IFERROR(__xludf.DUMMYFUNCTION("""COMPUTED_VALUE"""),725.63)</f>
        <v>725.63</v>
      </c>
      <c r="E218" s="7" t="str">
        <f ca="1">IFERROR(__xludf.DUMMYFUNCTION("""COMPUTED_VALUE"""),"UN")</f>
        <v>UN</v>
      </c>
      <c r="F218" s="7" t="str">
        <f ca="1">IFERROR(__xludf.DUMMYFUNCTION("""COMPUTED_VALUE"""),"Productos Elaborados")</f>
        <v>Productos Elaborados</v>
      </c>
      <c r="G218" s="49">
        <f t="shared" ca="1" si="0"/>
        <v>0</v>
      </c>
      <c r="H218" s="49">
        <f t="shared" ca="1" si="1"/>
        <v>0</v>
      </c>
      <c r="I218" s="49">
        <f t="shared" ca="1" si="2"/>
        <v>0</v>
      </c>
      <c r="J218" s="156"/>
      <c r="K218" s="4"/>
      <c r="L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9.5" customHeight="1">
      <c r="A219" s="7" t="str">
        <f ca="1">IFERROR(__xludf.DUMMYFUNCTION("""COMPUTED_VALUE"""),"ti-ing-24da8695-1fa7-4414-b3c6-2194c29794a9")</f>
        <v>ti-ing-24da8695-1fa7-4414-b3c6-2194c29794a9</v>
      </c>
      <c r="B219" s="7" t="str">
        <f ca="1">IFERROR(__xludf.DUMMYFUNCTION("""COMPUTED_VALUE"""),"GALLETON CHOCOLATE")</f>
        <v>GALLETON CHOCOLATE</v>
      </c>
      <c r="C219" s="48"/>
      <c r="D219" s="52">
        <f ca="1">IFERROR(__xludf.DUMMYFUNCTION("""COMPUTED_VALUE"""),800)</f>
        <v>800</v>
      </c>
      <c r="E219" s="7" t="str">
        <f ca="1">IFERROR(__xludf.DUMMYFUNCTION("""COMPUTED_VALUE"""),"UN")</f>
        <v>UN</v>
      </c>
      <c r="F219" s="7" t="str">
        <f ca="1">IFERROR(__xludf.DUMMYFUNCTION("""COMPUTED_VALUE"""),"Productos Elaborados")</f>
        <v>Productos Elaborados</v>
      </c>
      <c r="G219" s="49">
        <f t="shared" ca="1" si="0"/>
        <v>0</v>
      </c>
      <c r="H219" s="49">
        <f t="shared" ca="1" si="1"/>
        <v>0</v>
      </c>
      <c r="I219" s="49">
        <f t="shared" ca="1" si="2"/>
        <v>0</v>
      </c>
      <c r="J219" s="156"/>
      <c r="K219" s="4"/>
      <c r="L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9.5" customHeight="1">
      <c r="A220" s="7"/>
      <c r="B220" s="7" t="str">
        <f ca="1">IFERROR(__xludf.DUMMYFUNCTION("""COMPUTED_VALUE"""),"Ganache de pistacho servicio")</f>
        <v>Ganache de pistacho servicio</v>
      </c>
      <c r="C220" s="48">
        <v>3</v>
      </c>
      <c r="D220" s="52">
        <f ca="1">IFERROR(__xludf.DUMMYFUNCTION("""COMPUTED_VALUE"""),18763)</f>
        <v>18763</v>
      </c>
      <c r="E220" s="7" t="str">
        <f ca="1">IFERROR(__xludf.DUMMYFUNCTION("""COMPUTED_VALUE"""),"UN")</f>
        <v>UN</v>
      </c>
      <c r="F220" s="7" t="str">
        <f ca="1">IFERROR(__xludf.DUMMYFUNCTION("""COMPUTED_VALUE"""),"Productos Elaborados")</f>
        <v>Productos Elaborados</v>
      </c>
      <c r="G220" s="49">
        <f t="shared" ca="1" si="0"/>
        <v>56289</v>
      </c>
      <c r="H220" s="49">
        <f t="shared" ca="1" si="1"/>
        <v>10694.91</v>
      </c>
      <c r="I220" s="49">
        <f t="shared" ca="1" si="2"/>
        <v>66983.91</v>
      </c>
      <c r="J220" s="156"/>
      <c r="K220" s="4"/>
      <c r="L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9.5" customHeight="1">
      <c r="A221" s="7" t="str">
        <f ca="1">IFERROR(__xludf.DUMMYFUNCTION("""COMPUTED_VALUE"""),"ti-ing-bfd00335-b52c-4dfe-9e64-55208b3b79ff")</f>
        <v>ti-ing-bfd00335-b52c-4dfe-9e64-55208b3b79ff</v>
      </c>
      <c r="B221" s="7" t="str">
        <f ca="1">IFERROR(__xludf.DUMMYFUNCTION("""COMPUTED_VALUE"""),"Hallulla")</f>
        <v>Hallulla</v>
      </c>
      <c r="C221" s="48"/>
      <c r="D221" s="52">
        <f ca="1">IFERROR(__xludf.DUMMYFUNCTION("""COMPUTED_VALUE"""),1000)</f>
        <v>1000</v>
      </c>
      <c r="E221" s="7" t="str">
        <f ca="1">IFERROR(__xludf.DUMMYFUNCTION("""COMPUTED_VALUE"""),"KG")</f>
        <v>KG</v>
      </c>
      <c r="F221" s="7" t="str">
        <f ca="1">IFERROR(__xludf.DUMMYFUNCTION("""COMPUTED_VALUE"""),"Productos Elaborados")</f>
        <v>Productos Elaborados</v>
      </c>
      <c r="G221" s="49">
        <f t="shared" ca="1" si="0"/>
        <v>0</v>
      </c>
      <c r="H221" s="49">
        <f t="shared" ca="1" si="1"/>
        <v>0</v>
      </c>
      <c r="I221" s="49">
        <f t="shared" ca="1" si="2"/>
        <v>0</v>
      </c>
      <c r="J221" s="156"/>
      <c r="K221" s="4"/>
      <c r="L221" s="4"/>
      <c r="M221" s="80"/>
      <c r="N221" s="80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9.5" customHeight="1">
      <c r="A222" s="7" t="str">
        <f ca="1">IFERROR(__xludf.DUMMYFUNCTION("""COMPUTED_VALUE"""),"ti-ing-e94620a7-7ad3-4158-bff7-9af4134b7a68")</f>
        <v>ti-ing-e94620a7-7ad3-4158-bff7-9af4134b7a68</v>
      </c>
      <c r="B222" s="7" t="str">
        <f ca="1">IFERROR(__xludf.DUMMYFUNCTION("""COMPUTED_VALUE"""),"Hallulla integral")</f>
        <v>Hallulla integral</v>
      </c>
      <c r="C222" s="48"/>
      <c r="D222" s="52">
        <f ca="1">IFERROR(__xludf.DUMMYFUNCTION("""COMPUTED_VALUE"""),1000)</f>
        <v>1000</v>
      </c>
      <c r="E222" s="7" t="str">
        <f ca="1">IFERROR(__xludf.DUMMYFUNCTION("""COMPUTED_VALUE"""),"KG")</f>
        <v>KG</v>
      </c>
      <c r="F222" s="7" t="str">
        <f ca="1">IFERROR(__xludf.DUMMYFUNCTION("""COMPUTED_VALUE"""),"Productos Elaborados")</f>
        <v>Productos Elaborados</v>
      </c>
      <c r="G222" s="49">
        <f t="shared" ca="1" si="0"/>
        <v>0</v>
      </c>
      <c r="H222" s="49">
        <f t="shared" ca="1" si="1"/>
        <v>0</v>
      </c>
      <c r="I222" s="49">
        <f t="shared" ca="1" si="2"/>
        <v>0</v>
      </c>
      <c r="J222" s="156"/>
      <c r="K222" s="4"/>
      <c r="L222" s="4"/>
      <c r="M222" s="80"/>
      <c r="N222" s="80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9.5" customHeight="1">
      <c r="A223" s="7" t="str">
        <f ca="1">IFERROR(__xludf.DUMMYFUNCTION("""COMPUTED_VALUE"""),"ti-ing-46c3568f-ef80-4bac-8822-1590fd123a13")</f>
        <v>ti-ing-46c3568f-ef80-4bac-8822-1590fd123a13</v>
      </c>
      <c r="B223" s="7" t="str">
        <f ca="1">IFERROR(__xludf.DUMMYFUNCTION("""COMPUTED_VALUE"""),"Hambuguesa")</f>
        <v>Hambuguesa</v>
      </c>
      <c r="C223" s="48"/>
      <c r="D223" s="52">
        <f ca="1">IFERROR(__xludf.DUMMYFUNCTION("""COMPUTED_VALUE"""),100)</f>
        <v>100</v>
      </c>
      <c r="E223" s="7" t="str">
        <f ca="1">IFERROR(__xludf.DUMMYFUNCTION("""COMPUTED_VALUE"""),"UN")</f>
        <v>UN</v>
      </c>
      <c r="F223" s="7" t="str">
        <f ca="1">IFERROR(__xludf.DUMMYFUNCTION("""COMPUTED_VALUE"""),"Productos Elaborados")</f>
        <v>Productos Elaborados</v>
      </c>
      <c r="G223" s="49">
        <f t="shared" ca="1" si="0"/>
        <v>0</v>
      </c>
      <c r="H223" s="49">
        <f t="shared" ca="1" si="1"/>
        <v>0</v>
      </c>
      <c r="I223" s="49">
        <f t="shared" ca="1" si="2"/>
        <v>0</v>
      </c>
      <c r="J223" s="156"/>
      <c r="K223" s="4"/>
      <c r="L223" s="4"/>
      <c r="M223" s="80"/>
      <c r="N223" s="80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9.5" customHeight="1">
      <c r="A224" s="7" t="str">
        <f ca="1">IFERROR(__xludf.DUMMYFUNCTION("""COMPUTED_VALUE"""),"ti-ing-0563815d-39aa-4e1b-bcdd-35780f423d81")</f>
        <v>ti-ing-0563815d-39aa-4e1b-bcdd-35780f423d81</v>
      </c>
      <c r="B224" s="7" t="str">
        <f ca="1">IFERROR(__xludf.DUMMYFUNCTION("""COMPUTED_VALUE"""),"Hambuguesa especial")</f>
        <v>Hambuguesa especial</v>
      </c>
      <c r="C224" s="48"/>
      <c r="D224" s="52">
        <f ca="1">IFERROR(__xludf.DUMMYFUNCTION("""COMPUTED_VALUE"""),150)</f>
        <v>150</v>
      </c>
      <c r="E224" s="7" t="str">
        <f ca="1">IFERROR(__xludf.DUMMYFUNCTION("""COMPUTED_VALUE"""),"UN")</f>
        <v>UN</v>
      </c>
      <c r="F224" s="7" t="str">
        <f ca="1">IFERROR(__xludf.DUMMYFUNCTION("""COMPUTED_VALUE"""),"Productos Elaborados")</f>
        <v>Productos Elaborados</v>
      </c>
      <c r="G224" s="49">
        <f t="shared" ca="1" si="0"/>
        <v>0</v>
      </c>
      <c r="H224" s="49">
        <f t="shared" ca="1" si="1"/>
        <v>0</v>
      </c>
      <c r="I224" s="49">
        <f t="shared" ca="1" si="2"/>
        <v>0</v>
      </c>
      <c r="J224" s="156"/>
      <c r="K224" s="4"/>
      <c r="L224" s="4"/>
      <c r="M224" s="80"/>
      <c r="N224" s="80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9.5" customHeight="1">
      <c r="A225" s="7"/>
      <c r="B225" s="7" t="str">
        <f ca="1">IFERROR(__xludf.DUMMYFUNCTION("""COMPUTED_VALUE"""),"Infusión té flor de jamaica")</f>
        <v>Infusión té flor de jamaica</v>
      </c>
      <c r="C225" s="48">
        <v>2.2999999999999998</v>
      </c>
      <c r="D225" s="52">
        <f ca="1">IFERROR(__xludf.DUMMYFUNCTION("""COMPUTED_VALUE"""),2500)</f>
        <v>2500</v>
      </c>
      <c r="E225" s="7" t="str">
        <f ca="1">IFERROR(__xludf.DUMMYFUNCTION("""COMPUTED_VALUE"""),"LT")</f>
        <v>LT</v>
      </c>
      <c r="F225" s="7" t="str">
        <f ca="1">IFERROR(__xludf.DUMMYFUNCTION("""COMPUTED_VALUE"""),"Productos Elaborados")</f>
        <v>Productos Elaborados</v>
      </c>
      <c r="G225" s="49">
        <f t="shared" ca="1" si="0"/>
        <v>5750</v>
      </c>
      <c r="H225" s="49">
        <f t="shared" ca="1" si="1"/>
        <v>1092.5</v>
      </c>
      <c r="I225" s="49">
        <f t="shared" ca="1" si="2"/>
        <v>6842.5</v>
      </c>
      <c r="J225" s="156"/>
      <c r="K225" s="4"/>
      <c r="L225" s="4"/>
      <c r="M225" s="80"/>
      <c r="N225" s="80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9.5" customHeight="1">
      <c r="A226" s="7"/>
      <c r="B226" s="7" t="str">
        <f ca="1">IFERROR(__xludf.DUMMYFUNCTION("""COMPUTED_VALUE"""),"Infusión té mariposa")</f>
        <v>Infusión té mariposa</v>
      </c>
      <c r="C226" s="48">
        <v>1</v>
      </c>
      <c r="D226" s="52">
        <f ca="1">IFERROR(__xludf.DUMMYFUNCTION("""COMPUTED_VALUE"""),2500)</f>
        <v>2500</v>
      </c>
      <c r="E226" s="7" t="str">
        <f ca="1">IFERROR(__xludf.DUMMYFUNCTION("""COMPUTED_VALUE"""),"LT")</f>
        <v>LT</v>
      </c>
      <c r="F226" s="7" t="str">
        <f ca="1">IFERROR(__xludf.DUMMYFUNCTION("""COMPUTED_VALUE"""),"Productos Elaborados")</f>
        <v>Productos Elaborados</v>
      </c>
      <c r="G226" s="49">
        <f t="shared" ca="1" si="0"/>
        <v>2500</v>
      </c>
      <c r="H226" s="49">
        <f t="shared" ca="1" si="1"/>
        <v>475</v>
      </c>
      <c r="I226" s="49">
        <f t="shared" ca="1" si="2"/>
        <v>2975</v>
      </c>
      <c r="J226" s="156"/>
      <c r="K226" s="4"/>
      <c r="L226" s="4"/>
      <c r="M226" s="80"/>
      <c r="N226" s="80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9.5" customHeight="1">
      <c r="A227" s="7" t="str">
        <f ca="1">IFERROR(__xludf.DUMMYFUNCTION("""COMPUTED_VALUE"""),"ti-ing-197c8ac7-983c-44e6-a5f8-d941c027c96a")</f>
        <v>ti-ing-197c8ac7-983c-44e6-a5f8-d941c027c96a</v>
      </c>
      <c r="B227" s="7" t="str">
        <f ca="1">IFERROR(__xludf.DUMMYFUNCTION("""COMPUTED_VALUE"""),"Kutchen de frutos rojos")</f>
        <v>Kutchen de frutos rojos</v>
      </c>
      <c r="C227" s="48"/>
      <c r="D227" s="52">
        <f ca="1">IFERROR(__xludf.DUMMYFUNCTION("""COMPUTED_VALUE"""),424)</f>
        <v>424</v>
      </c>
      <c r="E227" s="7" t="str">
        <f ca="1">IFERROR(__xludf.DUMMYFUNCTION("""COMPUTED_VALUE"""),"UN")</f>
        <v>UN</v>
      </c>
      <c r="F227" s="7" t="str">
        <f ca="1">IFERROR(__xludf.DUMMYFUNCTION("""COMPUTED_VALUE"""),"Productos Elaborados")</f>
        <v>Productos Elaborados</v>
      </c>
      <c r="G227" s="49">
        <f t="shared" ca="1" si="0"/>
        <v>0</v>
      </c>
      <c r="H227" s="49">
        <f t="shared" ca="1" si="1"/>
        <v>0</v>
      </c>
      <c r="I227" s="49">
        <f t="shared" ca="1" si="2"/>
        <v>0</v>
      </c>
      <c r="J227" s="156"/>
      <c r="K227" s="4"/>
      <c r="L227" s="4"/>
      <c r="M227" s="80"/>
      <c r="N227" s="80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9.5" customHeight="1">
      <c r="A228" s="7" t="str">
        <f ca="1">IFERROR(__xludf.DUMMYFUNCTION("""COMPUTED_VALUE"""),"ti-ing-0e6f777d-f148-40e3-97f3-e7d6c1ae05d7")</f>
        <v>ti-ing-0e6f777d-f148-40e3-97f3-e7d6c1ae05d7</v>
      </c>
      <c r="B228" s="7" t="str">
        <f ca="1">IFERROR(__xludf.DUMMYFUNCTION("""COMPUTED_VALUE"""),"Kutchen de manzana")</f>
        <v>Kutchen de manzana</v>
      </c>
      <c r="C228" s="48"/>
      <c r="D228" s="52">
        <f ca="1">IFERROR(__xludf.DUMMYFUNCTION("""COMPUTED_VALUE"""),401)</f>
        <v>401</v>
      </c>
      <c r="E228" s="7" t="str">
        <f ca="1">IFERROR(__xludf.DUMMYFUNCTION("""COMPUTED_VALUE"""),"UN")</f>
        <v>UN</v>
      </c>
      <c r="F228" s="7" t="str">
        <f ca="1">IFERROR(__xludf.DUMMYFUNCTION("""COMPUTED_VALUE"""),"Productos Elaborados")</f>
        <v>Productos Elaborados</v>
      </c>
      <c r="G228" s="49">
        <f t="shared" ca="1" si="0"/>
        <v>0</v>
      </c>
      <c r="H228" s="49">
        <f t="shared" ca="1" si="1"/>
        <v>0</v>
      </c>
      <c r="I228" s="49">
        <f t="shared" ca="1" si="2"/>
        <v>0</v>
      </c>
      <c r="J228" s="156"/>
      <c r="K228" s="4"/>
      <c r="L228" s="4"/>
      <c r="M228" s="80"/>
      <c r="N228" s="80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9.5" customHeight="1">
      <c r="A229" s="7" t="str">
        <f ca="1">IFERROR(__xludf.DUMMYFUNCTION("""COMPUTED_VALUE"""),"ti-ing-531221ec-8449-43d9-85d3-f60db8f742ae")</f>
        <v>ti-ing-531221ec-8449-43d9-85d3-f60db8f742ae</v>
      </c>
      <c r="B229" s="7" t="str">
        <f ca="1">IFERROR(__xludf.DUMMYFUNCTION("""COMPUTED_VALUE"""),"Kutchen nuez")</f>
        <v>Kutchen nuez</v>
      </c>
      <c r="C229" s="48"/>
      <c r="D229" s="52">
        <f ca="1">IFERROR(__xludf.DUMMYFUNCTION("""COMPUTED_VALUE"""),591)</f>
        <v>591</v>
      </c>
      <c r="E229" s="7" t="str">
        <f ca="1">IFERROR(__xludf.DUMMYFUNCTION("""COMPUTED_VALUE"""),"un")</f>
        <v>un</v>
      </c>
      <c r="F229" s="7" t="str">
        <f ca="1">IFERROR(__xludf.DUMMYFUNCTION("""COMPUTED_VALUE"""),"Productos Elaborados")</f>
        <v>Productos Elaborados</v>
      </c>
      <c r="G229" s="49">
        <f t="shared" ca="1" si="0"/>
        <v>0</v>
      </c>
      <c r="H229" s="49">
        <f t="shared" ca="1" si="1"/>
        <v>0</v>
      </c>
      <c r="I229" s="49">
        <f t="shared" ca="1" si="2"/>
        <v>0</v>
      </c>
      <c r="J229" s="156"/>
      <c r="K229" s="4"/>
      <c r="L229" s="4"/>
      <c r="M229" s="80"/>
      <c r="N229" s="80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9.5" customHeight="1">
      <c r="A230" s="7" t="str">
        <f ca="1">IFERROR(__xludf.DUMMYFUNCTION("""COMPUTED_VALUE"""),"ti-ing-75ba9837-ada2-47c9-8144-1df6f485a444")</f>
        <v>ti-ing-75ba9837-ada2-47c9-8144-1df6f485a444</v>
      </c>
      <c r="B230" s="7" t="str">
        <f ca="1">IFERROR(__xludf.DUMMYFUNCTION("""COMPUTED_VALUE"""),"LASAÑA")</f>
        <v>LASAÑA</v>
      </c>
      <c r="C230" s="48"/>
      <c r="D230" s="52">
        <f ca="1">IFERROR(__xludf.DUMMYFUNCTION("""COMPUTED_VALUE"""),2000)</f>
        <v>2000</v>
      </c>
      <c r="E230" s="7" t="str">
        <f ca="1">IFERROR(__xludf.DUMMYFUNCTION("""COMPUTED_VALUE"""),"UN")</f>
        <v>UN</v>
      </c>
      <c r="F230" s="7" t="str">
        <f ca="1">IFERROR(__xludf.DUMMYFUNCTION("""COMPUTED_VALUE"""),"Productos Elaborados")</f>
        <v>Productos Elaborados</v>
      </c>
      <c r="G230" s="49">
        <f t="shared" ca="1" si="0"/>
        <v>0</v>
      </c>
      <c r="H230" s="49">
        <f t="shared" ca="1" si="1"/>
        <v>0</v>
      </c>
      <c r="I230" s="49">
        <f t="shared" ca="1" si="2"/>
        <v>0</v>
      </c>
      <c r="J230" s="156"/>
      <c r="K230" s="4"/>
      <c r="L230" s="4"/>
      <c r="M230" s="80"/>
      <c r="N230" s="80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9.5" customHeight="1">
      <c r="A231" s="7" t="str">
        <f ca="1">IFERROR(__xludf.DUMMYFUNCTION("""COMPUTED_VALUE"""),"ti-ing-f9863271-84fc-4bd2-90dc-9aca725b5cfd")</f>
        <v>ti-ing-f9863271-84fc-4bd2-90dc-9aca725b5cfd</v>
      </c>
      <c r="B231" s="7" t="str">
        <f ca="1">IFERROR(__xludf.DUMMYFUNCTION("""COMPUTED_VALUE"""),"Lemon pie")</f>
        <v>Lemon pie</v>
      </c>
      <c r="C231" s="48"/>
      <c r="D231" s="52">
        <f ca="1">IFERROR(__xludf.DUMMYFUNCTION("""COMPUTED_VALUE"""),700)</f>
        <v>700</v>
      </c>
      <c r="E231" s="7" t="str">
        <f ca="1">IFERROR(__xludf.DUMMYFUNCTION("""COMPUTED_VALUE"""),"UN")</f>
        <v>UN</v>
      </c>
      <c r="F231" s="7" t="str">
        <f ca="1">IFERROR(__xludf.DUMMYFUNCTION("""COMPUTED_VALUE"""),"Productos Elaborados")</f>
        <v>Productos Elaborados</v>
      </c>
      <c r="G231" s="49">
        <f t="shared" ca="1" si="0"/>
        <v>0</v>
      </c>
      <c r="H231" s="49">
        <f t="shared" ca="1" si="1"/>
        <v>0</v>
      </c>
      <c r="I231" s="49">
        <f t="shared" ca="1" si="2"/>
        <v>0</v>
      </c>
      <c r="J231" s="156"/>
      <c r="K231" s="4"/>
      <c r="L231" s="4"/>
      <c r="M231" s="80"/>
      <c r="N231" s="80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9.5" customHeight="1">
      <c r="A232" s="7"/>
      <c r="B232" s="7" t="str">
        <f ca="1">IFERROR(__xludf.DUMMYFUNCTION("""COMPUTED_VALUE"""),"Limonada")</f>
        <v>Limonada</v>
      </c>
      <c r="C232" s="48"/>
      <c r="D232" s="52">
        <f ca="1">IFERROR(__xludf.DUMMYFUNCTION("""COMPUTED_VALUE"""),1000)</f>
        <v>1000</v>
      </c>
      <c r="E232" s="7" t="str">
        <f ca="1">IFERROR(__xludf.DUMMYFUNCTION("""COMPUTED_VALUE"""),"LT")</f>
        <v>LT</v>
      </c>
      <c r="F232" s="7" t="str">
        <f ca="1">IFERROR(__xludf.DUMMYFUNCTION("""COMPUTED_VALUE"""),"Productos Elaborados")</f>
        <v>Productos Elaborados</v>
      </c>
      <c r="G232" s="49">
        <f t="shared" ca="1" si="0"/>
        <v>0</v>
      </c>
      <c r="H232" s="49">
        <f t="shared" ca="1" si="1"/>
        <v>0</v>
      </c>
      <c r="I232" s="49">
        <f t="shared" ca="1" si="2"/>
        <v>0</v>
      </c>
      <c r="J232" s="156"/>
      <c r="K232" s="4"/>
      <c r="L232" s="4"/>
      <c r="M232" s="80"/>
      <c r="N232" s="80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9.5" customHeight="1">
      <c r="A233" s="7" t="str">
        <f ca="1">IFERROR(__xludf.DUMMYFUNCTION("""COMPUTED_VALUE"""),"ti-ing-cb705b54-897f-4a58-a925-149b7ca989ff")</f>
        <v>ti-ing-cb705b54-897f-4a58-a925-149b7ca989ff</v>
      </c>
      <c r="B233" s="7" t="str">
        <f ca="1">IFERROR(__xludf.DUMMYFUNCTION("""COMPUTED_VALUE"""),"Marraqueta")</f>
        <v>Marraqueta</v>
      </c>
      <c r="C233" s="48"/>
      <c r="D233" s="52">
        <f ca="1">IFERROR(__xludf.DUMMYFUNCTION("""COMPUTED_VALUE"""),1000)</f>
        <v>1000</v>
      </c>
      <c r="E233" s="7" t="str">
        <f ca="1">IFERROR(__xludf.DUMMYFUNCTION("""COMPUTED_VALUE"""),"Kg")</f>
        <v>Kg</v>
      </c>
      <c r="F233" s="7" t="str">
        <f ca="1">IFERROR(__xludf.DUMMYFUNCTION("""COMPUTED_VALUE"""),"Productos Elaborados")</f>
        <v>Productos Elaborados</v>
      </c>
      <c r="G233" s="49">
        <f t="shared" ca="1" si="0"/>
        <v>0</v>
      </c>
      <c r="H233" s="49">
        <f t="shared" ca="1" si="1"/>
        <v>0</v>
      </c>
      <c r="I233" s="49">
        <f t="shared" ca="1" si="2"/>
        <v>0</v>
      </c>
      <c r="J233" s="156"/>
      <c r="K233" s="4"/>
      <c r="L233" s="4"/>
      <c r="M233" s="80"/>
      <c r="N233" s="80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9.5" customHeight="1">
      <c r="A234" s="7" t="str">
        <f ca="1">IFERROR(__xludf.DUMMYFUNCTION("""COMPUTED_VALUE"""),"ti-ing-47e7fe54-1e3f-49f0-ba92-dd8c17a3562a")</f>
        <v>ti-ing-47e7fe54-1e3f-49f0-ba92-dd8c17a3562a</v>
      </c>
      <c r="B234" s="7" t="str">
        <f ca="1">IFERROR(__xludf.DUMMYFUNCTION("""COMPUTED_VALUE"""),"Merenguitos")</f>
        <v>Merenguitos</v>
      </c>
      <c r="C234" s="48"/>
      <c r="D234" s="52">
        <f ca="1">IFERROR(__xludf.DUMMYFUNCTION("""COMPUTED_VALUE"""),372.5)</f>
        <v>372.5</v>
      </c>
      <c r="E234" s="7" t="str">
        <f ca="1">IFERROR(__xludf.DUMMYFUNCTION("""COMPUTED_VALUE"""),"UN")</f>
        <v>UN</v>
      </c>
      <c r="F234" s="7" t="str">
        <f ca="1">IFERROR(__xludf.DUMMYFUNCTION("""COMPUTED_VALUE"""),"Productos Elaborados")</f>
        <v>Productos Elaborados</v>
      </c>
      <c r="G234" s="49">
        <f t="shared" ca="1" si="0"/>
        <v>0</v>
      </c>
      <c r="H234" s="49">
        <f t="shared" ca="1" si="1"/>
        <v>0</v>
      </c>
      <c r="I234" s="49">
        <f t="shared" ca="1" si="2"/>
        <v>0</v>
      </c>
      <c r="J234" s="156"/>
      <c r="K234" s="4"/>
      <c r="L234" s="4"/>
      <c r="M234" s="80"/>
      <c r="N234" s="80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9.5" customHeight="1">
      <c r="A235" s="7" t="str">
        <f ca="1">IFERROR(__xludf.DUMMYFUNCTION("""COMPUTED_VALUE"""),"ti-ing-2007a3b7-06b6-4aa7-9935-aed477d8284e")</f>
        <v>ti-ing-2007a3b7-06b6-4aa7-9935-aed477d8284e</v>
      </c>
      <c r="B235" s="7" t="str">
        <f ca="1">IFERROR(__xludf.DUMMYFUNCTION("""COMPUTED_VALUE"""),"Milagritos")</f>
        <v>Milagritos</v>
      </c>
      <c r="C235" s="48"/>
      <c r="D235" s="52">
        <f ca="1">IFERROR(__xludf.DUMMYFUNCTION("""COMPUTED_VALUE"""),2500)</f>
        <v>2500</v>
      </c>
      <c r="E235" s="7" t="str">
        <f ca="1">IFERROR(__xludf.DUMMYFUNCTION("""COMPUTED_VALUE"""),"KG")</f>
        <v>KG</v>
      </c>
      <c r="F235" s="7" t="str">
        <f ca="1">IFERROR(__xludf.DUMMYFUNCTION("""COMPUTED_VALUE"""),"Productos Elaborados")</f>
        <v>Productos Elaborados</v>
      </c>
      <c r="G235" s="49">
        <f t="shared" ca="1" si="0"/>
        <v>0</v>
      </c>
      <c r="H235" s="49">
        <f t="shared" ca="1" si="1"/>
        <v>0</v>
      </c>
      <c r="I235" s="49">
        <f t="shared" ca="1" si="2"/>
        <v>0</v>
      </c>
      <c r="J235" s="156"/>
      <c r="K235" s="4"/>
      <c r="L235" s="4"/>
      <c r="M235" s="80"/>
      <c r="N235" s="80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9.5" customHeight="1">
      <c r="A236" s="7" t="str">
        <f ca="1">IFERROR(__xludf.DUMMYFUNCTION("""COMPUTED_VALUE"""),"ti-ing-89d573e1-3d80-4e74-8a9d-73c23bd74324")</f>
        <v>ti-ing-89d573e1-3d80-4e74-8a9d-73c23bd74324</v>
      </c>
      <c r="B236" s="7" t="str">
        <f ca="1">IFERROR(__xludf.DUMMYFUNCTION("""COMPUTED_VALUE"""),"Molde ave palta")</f>
        <v>Molde ave palta</v>
      </c>
      <c r="C236" s="48"/>
      <c r="D236" s="52">
        <f ca="1">IFERROR(__xludf.DUMMYFUNCTION("""COMPUTED_VALUE"""),3000)</f>
        <v>3000</v>
      </c>
      <c r="E236" s="7" t="str">
        <f ca="1">IFERROR(__xludf.DUMMYFUNCTION("""COMPUTED_VALUE"""),"UN")</f>
        <v>UN</v>
      </c>
      <c r="F236" s="7" t="str">
        <f ca="1">IFERROR(__xludf.DUMMYFUNCTION("""COMPUTED_VALUE"""),"Productos Elaborados")</f>
        <v>Productos Elaborados</v>
      </c>
      <c r="G236" s="49">
        <f t="shared" ca="1" si="0"/>
        <v>0</v>
      </c>
      <c r="H236" s="49">
        <f t="shared" ca="1" si="1"/>
        <v>0</v>
      </c>
      <c r="I236" s="49">
        <f t="shared" ca="1" si="2"/>
        <v>0</v>
      </c>
      <c r="J236" s="156"/>
      <c r="K236" s="4"/>
      <c r="L236" s="4"/>
      <c r="M236" s="80"/>
      <c r="N236" s="80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9.5" customHeight="1">
      <c r="A237" s="7" t="str">
        <f ca="1">IFERROR(__xludf.DUMMYFUNCTION("""COMPUTED_VALUE"""),"ti-ing-0cdad107-111a-465c-91b2-9cb637a1ee41")</f>
        <v>ti-ing-0cdad107-111a-465c-91b2-9cb637a1ee41</v>
      </c>
      <c r="B237" s="7" t="str">
        <f ca="1">IFERROR(__xludf.DUMMYFUNCTION("""COMPUTED_VALUE"""),"Molde Brioche")</f>
        <v>Molde Brioche</v>
      </c>
      <c r="C237" s="48"/>
      <c r="D237" s="52">
        <f ca="1">IFERROR(__xludf.DUMMYFUNCTION("""COMPUTED_VALUE"""),2902.52)</f>
        <v>2902.52</v>
      </c>
      <c r="E237" s="7" t="str">
        <f ca="1">IFERROR(__xludf.DUMMYFUNCTION("""COMPUTED_VALUE"""),"UN")</f>
        <v>UN</v>
      </c>
      <c r="F237" s="7" t="str">
        <f ca="1">IFERROR(__xludf.DUMMYFUNCTION("""COMPUTED_VALUE"""),"Productos Elaborados")</f>
        <v>Productos Elaborados</v>
      </c>
      <c r="G237" s="49">
        <f t="shared" ca="1" si="0"/>
        <v>0</v>
      </c>
      <c r="H237" s="49">
        <f t="shared" ca="1" si="1"/>
        <v>0</v>
      </c>
      <c r="I237" s="49">
        <f t="shared" ca="1" si="2"/>
        <v>0</v>
      </c>
      <c r="J237" s="156"/>
      <c r="K237" s="4"/>
      <c r="L237" s="4"/>
      <c r="M237" s="80"/>
      <c r="N237" s="80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9.5" customHeight="1">
      <c r="A238" s="7" t="str">
        <f ca="1">IFERROR(__xludf.DUMMYFUNCTION("""COMPUTED_VALUE"""),"ti-ing-59b1f2b3-ffb1-4fee-8842-b477bd4c6880")</f>
        <v>ti-ing-59b1f2b3-ffb1-4fee-8842-b477bd4c6880</v>
      </c>
      <c r="B238" s="7" t="str">
        <f ca="1">IFERROR(__xludf.DUMMYFUNCTION("""COMPUTED_VALUE"""),"Molde Integral Multigrano")</f>
        <v>Molde Integral Multigrano</v>
      </c>
      <c r="C238" s="48"/>
      <c r="D238" s="52">
        <f ca="1">IFERROR(__xludf.DUMMYFUNCTION("""COMPUTED_VALUE"""),3000)</f>
        <v>3000</v>
      </c>
      <c r="E238" s="7" t="str">
        <f ca="1">IFERROR(__xludf.DUMMYFUNCTION("""COMPUTED_VALUE"""),"UN")</f>
        <v>UN</v>
      </c>
      <c r="F238" s="7" t="str">
        <f ca="1">IFERROR(__xludf.DUMMYFUNCTION("""COMPUTED_VALUE"""),"Productos Elaborados")</f>
        <v>Productos Elaborados</v>
      </c>
      <c r="G238" s="49">
        <f t="shared" ca="1" si="0"/>
        <v>0</v>
      </c>
      <c r="H238" s="49">
        <f t="shared" ca="1" si="1"/>
        <v>0</v>
      </c>
      <c r="I238" s="49">
        <f t="shared" ca="1" si="2"/>
        <v>0</v>
      </c>
      <c r="J238" s="156"/>
      <c r="K238" s="4"/>
      <c r="L238" s="4"/>
      <c r="M238" s="80"/>
      <c r="N238" s="80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9.5" customHeight="1">
      <c r="A239" s="7" t="str">
        <f ca="1">IFERROR(__xludf.DUMMYFUNCTION("""COMPUTED_VALUE"""),"ti-ing-4ef617f0-29f0-42ca-99c9-9723f9da1409")</f>
        <v>ti-ing-4ef617f0-29f0-42ca-99c9-9723f9da1409</v>
      </c>
      <c r="B239" s="7" t="str">
        <f ca="1">IFERROR(__xludf.DUMMYFUNCTION("""COMPUTED_VALUE"""),"Molde multigrano chico")</f>
        <v>Molde multigrano chico</v>
      </c>
      <c r="C239" s="48"/>
      <c r="D239" s="52">
        <f ca="1">IFERROR(__xludf.DUMMYFUNCTION("""COMPUTED_VALUE"""),1500)</f>
        <v>1500</v>
      </c>
      <c r="E239" s="7" t="str">
        <f ca="1">IFERROR(__xludf.DUMMYFUNCTION("""COMPUTED_VALUE"""),"UN")</f>
        <v>UN</v>
      </c>
      <c r="F239" s="7" t="str">
        <f ca="1">IFERROR(__xludf.DUMMYFUNCTION("""COMPUTED_VALUE"""),"Productos Elaborados")</f>
        <v>Productos Elaborados</v>
      </c>
      <c r="G239" s="49">
        <f t="shared" ca="1" si="0"/>
        <v>0</v>
      </c>
      <c r="H239" s="49">
        <f t="shared" ca="1" si="1"/>
        <v>0</v>
      </c>
      <c r="I239" s="49">
        <f t="shared" ca="1" si="2"/>
        <v>0</v>
      </c>
      <c r="J239" s="156"/>
      <c r="K239" s="4"/>
      <c r="L239" s="4"/>
      <c r="M239" s="80"/>
      <c r="N239" s="80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9.5" customHeight="1">
      <c r="A240" s="7" t="str">
        <f ca="1">IFERROR(__xludf.DUMMYFUNCTION("""COMPUTED_VALUE"""),"ti-ing-b39320ab-4456-4a3a-9681-fa6ca723a0dc")</f>
        <v>ti-ing-b39320ab-4456-4a3a-9681-fa6ca723a0dc</v>
      </c>
      <c r="B240" s="7" t="str">
        <f ca="1">IFERROR(__xludf.DUMMYFUNCTION("""COMPUTED_VALUE"""),"Palmeritas")</f>
        <v>Palmeritas</v>
      </c>
      <c r="C240" s="48"/>
      <c r="D240" s="52">
        <f ca="1">IFERROR(__xludf.DUMMYFUNCTION("""COMPUTED_VALUE"""),300)</f>
        <v>300</v>
      </c>
      <c r="E240" s="7" t="str">
        <f ca="1">IFERROR(__xludf.DUMMYFUNCTION("""COMPUTED_VALUE"""),"UN")</f>
        <v>UN</v>
      </c>
      <c r="F240" s="7" t="str">
        <f ca="1">IFERROR(__xludf.DUMMYFUNCTION("""COMPUTED_VALUE"""),"Productos Elaborados")</f>
        <v>Productos Elaborados</v>
      </c>
      <c r="G240" s="49">
        <f t="shared" ca="1" si="0"/>
        <v>0</v>
      </c>
      <c r="H240" s="49">
        <f t="shared" ca="1" si="1"/>
        <v>0</v>
      </c>
      <c r="I240" s="49">
        <f t="shared" ca="1" si="2"/>
        <v>0</v>
      </c>
      <c r="J240" s="156"/>
      <c r="K240" s="4"/>
      <c r="L240" s="4"/>
      <c r="M240" s="80"/>
      <c r="N240" s="80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9.5" customHeight="1">
      <c r="A241" s="7" t="str">
        <f ca="1">IFERROR(__xludf.DUMMYFUNCTION("""COMPUTED_VALUE"""),"ti-ing-7121128e-fab3-44fc-9fa5-623411566735")</f>
        <v>ti-ing-7121128e-fab3-44fc-9fa5-623411566735</v>
      </c>
      <c r="B241" s="7" t="str">
        <f ca="1">IFERROR(__xludf.DUMMYFUNCTION("""COMPUTED_VALUE"""),"Pan de completo")</f>
        <v>Pan de completo</v>
      </c>
      <c r="C241" s="48"/>
      <c r="D241" s="52">
        <f ca="1">IFERROR(__xludf.DUMMYFUNCTION("""COMPUTED_VALUE"""),1500)</f>
        <v>1500</v>
      </c>
      <c r="E241" s="7" t="str">
        <f ca="1">IFERROR(__xludf.DUMMYFUNCTION("""COMPUTED_VALUE"""),"UN")</f>
        <v>UN</v>
      </c>
      <c r="F241" s="7" t="str">
        <f ca="1">IFERROR(__xludf.DUMMYFUNCTION("""COMPUTED_VALUE"""),"Productos Elaborados")</f>
        <v>Productos Elaborados</v>
      </c>
      <c r="G241" s="49">
        <f t="shared" ca="1" si="0"/>
        <v>0</v>
      </c>
      <c r="H241" s="49">
        <f t="shared" ca="1" si="1"/>
        <v>0</v>
      </c>
      <c r="I241" s="49">
        <f t="shared" ca="1" si="2"/>
        <v>0</v>
      </c>
      <c r="J241" s="156"/>
      <c r="K241" s="4"/>
      <c r="L241" s="4"/>
      <c r="M241" s="80"/>
      <c r="N241" s="80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9.5" customHeight="1">
      <c r="A242" s="7" t="str">
        <f ca="1">IFERROR(__xludf.DUMMYFUNCTION("""COMPUTED_VALUE"""),"ti-ing-7d22d0f9-ed7b-46a1-9022-a01e4533b909")</f>
        <v>ti-ing-7d22d0f9-ed7b-46a1-9022-a01e4533b909</v>
      </c>
      <c r="B242" s="7" t="str">
        <f ca="1">IFERROR(__xludf.DUMMYFUNCTION("""COMPUTED_VALUE"""),"Pan de hoja")</f>
        <v>Pan de hoja</v>
      </c>
      <c r="C242" s="48"/>
      <c r="D242" s="52">
        <f ca="1">IFERROR(__xludf.DUMMYFUNCTION("""COMPUTED_VALUE"""),3000)</f>
        <v>3000</v>
      </c>
      <c r="E242" s="7" t="str">
        <f ca="1">IFERROR(__xludf.DUMMYFUNCTION("""COMPUTED_VALUE"""),"KG")</f>
        <v>KG</v>
      </c>
      <c r="F242" s="7" t="str">
        <f ca="1">IFERROR(__xludf.DUMMYFUNCTION("""COMPUTED_VALUE"""),"Productos Elaborados")</f>
        <v>Productos Elaborados</v>
      </c>
      <c r="G242" s="49">
        <f t="shared" ca="1" si="0"/>
        <v>0</v>
      </c>
      <c r="H242" s="49">
        <f t="shared" ca="1" si="1"/>
        <v>0</v>
      </c>
      <c r="I242" s="49">
        <f t="shared" ca="1" si="2"/>
        <v>0</v>
      </c>
      <c r="J242" s="156"/>
      <c r="K242" s="4"/>
      <c r="L242" s="4"/>
      <c r="M242" s="80"/>
      <c r="N242" s="80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9.5" customHeight="1">
      <c r="A243" s="7" t="str">
        <f ca="1">IFERROR(__xludf.DUMMYFUNCTION("""COMPUTED_VALUE"""),"ti-ing-ef332e84-9535-4ffd-92b0-d4025fce8ce7")</f>
        <v>ti-ing-ef332e84-9535-4ffd-92b0-d4025fce8ce7</v>
      </c>
      <c r="B243" s="7" t="str">
        <f ca="1">IFERROR(__xludf.DUMMYFUNCTION("""COMPUTED_VALUE"""),"Pan de mesa")</f>
        <v>Pan de mesa</v>
      </c>
      <c r="C243" s="48"/>
      <c r="D243" s="52">
        <f ca="1">IFERROR(__xludf.DUMMYFUNCTION("""COMPUTED_VALUE"""),1500)</f>
        <v>1500</v>
      </c>
      <c r="E243" s="7" t="str">
        <f ca="1">IFERROR(__xludf.DUMMYFUNCTION("""COMPUTED_VALUE"""),"KG")</f>
        <v>KG</v>
      </c>
      <c r="F243" s="7" t="str">
        <f ca="1">IFERROR(__xludf.DUMMYFUNCTION("""COMPUTED_VALUE"""),"Productos Elaborados")</f>
        <v>Productos Elaborados</v>
      </c>
      <c r="G243" s="49">
        <f t="shared" ca="1" si="0"/>
        <v>0</v>
      </c>
      <c r="H243" s="49">
        <f t="shared" ca="1" si="1"/>
        <v>0</v>
      </c>
      <c r="I243" s="49">
        <f t="shared" ca="1" si="2"/>
        <v>0</v>
      </c>
      <c r="J243" s="156"/>
      <c r="K243" s="4"/>
      <c r="L243" s="4"/>
      <c r="M243" s="80"/>
      <c r="N243" s="80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9.5" customHeight="1">
      <c r="A244" s="7" t="str">
        <f ca="1">IFERROR(__xludf.DUMMYFUNCTION("""COMPUTED_VALUE"""),"ti-ing-e8da8dca-95a0-480b-a36a-ea7d2fe4dde5")</f>
        <v>ti-ing-e8da8dca-95a0-480b-a36a-ea7d2fe4dde5</v>
      </c>
      <c r="B244" s="7" t="str">
        <f ca="1">IFERROR(__xludf.DUMMYFUNCTION("""COMPUTED_VALUE"""),"Pan De Pascua Grande")</f>
        <v>Pan De Pascua Grande</v>
      </c>
      <c r="C244" s="48"/>
      <c r="D244" s="52">
        <f ca="1">IFERROR(__xludf.DUMMYFUNCTION("""COMPUTED_VALUE"""),1500)</f>
        <v>1500</v>
      </c>
      <c r="E244" s="7" t="str">
        <f ca="1">IFERROR(__xludf.DUMMYFUNCTION("""COMPUTED_VALUE"""),"UN")</f>
        <v>UN</v>
      </c>
      <c r="F244" s="7" t="str">
        <f ca="1">IFERROR(__xludf.DUMMYFUNCTION("""COMPUTED_VALUE"""),"Productos Elaborados")</f>
        <v>Productos Elaborados</v>
      </c>
      <c r="G244" s="49">
        <f t="shared" ca="1" si="0"/>
        <v>0</v>
      </c>
      <c r="H244" s="49">
        <f t="shared" ca="1" si="1"/>
        <v>0</v>
      </c>
      <c r="I244" s="49">
        <f t="shared" ca="1" si="2"/>
        <v>0</v>
      </c>
      <c r="J244" s="156"/>
      <c r="K244" s="4"/>
      <c r="L244" s="4"/>
      <c r="M244" s="80"/>
      <c r="N244" s="80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9.5" customHeight="1">
      <c r="A245" s="7" t="str">
        <f ca="1">IFERROR(__xludf.DUMMYFUNCTION("""COMPUTED_VALUE"""),"ti-ing-e2a3dac8-2f21-465b-95e9-1f6713450413")</f>
        <v>ti-ing-e2a3dac8-2f21-465b-95e9-1f6713450413</v>
      </c>
      <c r="B245" s="7" t="str">
        <f ca="1">IFERROR(__xludf.DUMMYFUNCTION("""COMPUTED_VALUE"""),"Pan pita")</f>
        <v>Pan pita</v>
      </c>
      <c r="C245" s="48"/>
      <c r="D245" s="52">
        <f ca="1">IFERROR(__xludf.DUMMYFUNCTION("""COMPUTED_VALUE"""),1500)</f>
        <v>1500</v>
      </c>
      <c r="E245" s="7" t="str">
        <f ca="1">IFERROR(__xludf.DUMMYFUNCTION("""COMPUTED_VALUE"""),"UN")</f>
        <v>UN</v>
      </c>
      <c r="F245" s="7" t="str">
        <f ca="1">IFERROR(__xludf.DUMMYFUNCTION("""COMPUTED_VALUE"""),"Productos Elaborados")</f>
        <v>Productos Elaborados</v>
      </c>
      <c r="G245" s="49">
        <f t="shared" ca="1" si="0"/>
        <v>0</v>
      </c>
      <c r="H245" s="49">
        <f t="shared" ca="1" si="1"/>
        <v>0</v>
      </c>
      <c r="I245" s="49">
        <f t="shared" ca="1" si="2"/>
        <v>0</v>
      </c>
      <c r="J245" s="156"/>
      <c r="K245" s="4"/>
      <c r="L245" s="4"/>
      <c r="M245" s="80"/>
      <c r="N245" s="80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9.5" customHeight="1">
      <c r="A246" s="7" t="str">
        <f ca="1">IFERROR(__xludf.DUMMYFUNCTION("""COMPUTED_VALUE"""),"ti-ing-b0ee2f17-6fc3-4df9-b346-7fc55396fcd9")</f>
        <v>ti-ing-b0ee2f17-6fc3-4df9-b346-7fc55396fcd9</v>
      </c>
      <c r="B246" s="7" t="str">
        <f ca="1">IFERROR(__xludf.DUMMYFUNCTION("""COMPUTED_VALUE"""),"Pan Pita integral")</f>
        <v>Pan Pita integral</v>
      </c>
      <c r="C246" s="48"/>
      <c r="D246" s="52">
        <f ca="1">IFERROR(__xludf.DUMMYFUNCTION("""COMPUTED_VALUE"""),1500)</f>
        <v>1500</v>
      </c>
      <c r="E246" s="7" t="str">
        <f ca="1">IFERROR(__xludf.DUMMYFUNCTION("""COMPUTED_VALUE"""),"UN")</f>
        <v>UN</v>
      </c>
      <c r="F246" s="7" t="str">
        <f ca="1">IFERROR(__xludf.DUMMYFUNCTION("""COMPUTED_VALUE"""),"Productos Elaborados")</f>
        <v>Productos Elaborados</v>
      </c>
      <c r="G246" s="49">
        <f t="shared" ca="1" si="0"/>
        <v>0</v>
      </c>
      <c r="H246" s="49">
        <f t="shared" ca="1" si="1"/>
        <v>0</v>
      </c>
      <c r="I246" s="49">
        <f t="shared" ca="1" si="2"/>
        <v>0</v>
      </c>
      <c r="J246" s="156"/>
      <c r="K246" s="4"/>
      <c r="L246" s="4"/>
      <c r="M246" s="80"/>
      <c r="N246" s="80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9.5" customHeight="1">
      <c r="A247" s="7" t="str">
        <f ca="1">IFERROR(__xludf.DUMMYFUNCTION("""COMPUTED_VALUE"""),"ti-ing-a545bf35-10f3-4c22-b63b-a65befdc36cf")</f>
        <v>ti-ing-a545bf35-10f3-4c22-b63b-a65befdc36cf</v>
      </c>
      <c r="B247" s="7" t="str">
        <f ca="1">IFERROR(__xludf.DUMMYFUNCTION("""COMPUTED_VALUE"""),"Pan yema")</f>
        <v>Pan yema</v>
      </c>
      <c r="C247" s="48"/>
      <c r="D247" s="52">
        <f ca="1">IFERROR(__xludf.DUMMYFUNCTION("""COMPUTED_VALUE"""),1500)</f>
        <v>1500</v>
      </c>
      <c r="E247" s="7" t="str">
        <f ca="1">IFERROR(__xludf.DUMMYFUNCTION("""COMPUTED_VALUE"""),"Kg")</f>
        <v>Kg</v>
      </c>
      <c r="F247" s="7" t="str">
        <f ca="1">IFERROR(__xludf.DUMMYFUNCTION("""COMPUTED_VALUE"""),"Productos Elaborados")</f>
        <v>Productos Elaborados</v>
      </c>
      <c r="G247" s="49">
        <f t="shared" ca="1" si="0"/>
        <v>0</v>
      </c>
      <c r="H247" s="49">
        <f t="shared" ca="1" si="1"/>
        <v>0</v>
      </c>
      <c r="I247" s="49">
        <f t="shared" ca="1" si="2"/>
        <v>0</v>
      </c>
      <c r="J247" s="156"/>
      <c r="K247" s="4"/>
      <c r="L247" s="4"/>
      <c r="M247" s="80"/>
      <c r="N247" s="80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9.5" customHeight="1">
      <c r="A248" s="7" t="str">
        <f ca="1">IFERROR(__xludf.DUMMYFUNCTION("""COMPUTED_VALUE"""),"ti-ing-21d3c63d-ce8c-47ef-83ca-893b2689b2f4")</f>
        <v>ti-ing-21d3c63d-ce8c-47ef-83ca-893b2689b2f4</v>
      </c>
      <c r="B248" s="7" t="str">
        <f ca="1">IFERROR(__xludf.DUMMYFUNCTION("""COMPUTED_VALUE"""),"PASTEL DE CHOCLO")</f>
        <v>PASTEL DE CHOCLO</v>
      </c>
      <c r="C248" s="48"/>
      <c r="D248" s="52">
        <f ca="1">IFERROR(__xludf.DUMMYFUNCTION("""COMPUTED_VALUE"""),2500)</f>
        <v>2500</v>
      </c>
      <c r="E248" s="7" t="str">
        <f ca="1">IFERROR(__xludf.DUMMYFUNCTION("""COMPUTED_VALUE"""),"UN")</f>
        <v>UN</v>
      </c>
      <c r="F248" s="7" t="str">
        <f ca="1">IFERROR(__xludf.DUMMYFUNCTION("""COMPUTED_VALUE"""),"Productos Elaborados")</f>
        <v>Productos Elaborados</v>
      </c>
      <c r="G248" s="49">
        <f t="shared" ca="1" si="0"/>
        <v>0</v>
      </c>
      <c r="H248" s="49">
        <f t="shared" ca="1" si="1"/>
        <v>0</v>
      </c>
      <c r="I248" s="49">
        <f t="shared" ca="1" si="2"/>
        <v>0</v>
      </c>
      <c r="J248" s="156"/>
      <c r="K248" s="4"/>
      <c r="L248" s="4"/>
      <c r="M248" s="80"/>
      <c r="N248" s="80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9.5" customHeight="1">
      <c r="A249" s="7" t="str">
        <f ca="1">IFERROR(__xludf.DUMMYFUNCTION("""COMPUTED_VALUE"""),"ti-ing-60e7a5f9-a830-45ba-9562-60f62a8f26ac")</f>
        <v>ti-ing-60e7a5f9-a830-45ba-9562-60f62a8f26ac</v>
      </c>
      <c r="B249" s="7" t="str">
        <f ca="1">IFERROR(__xludf.DUMMYFUNCTION("""COMPUTED_VALUE"""),"PASTEL DE PAPA")</f>
        <v>PASTEL DE PAPA</v>
      </c>
      <c r="C249" s="48"/>
      <c r="D249" s="52">
        <f ca="1">IFERROR(__xludf.DUMMYFUNCTION("""COMPUTED_VALUE"""),2500)</f>
        <v>2500</v>
      </c>
      <c r="E249" s="7" t="str">
        <f ca="1">IFERROR(__xludf.DUMMYFUNCTION("""COMPUTED_VALUE"""),"UN")</f>
        <v>UN</v>
      </c>
      <c r="F249" s="7" t="str">
        <f ca="1">IFERROR(__xludf.DUMMYFUNCTION("""COMPUTED_VALUE"""),"Productos Elaborados")</f>
        <v>Productos Elaborados</v>
      </c>
      <c r="G249" s="49">
        <f t="shared" ca="1" si="0"/>
        <v>0</v>
      </c>
      <c r="H249" s="49">
        <f t="shared" ca="1" si="1"/>
        <v>0</v>
      </c>
      <c r="I249" s="49">
        <f t="shared" ca="1" si="2"/>
        <v>0</v>
      </c>
      <c r="J249" s="156"/>
      <c r="K249" s="4"/>
      <c r="L249" s="4"/>
      <c r="M249" s="80"/>
      <c r="N249" s="80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9.5" customHeight="1">
      <c r="A250" s="7" t="str">
        <f ca="1">IFERROR(__xludf.DUMMYFUNCTION("""COMPUTED_VALUE"""),"ti-ing-0382d2ed-3685-4f55-9162-c28c17ca3cbc")</f>
        <v>ti-ing-0382d2ed-3685-4f55-9162-c28c17ca3cbc</v>
      </c>
      <c r="B250" s="7" t="str">
        <f ca="1">IFERROR(__xludf.DUMMYFUNCTION("""COMPUTED_VALUE"""),"Pie de limon")</f>
        <v>Pie de limon</v>
      </c>
      <c r="C250" s="48"/>
      <c r="D250" s="52">
        <f ca="1">IFERROR(__xludf.DUMMYFUNCTION("""COMPUTED_VALUE"""),688)</f>
        <v>688</v>
      </c>
      <c r="E250" s="7" t="str">
        <f ca="1">IFERROR(__xludf.DUMMYFUNCTION("""COMPUTED_VALUE"""),"UN")</f>
        <v>UN</v>
      </c>
      <c r="F250" s="7" t="str">
        <f ca="1">IFERROR(__xludf.DUMMYFUNCTION("""COMPUTED_VALUE"""),"Productos Elaborados")</f>
        <v>Productos Elaborados</v>
      </c>
      <c r="G250" s="49">
        <f t="shared" ca="1" si="0"/>
        <v>0</v>
      </c>
      <c r="H250" s="49">
        <f t="shared" ca="1" si="1"/>
        <v>0</v>
      </c>
      <c r="I250" s="49">
        <f t="shared" ca="1" si="2"/>
        <v>0</v>
      </c>
      <c r="J250" s="156"/>
      <c r="K250" s="4"/>
      <c r="L250" s="4"/>
      <c r="M250" s="80"/>
      <c r="N250" s="80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9.5" customHeight="1">
      <c r="A251" s="7" t="str">
        <f ca="1">IFERROR(__xludf.DUMMYFUNCTION("""COMPUTED_VALUE"""),"ti-ing-7e201824-2d59-4cd5-a01d-5f74bb36deab")</f>
        <v>ti-ing-7e201824-2d59-4cd5-a01d-5f74bb36deab</v>
      </c>
      <c r="B251" s="7" t="str">
        <f ca="1">IFERROR(__xludf.DUMMYFUNCTION("""COMPUTED_VALUE"""),"Pie de maracuya")</f>
        <v>Pie de maracuya</v>
      </c>
      <c r="C251" s="48"/>
      <c r="D251" s="52">
        <f ca="1">IFERROR(__xludf.DUMMYFUNCTION("""COMPUTED_VALUE"""),700)</f>
        <v>700</v>
      </c>
      <c r="E251" s="7" t="str">
        <f ca="1">IFERROR(__xludf.DUMMYFUNCTION("""COMPUTED_VALUE"""),"UN")</f>
        <v>UN</v>
      </c>
      <c r="F251" s="7" t="str">
        <f ca="1">IFERROR(__xludf.DUMMYFUNCTION("""COMPUTED_VALUE"""),"Productos Elaborados")</f>
        <v>Productos Elaborados</v>
      </c>
      <c r="G251" s="49">
        <f t="shared" ca="1" si="0"/>
        <v>0</v>
      </c>
      <c r="H251" s="49">
        <f t="shared" ca="1" si="1"/>
        <v>0</v>
      </c>
      <c r="I251" s="49">
        <f t="shared" ca="1" si="2"/>
        <v>0</v>
      </c>
      <c r="J251" s="156"/>
      <c r="K251" s="4"/>
      <c r="L251" s="4"/>
      <c r="M251" s="80"/>
      <c r="N251" s="80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9.5" customHeight="1">
      <c r="A252" s="7" t="str">
        <f ca="1">IFERROR(__xludf.DUMMYFUNCTION("""COMPUTED_VALUE"""),"ti-ing-c03f22a1-22b0-42ca-b635-941a645c0cee")</f>
        <v>ti-ing-c03f22a1-22b0-42ca-b635-941a645c0cee</v>
      </c>
      <c r="B252" s="7" t="str">
        <f ca="1">IFERROR(__xludf.DUMMYFUNCTION("""COMPUTED_VALUE"""),"Profiterol Cheescake")</f>
        <v>Profiterol Cheescake</v>
      </c>
      <c r="C252" s="48"/>
      <c r="D252" s="52">
        <f ca="1">IFERROR(__xludf.DUMMYFUNCTION("""COMPUTED_VALUE"""),607)</f>
        <v>607</v>
      </c>
      <c r="E252" s="7" t="str">
        <f ca="1">IFERROR(__xludf.DUMMYFUNCTION("""COMPUTED_VALUE"""),"UN")</f>
        <v>UN</v>
      </c>
      <c r="F252" s="7" t="str">
        <f ca="1">IFERROR(__xludf.DUMMYFUNCTION("""COMPUTED_VALUE"""),"Productos Elaborados")</f>
        <v>Productos Elaborados</v>
      </c>
      <c r="G252" s="49">
        <f t="shared" ca="1" si="0"/>
        <v>0</v>
      </c>
      <c r="H252" s="49">
        <f t="shared" ca="1" si="1"/>
        <v>0</v>
      </c>
      <c r="I252" s="49">
        <f t="shared" ca="1" si="2"/>
        <v>0</v>
      </c>
      <c r="J252" s="156"/>
      <c r="K252" s="4"/>
      <c r="L252" s="4"/>
      <c r="M252" s="80"/>
      <c r="N252" s="80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9.5" customHeight="1">
      <c r="A253" s="7" t="str">
        <f ca="1">IFERROR(__xludf.DUMMYFUNCTION("""COMPUTED_VALUE"""),"ti-ing-8a066170-e082-475e-9015-b6f56c04c705")</f>
        <v>ti-ing-8a066170-e082-475e-9015-b6f56c04c705</v>
      </c>
      <c r="B253" s="7" t="str">
        <f ca="1">IFERROR(__xludf.DUMMYFUNCTION("""COMPUTED_VALUE"""),"Profiterol clasico")</f>
        <v>Profiterol clasico</v>
      </c>
      <c r="C253" s="48"/>
      <c r="D253" s="52">
        <f ca="1">IFERROR(__xludf.DUMMYFUNCTION("""COMPUTED_VALUE"""),300)</f>
        <v>300</v>
      </c>
      <c r="E253" s="7" t="str">
        <f ca="1">IFERROR(__xludf.DUMMYFUNCTION("""COMPUTED_VALUE"""),"UN")</f>
        <v>UN</v>
      </c>
      <c r="F253" s="7" t="str">
        <f ca="1">IFERROR(__xludf.DUMMYFUNCTION("""COMPUTED_VALUE"""),"Productos Elaborados")</f>
        <v>Productos Elaborados</v>
      </c>
      <c r="G253" s="49">
        <f t="shared" ca="1" si="0"/>
        <v>0</v>
      </c>
      <c r="H253" s="49">
        <f t="shared" ca="1" si="1"/>
        <v>0</v>
      </c>
      <c r="I253" s="49">
        <f t="shared" ca="1" si="2"/>
        <v>0</v>
      </c>
      <c r="J253" s="156"/>
      <c r="K253" s="4"/>
      <c r="L253" s="4"/>
      <c r="M253" s="80"/>
      <c r="N253" s="80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9.5" customHeight="1">
      <c r="A254" s="7" t="str">
        <f ca="1">IFERROR(__xludf.DUMMYFUNCTION("""COMPUTED_VALUE"""),"ti-ing-c34778df-7bbb-4aad-955e-55aee926eee7")</f>
        <v>ti-ing-c34778df-7bbb-4aad-955e-55aee926eee7</v>
      </c>
      <c r="B254" s="7" t="str">
        <f ca="1">IFERROR(__xludf.DUMMYFUNCTION("""COMPUTED_VALUE"""),"Profiterol Mango")</f>
        <v>Profiterol Mango</v>
      </c>
      <c r="C254" s="48"/>
      <c r="D254" s="52">
        <f ca="1">IFERROR(__xludf.DUMMYFUNCTION("""COMPUTED_VALUE"""),387)</f>
        <v>387</v>
      </c>
      <c r="E254" s="7" t="str">
        <f ca="1">IFERROR(__xludf.DUMMYFUNCTION("""COMPUTED_VALUE"""),"UN")</f>
        <v>UN</v>
      </c>
      <c r="F254" s="7" t="str">
        <f ca="1">IFERROR(__xludf.DUMMYFUNCTION("""COMPUTED_VALUE"""),"Productos Elaborados")</f>
        <v>Productos Elaborados</v>
      </c>
      <c r="G254" s="49">
        <f t="shared" ca="1" si="0"/>
        <v>0</v>
      </c>
      <c r="H254" s="49">
        <f t="shared" ca="1" si="1"/>
        <v>0</v>
      </c>
      <c r="I254" s="49">
        <f t="shared" ca="1" si="2"/>
        <v>0</v>
      </c>
      <c r="J254" s="156"/>
      <c r="K254" s="4"/>
      <c r="L254" s="4"/>
      <c r="M254" s="80"/>
      <c r="N254" s="80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9.5" customHeight="1">
      <c r="A255" s="7" t="str">
        <f ca="1">IFERROR(__xludf.DUMMYFUNCTION("""COMPUTED_VALUE"""),"ti-ing-f9453031-afba-4047-ada6-c4bc5feb1117")</f>
        <v>ti-ing-f9453031-afba-4047-ada6-c4bc5feb1117</v>
      </c>
      <c r="B255" s="7" t="str">
        <f ca="1">IFERROR(__xludf.DUMMYFUNCTION("""COMPUTED_VALUE"""),"Queque chocolate")</f>
        <v>Queque chocolate</v>
      </c>
      <c r="C255" s="48"/>
      <c r="D255" s="52">
        <f ca="1">IFERROR(__xludf.DUMMYFUNCTION("""COMPUTED_VALUE"""),250)</f>
        <v>250</v>
      </c>
      <c r="E255" s="7" t="str">
        <f ca="1">IFERROR(__xludf.DUMMYFUNCTION("""COMPUTED_VALUE"""),"UN")</f>
        <v>UN</v>
      </c>
      <c r="F255" s="7" t="str">
        <f ca="1">IFERROR(__xludf.DUMMYFUNCTION("""COMPUTED_VALUE"""),"Productos Elaborados")</f>
        <v>Productos Elaborados</v>
      </c>
      <c r="G255" s="49">
        <f t="shared" ca="1" si="0"/>
        <v>0</v>
      </c>
      <c r="H255" s="49">
        <f t="shared" ca="1" si="1"/>
        <v>0</v>
      </c>
      <c r="I255" s="49">
        <f t="shared" ca="1" si="2"/>
        <v>0</v>
      </c>
      <c r="J255" s="156"/>
      <c r="K255" s="4"/>
      <c r="L255" s="4"/>
      <c r="M255" s="80"/>
      <c r="N255" s="80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9.5" customHeight="1">
      <c r="A256" s="7" t="str">
        <f ca="1">IFERROR(__xludf.DUMMYFUNCTION("""COMPUTED_VALUE"""),"ti-ing-76d234c9-12b5-42ea-a919-f8b837e54786")</f>
        <v>ti-ing-76d234c9-12b5-42ea-a919-f8b837e54786</v>
      </c>
      <c r="B256" s="7" t="str">
        <f ca="1">IFERROR(__xludf.DUMMYFUNCTION("""COMPUTED_VALUE"""),"Queque individual")</f>
        <v>Queque individual</v>
      </c>
      <c r="C256" s="48"/>
      <c r="D256" s="52">
        <f ca="1">IFERROR(__xludf.DUMMYFUNCTION("""COMPUTED_VALUE"""),250)</f>
        <v>250</v>
      </c>
      <c r="E256" s="7" t="str">
        <f ca="1">IFERROR(__xludf.DUMMYFUNCTION("""COMPUTED_VALUE"""),"UN")</f>
        <v>UN</v>
      </c>
      <c r="F256" s="7" t="str">
        <f ca="1">IFERROR(__xludf.DUMMYFUNCTION("""COMPUTED_VALUE"""),"Productos Elaborados")</f>
        <v>Productos Elaborados</v>
      </c>
      <c r="G256" s="49">
        <f t="shared" ca="1" si="0"/>
        <v>0</v>
      </c>
      <c r="H256" s="49">
        <f t="shared" ca="1" si="1"/>
        <v>0</v>
      </c>
      <c r="I256" s="49">
        <f t="shared" ca="1" si="2"/>
        <v>0</v>
      </c>
      <c r="J256" s="156"/>
      <c r="K256" s="4"/>
      <c r="L256" s="4"/>
      <c r="M256" s="80"/>
      <c r="N256" s="80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9.5" customHeight="1">
      <c r="A257" s="7" t="str">
        <f ca="1">IFERROR(__xludf.DUMMYFUNCTION("""COMPUTED_VALUE"""),"ti-ing-017262ab-0031-4581-8490-bfb2412c6eec")</f>
        <v>ti-ing-017262ab-0031-4581-8490-bfb2412c6eec</v>
      </c>
      <c r="B257" s="7" t="str">
        <f ca="1">IFERROR(__xludf.DUMMYFUNCTION("""COMPUTED_VALUE"""),"Queque marmoleado")</f>
        <v>Queque marmoleado</v>
      </c>
      <c r="C257" s="48"/>
      <c r="D257" s="52">
        <f ca="1">IFERROR(__xludf.DUMMYFUNCTION("""COMPUTED_VALUE"""),250)</f>
        <v>250</v>
      </c>
      <c r="E257" s="7" t="str">
        <f ca="1">IFERROR(__xludf.DUMMYFUNCTION("""COMPUTED_VALUE"""),"UN")</f>
        <v>UN</v>
      </c>
      <c r="F257" s="7" t="str">
        <f ca="1">IFERROR(__xludf.DUMMYFUNCTION("""COMPUTED_VALUE"""),"Productos Elaborados")</f>
        <v>Productos Elaborados</v>
      </c>
      <c r="G257" s="49">
        <f t="shared" ca="1" si="0"/>
        <v>0</v>
      </c>
      <c r="H257" s="49">
        <f t="shared" ca="1" si="1"/>
        <v>0</v>
      </c>
      <c r="I257" s="49">
        <f t="shared" ca="1" si="2"/>
        <v>0</v>
      </c>
      <c r="J257" s="156"/>
      <c r="K257" s="4"/>
      <c r="L257" s="4"/>
      <c r="M257" s="80"/>
      <c r="N257" s="80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9.5" customHeight="1">
      <c r="A258" s="7" t="str">
        <f ca="1">IFERROR(__xludf.DUMMYFUNCTION("""COMPUTED_VALUE"""),"ti-ing-4132b1f2-afea-40c2-bb1b-aa02d489bcc3")</f>
        <v>ti-ing-4132b1f2-afea-40c2-bb1b-aa02d489bcc3</v>
      </c>
      <c r="B258" s="7" t="str">
        <f ca="1">IFERROR(__xludf.DUMMYFUNCTION("""COMPUTED_VALUE"""),"Queque vainilla")</f>
        <v>Queque vainilla</v>
      </c>
      <c r="C258" s="48"/>
      <c r="D258" s="52">
        <f ca="1">IFERROR(__xludf.DUMMYFUNCTION("""COMPUTED_VALUE"""),250)</f>
        <v>250</v>
      </c>
      <c r="E258" s="7" t="str">
        <f ca="1">IFERROR(__xludf.DUMMYFUNCTION("""COMPUTED_VALUE"""),"UN")</f>
        <v>UN</v>
      </c>
      <c r="F258" s="7" t="str">
        <f ca="1">IFERROR(__xludf.DUMMYFUNCTION("""COMPUTED_VALUE"""),"Productos Elaborados")</f>
        <v>Productos Elaborados</v>
      </c>
      <c r="G258" s="49">
        <f t="shared" ref="G258:G311" ca="1" si="3">(C258)*D258</f>
        <v>0</v>
      </c>
      <c r="H258" s="49">
        <f t="shared" ref="H258:H311" ca="1" si="4">G258*19%</f>
        <v>0</v>
      </c>
      <c r="I258" s="49">
        <f t="shared" ref="I258:I311" ca="1" si="5">G258+H258</f>
        <v>0</v>
      </c>
      <c r="J258" s="156"/>
      <c r="K258" s="4"/>
      <c r="L258" s="4"/>
      <c r="M258" s="80"/>
      <c r="N258" s="80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9.5" customHeight="1">
      <c r="A259" s="7" t="str">
        <f ca="1">IFERROR(__xludf.DUMMYFUNCTION("""COMPUTED_VALUE"""),"ti-ing-5d1269a6-072d-4d8d-9365-c6bdd70282b6")</f>
        <v>ti-ing-5d1269a6-072d-4d8d-9365-c6bdd70282b6</v>
      </c>
      <c r="B259" s="7" t="str">
        <f ca="1">IFERROR(__xludf.DUMMYFUNCTION("""COMPUTED_VALUE"""),"QUICHE")</f>
        <v>QUICHE</v>
      </c>
      <c r="C259" s="48"/>
      <c r="D259" s="52">
        <f ca="1">IFERROR(__xludf.DUMMYFUNCTION("""COMPUTED_VALUE"""),1500)</f>
        <v>1500</v>
      </c>
      <c r="E259" s="7" t="str">
        <f ca="1">IFERROR(__xludf.DUMMYFUNCTION("""COMPUTED_VALUE"""),"UN")</f>
        <v>UN</v>
      </c>
      <c r="F259" s="7" t="str">
        <f ca="1">IFERROR(__xludf.DUMMYFUNCTION("""COMPUTED_VALUE"""),"Productos Elaborados")</f>
        <v>Productos Elaborados</v>
      </c>
      <c r="G259" s="49">
        <f t="shared" ca="1" si="3"/>
        <v>0</v>
      </c>
      <c r="H259" s="49">
        <f t="shared" ca="1" si="4"/>
        <v>0</v>
      </c>
      <c r="I259" s="49">
        <f t="shared" ca="1" si="5"/>
        <v>0</v>
      </c>
      <c r="J259" s="156"/>
      <c r="K259" s="4"/>
      <c r="L259" s="4"/>
      <c r="M259" s="80"/>
      <c r="N259" s="80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9.5" customHeight="1">
      <c r="A260" s="7" t="str">
        <f ca="1">IFERROR(__xludf.DUMMYFUNCTION("""COMPUTED_VALUE"""),"ti-ing-7d193ddc-595d-4d13-9ca9-c18bb3ab1d27")</f>
        <v>ti-ing-7d193ddc-595d-4d13-9ca9-c18bb3ab1d27</v>
      </c>
      <c r="B260" s="7" t="str">
        <f ca="1">IFERROR(__xludf.DUMMYFUNCTION("""COMPUTED_VALUE"""),"Quinua griega")</f>
        <v>Quinua griega</v>
      </c>
      <c r="C260" s="48"/>
      <c r="D260" s="52">
        <f ca="1">IFERROR(__xludf.DUMMYFUNCTION("""COMPUTED_VALUE"""),500)</f>
        <v>500</v>
      </c>
      <c r="E260" s="7" t="str">
        <f ca="1">IFERROR(__xludf.DUMMYFUNCTION("""COMPUTED_VALUE"""),"UN")</f>
        <v>UN</v>
      </c>
      <c r="F260" s="7" t="str">
        <f ca="1">IFERROR(__xludf.DUMMYFUNCTION("""COMPUTED_VALUE"""),"Productos Elaborados")</f>
        <v>Productos Elaborados</v>
      </c>
      <c r="G260" s="49">
        <f t="shared" ca="1" si="3"/>
        <v>0</v>
      </c>
      <c r="H260" s="49">
        <f t="shared" ca="1" si="4"/>
        <v>0</v>
      </c>
      <c r="I260" s="49">
        <f t="shared" ca="1" si="5"/>
        <v>0</v>
      </c>
      <c r="J260" s="156"/>
      <c r="K260" s="4"/>
      <c r="L260" s="4"/>
      <c r="M260" s="80"/>
      <c r="N260" s="80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9.5" customHeight="1">
      <c r="A261" s="7" t="str">
        <f ca="1">IFERROR(__xludf.DUMMYFUNCTION("""COMPUTED_VALUE"""),"ti-ing-cb6f7c55-dc86-4ae0-b02b-b8e68c0ed58c")</f>
        <v>ti-ing-cb6f7c55-dc86-4ae0-b02b-b8e68c0ed58c</v>
      </c>
      <c r="B261" s="7" t="str">
        <f ca="1">IFERROR(__xludf.DUMMYFUNCTION("""COMPUTED_VALUE"""),"RELLENO NAPOLITANA")</f>
        <v>RELLENO NAPOLITANA</v>
      </c>
      <c r="C261" s="48"/>
      <c r="D261" s="52">
        <f ca="1">IFERROR(__xludf.DUMMYFUNCTION("""COMPUTED_VALUE"""),3500)</f>
        <v>3500</v>
      </c>
      <c r="E261" s="7" t="str">
        <f ca="1">IFERROR(__xludf.DUMMYFUNCTION("""COMPUTED_VALUE"""),"KG")</f>
        <v>KG</v>
      </c>
      <c r="F261" s="7" t="str">
        <f ca="1">IFERROR(__xludf.DUMMYFUNCTION("""COMPUTED_VALUE"""),"Productos Elaborados")</f>
        <v>Productos Elaborados</v>
      </c>
      <c r="G261" s="49">
        <f t="shared" ca="1" si="3"/>
        <v>0</v>
      </c>
      <c r="H261" s="49">
        <f t="shared" ca="1" si="4"/>
        <v>0</v>
      </c>
      <c r="I261" s="49">
        <f t="shared" ca="1" si="5"/>
        <v>0</v>
      </c>
      <c r="J261" s="156"/>
      <c r="K261" s="4"/>
      <c r="L261" s="4"/>
      <c r="M261" s="80"/>
      <c r="N261" s="80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9.5" customHeight="1">
      <c r="A262" s="7" t="str">
        <f ca="1">IFERROR(__xludf.DUMMYFUNCTION("""COMPUTED_VALUE"""),"ti-ing-2b2e3e5c-76b8-422e-ba93-1db4fb33b10f")</f>
        <v>ti-ing-2b2e3e5c-76b8-422e-ba93-1db4fb33b10f</v>
      </c>
      <c r="B262" s="7" t="str">
        <f ca="1">IFERROR(__xludf.DUMMYFUNCTION("""COMPUTED_VALUE"""),"Rollito De Pizza-Jamon")</f>
        <v>Rollito De Pizza-Jamon</v>
      </c>
      <c r="C262" s="48"/>
      <c r="D262" s="52">
        <f ca="1">IFERROR(__xludf.DUMMYFUNCTION("""COMPUTED_VALUE"""),500)</f>
        <v>500</v>
      </c>
      <c r="E262" s="7" t="str">
        <f ca="1">IFERROR(__xludf.DUMMYFUNCTION("""COMPUTED_VALUE"""),"UN")</f>
        <v>UN</v>
      </c>
      <c r="F262" s="7" t="str">
        <f ca="1">IFERROR(__xludf.DUMMYFUNCTION("""COMPUTED_VALUE"""),"Productos Elaborados")</f>
        <v>Productos Elaborados</v>
      </c>
      <c r="G262" s="49">
        <f t="shared" ca="1" si="3"/>
        <v>0</v>
      </c>
      <c r="H262" s="49">
        <f t="shared" ca="1" si="4"/>
        <v>0</v>
      </c>
      <c r="I262" s="49">
        <f t="shared" ca="1" si="5"/>
        <v>0</v>
      </c>
      <c r="J262" s="156"/>
      <c r="K262" s="4"/>
      <c r="L262" s="4"/>
      <c r="M262" s="80"/>
      <c r="N262" s="80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9.5" customHeight="1">
      <c r="A263" s="7" t="str">
        <f ca="1">IFERROR(__xludf.DUMMYFUNCTION("""COMPUTED_VALUE"""),"ti-ing-c4985743-55e6-48bd-b020-96032230e580")</f>
        <v>ti-ing-c4985743-55e6-48bd-b020-96032230e580</v>
      </c>
      <c r="B263" s="7" t="str">
        <f ca="1">IFERROR(__xludf.DUMMYFUNCTION("""COMPUTED_VALUE"""),"ROSQUITAS")</f>
        <v>ROSQUITAS</v>
      </c>
      <c r="C263" s="48"/>
      <c r="D263" s="52">
        <f ca="1">IFERROR(__xludf.DUMMYFUNCTION("""COMPUTED_VALUE"""),250)</f>
        <v>250</v>
      </c>
      <c r="E263" s="7" t="str">
        <f ca="1">IFERROR(__xludf.DUMMYFUNCTION("""COMPUTED_VALUE"""),"UN")</f>
        <v>UN</v>
      </c>
      <c r="F263" s="7" t="str">
        <f ca="1">IFERROR(__xludf.DUMMYFUNCTION("""COMPUTED_VALUE"""),"Productos Elaborados")</f>
        <v>Productos Elaborados</v>
      </c>
      <c r="G263" s="49">
        <f t="shared" ca="1" si="3"/>
        <v>0</v>
      </c>
      <c r="H263" s="49">
        <f t="shared" ca="1" si="4"/>
        <v>0</v>
      </c>
      <c r="I263" s="49">
        <f t="shared" ca="1" si="5"/>
        <v>0</v>
      </c>
      <c r="J263" s="156"/>
      <c r="K263" s="4"/>
      <c r="L263" s="4"/>
      <c r="M263" s="80"/>
      <c r="N263" s="80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9.5" customHeight="1">
      <c r="A264" s="7" t="str">
        <f ca="1">IFERROR(__xludf.DUMMYFUNCTION("""COMPUTED_VALUE"""),"ti-ing-6ec17360-95b9-4e7c-a4f8-95a7d5b06f22")</f>
        <v>ti-ing-6ec17360-95b9-4e7c-a4f8-95a7d5b06f22</v>
      </c>
      <c r="B264" s="7" t="str">
        <f ca="1">IFERROR(__xludf.DUMMYFUNCTION("""COMPUTED_VALUE"""),"Sandwich Del Dia")</f>
        <v>Sandwich Del Dia</v>
      </c>
      <c r="C264" s="48"/>
      <c r="D264" s="52">
        <f ca="1">IFERROR(__xludf.DUMMYFUNCTION("""COMPUTED_VALUE"""),750)</f>
        <v>750</v>
      </c>
      <c r="E264" s="7" t="str">
        <f ca="1">IFERROR(__xludf.DUMMYFUNCTION("""COMPUTED_VALUE"""),"UN")</f>
        <v>UN</v>
      </c>
      <c r="F264" s="7" t="str">
        <f ca="1">IFERROR(__xludf.DUMMYFUNCTION("""COMPUTED_VALUE"""),"Productos Elaborados")</f>
        <v>Productos Elaborados</v>
      </c>
      <c r="G264" s="49">
        <f t="shared" ca="1" si="3"/>
        <v>0</v>
      </c>
      <c r="H264" s="49">
        <f t="shared" ca="1" si="4"/>
        <v>0</v>
      </c>
      <c r="I264" s="49">
        <f t="shared" ca="1" si="5"/>
        <v>0</v>
      </c>
      <c r="J264" s="156"/>
      <c r="K264" s="4"/>
      <c r="L264" s="4"/>
      <c r="M264" s="80"/>
      <c r="N264" s="80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9.5" customHeight="1">
      <c r="A265" s="7" t="str">
        <f ca="1">IFERROR(__xludf.DUMMYFUNCTION("""COMPUTED_VALUE"""),"ti-ing-c2904e19-f6c7-4eeb-920e-b1356b58576d")</f>
        <v>ti-ing-c2904e19-f6c7-4eeb-920e-b1356b58576d</v>
      </c>
      <c r="B265" s="7" t="str">
        <f ca="1">IFERROR(__xludf.DUMMYFUNCTION("""COMPUTED_VALUE"""),"Torta Carrot cake")</f>
        <v>Torta Carrot cake</v>
      </c>
      <c r="C265" s="48"/>
      <c r="D265" s="52">
        <f ca="1">IFERROR(__xludf.DUMMYFUNCTION("""COMPUTED_VALUE"""),702)</f>
        <v>702</v>
      </c>
      <c r="E265" s="7" t="str">
        <f ca="1">IFERROR(__xludf.DUMMYFUNCTION("""COMPUTED_VALUE"""),"UN")</f>
        <v>UN</v>
      </c>
      <c r="F265" s="7" t="str">
        <f ca="1">IFERROR(__xludf.DUMMYFUNCTION("""COMPUTED_VALUE"""),"Productos Elaborados")</f>
        <v>Productos Elaborados</v>
      </c>
      <c r="G265" s="49">
        <f t="shared" ca="1" si="3"/>
        <v>0</v>
      </c>
      <c r="H265" s="49">
        <f t="shared" ca="1" si="4"/>
        <v>0</v>
      </c>
      <c r="I265" s="49">
        <f t="shared" ca="1" si="5"/>
        <v>0</v>
      </c>
      <c r="J265" s="156"/>
      <c r="K265" s="4"/>
      <c r="L265" s="4"/>
      <c r="M265" s="80"/>
      <c r="N265" s="80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9.5" customHeight="1">
      <c r="A266" s="7" t="str">
        <f ca="1">IFERROR(__xludf.DUMMYFUNCTION("""COMPUTED_VALUE"""),"ti-ing-e1fa937d-21d6-4749-b512-b8d5641ac453")</f>
        <v>ti-ing-e1fa937d-21d6-4749-b512-b8d5641ac453</v>
      </c>
      <c r="B266" s="7" t="str">
        <f ca="1">IFERROR(__xludf.DUMMYFUNCTION("""COMPUTED_VALUE"""),"Torta de chocolate")</f>
        <v>Torta de chocolate</v>
      </c>
      <c r="C266" s="48"/>
      <c r="D266" s="52">
        <f ca="1">IFERROR(__xludf.DUMMYFUNCTION("""COMPUTED_VALUE"""),578)</f>
        <v>578</v>
      </c>
      <c r="E266" s="7" t="str">
        <f ca="1">IFERROR(__xludf.DUMMYFUNCTION("""COMPUTED_VALUE"""),"UN")</f>
        <v>UN</v>
      </c>
      <c r="F266" s="7" t="str">
        <f ca="1">IFERROR(__xludf.DUMMYFUNCTION("""COMPUTED_VALUE"""),"Productos Elaborados")</f>
        <v>Productos Elaborados</v>
      </c>
      <c r="G266" s="49">
        <f t="shared" ca="1" si="3"/>
        <v>0</v>
      </c>
      <c r="H266" s="49">
        <f t="shared" ca="1" si="4"/>
        <v>0</v>
      </c>
      <c r="I266" s="49">
        <f t="shared" ca="1" si="5"/>
        <v>0</v>
      </c>
      <c r="J266" s="156"/>
      <c r="K266" s="4"/>
      <c r="L266" s="4"/>
      <c r="M266" s="80"/>
      <c r="N266" s="80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9.5" customHeight="1">
      <c r="A267" s="7" t="str">
        <f ca="1">IFERROR(__xludf.DUMMYFUNCTION("""COMPUTED_VALUE"""),"ti-ing-2a0c7b7a-110d-4012-8516-5be2ca1f5438")</f>
        <v>ti-ing-2a0c7b7a-110d-4012-8516-5be2ca1f5438</v>
      </c>
      <c r="B267" s="7" t="str">
        <f ca="1">IFERROR(__xludf.DUMMYFUNCTION("""COMPUTED_VALUE"""),"Torta de pistacho")</f>
        <v>Torta de pistacho</v>
      </c>
      <c r="C267" s="48"/>
      <c r="D267" s="52">
        <f ca="1">IFERROR(__xludf.DUMMYFUNCTION("""COMPUTED_VALUE"""),1153)</f>
        <v>1153</v>
      </c>
      <c r="E267" s="7" t="str">
        <f ca="1">IFERROR(__xludf.DUMMYFUNCTION("""COMPUTED_VALUE"""),"UN")</f>
        <v>UN</v>
      </c>
      <c r="F267" s="7" t="str">
        <f ca="1">IFERROR(__xludf.DUMMYFUNCTION("""COMPUTED_VALUE"""),"Productos Elaborados")</f>
        <v>Productos Elaborados</v>
      </c>
      <c r="G267" s="49">
        <f t="shared" ca="1" si="3"/>
        <v>0</v>
      </c>
      <c r="H267" s="49">
        <f t="shared" ca="1" si="4"/>
        <v>0</v>
      </c>
      <c r="I267" s="49">
        <f t="shared" ca="1" si="5"/>
        <v>0</v>
      </c>
      <c r="J267" s="156"/>
      <c r="K267" s="4"/>
      <c r="L267" s="4"/>
      <c r="M267" s="80"/>
      <c r="N267" s="80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9.5" customHeight="1">
      <c r="A268" s="7" t="str">
        <f ca="1">IFERROR(__xludf.DUMMYFUNCTION("""COMPUTED_VALUE"""),"ti-ing-8ade022e-847c-4250-b3ed-8cc9b6128064")</f>
        <v>ti-ing-8ade022e-847c-4250-b3ed-8cc9b6128064</v>
      </c>
      <c r="B268" s="7" t="str">
        <f ca="1">IFERROR(__xludf.DUMMYFUNCTION("""COMPUTED_VALUE"""),"Torta grande Carrot Cake")</f>
        <v>Torta grande Carrot Cake</v>
      </c>
      <c r="C268" s="48"/>
      <c r="D268" s="52">
        <f ca="1">IFERROR(__xludf.DUMMYFUNCTION("""COMPUTED_VALUE"""),10000)</f>
        <v>10000</v>
      </c>
      <c r="E268" s="7" t="str">
        <f ca="1">IFERROR(__xludf.DUMMYFUNCTION("""COMPUTED_VALUE"""),"UN")</f>
        <v>UN</v>
      </c>
      <c r="F268" s="7" t="str">
        <f ca="1">IFERROR(__xludf.DUMMYFUNCTION("""COMPUTED_VALUE"""),"Productos Elaborados")</f>
        <v>Productos Elaborados</v>
      </c>
      <c r="G268" s="49">
        <f t="shared" ca="1" si="3"/>
        <v>0</v>
      </c>
      <c r="H268" s="49">
        <f t="shared" ca="1" si="4"/>
        <v>0</v>
      </c>
      <c r="I268" s="49">
        <f t="shared" ca="1" si="5"/>
        <v>0</v>
      </c>
      <c r="J268" s="156"/>
      <c r="K268" s="4"/>
      <c r="L268" s="4"/>
      <c r="M268" s="80"/>
      <c r="N268" s="80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9.5" customHeight="1">
      <c r="A269" s="7" t="str">
        <f ca="1">IFERROR(__xludf.DUMMYFUNCTION("""COMPUTED_VALUE"""),"ti-ing-da15de4a-5efa-41b7-88ca-7108e002ac2b")</f>
        <v>ti-ing-da15de4a-5efa-41b7-88ca-7108e002ac2b</v>
      </c>
      <c r="B269" s="7" t="str">
        <f ca="1">IFERROR(__xludf.DUMMYFUNCTION("""COMPUTED_VALUE"""),"Torta grande Chocolate")</f>
        <v>Torta grande Chocolate</v>
      </c>
      <c r="C269" s="48"/>
      <c r="D269" s="52">
        <f ca="1">IFERROR(__xludf.DUMMYFUNCTION("""COMPUTED_VALUE"""),10000)</f>
        <v>10000</v>
      </c>
      <c r="E269" s="7" t="str">
        <f ca="1">IFERROR(__xludf.DUMMYFUNCTION("""COMPUTED_VALUE"""),"UN")</f>
        <v>UN</v>
      </c>
      <c r="F269" s="7" t="str">
        <f ca="1">IFERROR(__xludf.DUMMYFUNCTION("""COMPUTED_VALUE"""),"Productos Elaborados")</f>
        <v>Productos Elaborados</v>
      </c>
      <c r="G269" s="49">
        <f t="shared" ca="1" si="3"/>
        <v>0</v>
      </c>
      <c r="H269" s="49">
        <f t="shared" ca="1" si="4"/>
        <v>0</v>
      </c>
      <c r="I269" s="49">
        <f t="shared" ca="1" si="5"/>
        <v>0</v>
      </c>
      <c r="J269" s="156"/>
      <c r="K269" s="4"/>
      <c r="L269" s="4"/>
      <c r="M269" s="80"/>
      <c r="N269" s="80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9.5" customHeight="1">
      <c r="A270" s="7" t="str">
        <f ca="1">IFERROR(__xludf.DUMMYFUNCTION("""COMPUTED_VALUE"""),"ti-ing-e7faa8a1-66b5-4fb0-9f50-2f5a7c3388c0")</f>
        <v>ti-ing-e7faa8a1-66b5-4fb0-9f50-2f5a7c3388c0</v>
      </c>
      <c r="B270" s="7" t="str">
        <f ca="1">IFERROR(__xludf.DUMMYFUNCTION("""COMPUTED_VALUE"""),"Torta grande Red Velvet")</f>
        <v>Torta grande Red Velvet</v>
      </c>
      <c r="C270" s="48"/>
      <c r="D270" s="52">
        <f ca="1">IFERROR(__xludf.DUMMYFUNCTION("""COMPUTED_VALUE"""),10000)</f>
        <v>10000</v>
      </c>
      <c r="E270" s="7" t="str">
        <f ca="1">IFERROR(__xludf.DUMMYFUNCTION("""COMPUTED_VALUE"""),"UN")</f>
        <v>UN</v>
      </c>
      <c r="F270" s="7" t="str">
        <f ca="1">IFERROR(__xludf.DUMMYFUNCTION("""COMPUTED_VALUE"""),"Productos Elaborados")</f>
        <v>Productos Elaborados</v>
      </c>
      <c r="G270" s="49">
        <f t="shared" ca="1" si="3"/>
        <v>0</v>
      </c>
      <c r="H270" s="49">
        <f t="shared" ca="1" si="4"/>
        <v>0</v>
      </c>
      <c r="I270" s="49">
        <f t="shared" ca="1" si="5"/>
        <v>0</v>
      </c>
      <c r="J270" s="156"/>
      <c r="K270" s="4"/>
      <c r="L270" s="4"/>
      <c r="M270" s="80"/>
      <c r="N270" s="80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9.5" customHeight="1">
      <c r="A271" s="7" t="str">
        <f ca="1">IFERROR(__xludf.DUMMYFUNCTION("""COMPUTED_VALUE"""),"ti-ing-9a5203c8-4f85-44b3-8960-fbfb084fc709")</f>
        <v>ti-ing-9a5203c8-4f85-44b3-8960-fbfb084fc709</v>
      </c>
      <c r="B271" s="7" t="str">
        <f ca="1">IFERROR(__xludf.DUMMYFUNCTION("""COMPUTED_VALUE"""),"Torta Grande Tiramisú")</f>
        <v>Torta Grande Tiramisú</v>
      </c>
      <c r="C271" s="48"/>
      <c r="D271" s="52">
        <f ca="1">IFERROR(__xludf.DUMMYFUNCTION("""COMPUTED_VALUE"""),10000)</f>
        <v>10000</v>
      </c>
      <c r="E271" s="7" t="str">
        <f ca="1">IFERROR(__xludf.DUMMYFUNCTION("""COMPUTED_VALUE"""),"un")</f>
        <v>un</v>
      </c>
      <c r="F271" s="7" t="str">
        <f ca="1">IFERROR(__xludf.DUMMYFUNCTION("""COMPUTED_VALUE"""),"Productos Elaborados")</f>
        <v>Productos Elaborados</v>
      </c>
      <c r="G271" s="49">
        <f t="shared" ca="1" si="3"/>
        <v>0</v>
      </c>
      <c r="H271" s="49">
        <f t="shared" ca="1" si="4"/>
        <v>0</v>
      </c>
      <c r="I271" s="49">
        <f t="shared" ca="1" si="5"/>
        <v>0</v>
      </c>
      <c r="J271" s="156"/>
      <c r="K271" s="4"/>
      <c r="L271" s="4"/>
      <c r="M271" s="80"/>
      <c r="N271" s="80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9.5" customHeight="1">
      <c r="A272" s="7" t="str">
        <f ca="1">IFERROR(__xludf.DUMMYFUNCTION("""COMPUTED_VALUE"""),"ti-ing-63c0ad02-283c-40ad-82ff-2084d51e56f4")</f>
        <v>ti-ing-63c0ad02-283c-40ad-82ff-2084d51e56f4</v>
      </c>
      <c r="B272" s="7" t="str">
        <f ca="1">IFERROR(__xludf.DUMMYFUNCTION("""COMPUTED_VALUE"""),"Torta grande Tres Leches")</f>
        <v>Torta grande Tres Leches</v>
      </c>
      <c r="C272" s="48"/>
      <c r="D272" s="52">
        <f ca="1">IFERROR(__xludf.DUMMYFUNCTION("""COMPUTED_VALUE"""),10000)</f>
        <v>10000</v>
      </c>
      <c r="E272" s="7" t="str">
        <f ca="1">IFERROR(__xludf.DUMMYFUNCTION("""COMPUTED_VALUE"""),"UN")</f>
        <v>UN</v>
      </c>
      <c r="F272" s="7" t="str">
        <f ca="1">IFERROR(__xludf.DUMMYFUNCTION("""COMPUTED_VALUE"""),"Productos Elaborados")</f>
        <v>Productos Elaborados</v>
      </c>
      <c r="G272" s="49">
        <f t="shared" ca="1" si="3"/>
        <v>0</v>
      </c>
      <c r="H272" s="49">
        <f t="shared" ca="1" si="4"/>
        <v>0</v>
      </c>
      <c r="I272" s="49">
        <f t="shared" ca="1" si="5"/>
        <v>0</v>
      </c>
      <c r="J272" s="156"/>
      <c r="K272" s="4"/>
      <c r="L272" s="4"/>
      <c r="M272" s="80"/>
      <c r="N272" s="80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9.5" customHeight="1">
      <c r="A273" s="7" t="str">
        <f ca="1">IFERROR(__xludf.DUMMYFUNCTION("""COMPUTED_VALUE"""),"ti-ing-eb1667ba-d42f-482b-b42e-0a4c9806ac59")</f>
        <v>ti-ing-eb1667ba-d42f-482b-b42e-0a4c9806ac59</v>
      </c>
      <c r="B273" s="7" t="str">
        <f ca="1">IFERROR(__xludf.DUMMYFUNCTION("""COMPUTED_VALUE"""),"Torta Manjar nuez")</f>
        <v>Torta Manjar nuez</v>
      </c>
      <c r="C273" s="48"/>
      <c r="D273" s="52">
        <f ca="1">IFERROR(__xludf.DUMMYFUNCTION("""COMPUTED_VALUE"""),1103)</f>
        <v>1103</v>
      </c>
      <c r="E273" s="7" t="str">
        <f ca="1">IFERROR(__xludf.DUMMYFUNCTION("""COMPUTED_VALUE"""),"UN")</f>
        <v>UN</v>
      </c>
      <c r="F273" s="7" t="str">
        <f ca="1">IFERROR(__xludf.DUMMYFUNCTION("""COMPUTED_VALUE"""),"Productos Elaborados")</f>
        <v>Productos Elaborados</v>
      </c>
      <c r="G273" s="49">
        <f t="shared" ca="1" si="3"/>
        <v>0</v>
      </c>
      <c r="H273" s="49">
        <f t="shared" ca="1" si="4"/>
        <v>0</v>
      </c>
      <c r="I273" s="49">
        <f t="shared" ca="1" si="5"/>
        <v>0</v>
      </c>
      <c r="J273" s="156"/>
      <c r="K273" s="4"/>
      <c r="L273" s="4"/>
      <c r="M273" s="80"/>
      <c r="N273" s="80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9.5" customHeight="1">
      <c r="A274" s="7" t="str">
        <f ca="1">IFERROR(__xludf.DUMMYFUNCTION("""COMPUTED_VALUE"""),"ti-ing-4dac4d03-1043-4a27-a1e1-ed68340239cb")</f>
        <v>ti-ing-4dac4d03-1043-4a27-a1e1-ed68340239cb</v>
      </c>
      <c r="B274" s="7" t="str">
        <f ca="1">IFERROR(__xludf.DUMMYFUNCTION("""COMPUTED_VALUE"""),"Torta manjar nuez")</f>
        <v>Torta manjar nuez</v>
      </c>
      <c r="C274" s="48"/>
      <c r="D274" s="52">
        <f ca="1">IFERROR(__xludf.DUMMYFUNCTION("""COMPUTED_VALUE"""),1103)</f>
        <v>1103</v>
      </c>
      <c r="E274" s="7" t="str">
        <f ca="1">IFERROR(__xludf.DUMMYFUNCTION("""COMPUTED_VALUE"""),"UN")</f>
        <v>UN</v>
      </c>
      <c r="F274" s="7" t="str">
        <f ca="1">IFERROR(__xludf.DUMMYFUNCTION("""COMPUTED_VALUE"""),"Productos Elaborados")</f>
        <v>Productos Elaborados</v>
      </c>
      <c r="G274" s="49">
        <f t="shared" ca="1" si="3"/>
        <v>0</v>
      </c>
      <c r="H274" s="49">
        <f t="shared" ca="1" si="4"/>
        <v>0</v>
      </c>
      <c r="I274" s="49">
        <f t="shared" ca="1" si="5"/>
        <v>0</v>
      </c>
      <c r="J274" s="156"/>
      <c r="K274" s="4"/>
      <c r="L274" s="4"/>
      <c r="M274" s="80"/>
      <c r="N274" s="80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9.5" customHeight="1">
      <c r="A275" s="7" t="str">
        <f ca="1">IFERROR(__xludf.DUMMYFUNCTION("""COMPUTED_VALUE"""),"ti-ing-a2a39a11-b445-405c-b372-c03b9923fb01")</f>
        <v>ti-ing-a2a39a11-b445-405c-b372-c03b9923fb01</v>
      </c>
      <c r="B275" s="7" t="str">
        <f ca="1">IFERROR(__xludf.DUMMYFUNCTION("""COMPUTED_VALUE"""),"Torta Mediana 3 leches")</f>
        <v>Torta Mediana 3 leches</v>
      </c>
      <c r="C275" s="48"/>
      <c r="D275" s="52">
        <f ca="1">IFERROR(__xludf.DUMMYFUNCTION("""COMPUTED_VALUE"""),7000)</f>
        <v>7000</v>
      </c>
      <c r="E275" s="7" t="str">
        <f ca="1">IFERROR(__xludf.DUMMYFUNCTION("""COMPUTED_VALUE"""),"UN")</f>
        <v>UN</v>
      </c>
      <c r="F275" s="7" t="str">
        <f ca="1">IFERROR(__xludf.DUMMYFUNCTION("""COMPUTED_VALUE"""),"Productos Elaborados")</f>
        <v>Productos Elaborados</v>
      </c>
      <c r="G275" s="49">
        <f t="shared" ca="1" si="3"/>
        <v>0</v>
      </c>
      <c r="H275" s="49">
        <f t="shared" ca="1" si="4"/>
        <v>0</v>
      </c>
      <c r="I275" s="49">
        <f t="shared" ca="1" si="5"/>
        <v>0</v>
      </c>
      <c r="J275" s="156"/>
      <c r="K275" s="4"/>
      <c r="L275" s="4"/>
      <c r="M275" s="80"/>
      <c r="N275" s="80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9.5" customHeight="1">
      <c r="A276" s="7" t="str">
        <f ca="1">IFERROR(__xludf.DUMMYFUNCTION("""COMPUTED_VALUE"""),"ti-ing-0d93b2e9-dcc0-45c6-9725-1e1a0422ce64")</f>
        <v>ti-ing-0d93b2e9-dcc0-45c6-9725-1e1a0422ce64</v>
      </c>
      <c r="B276" s="7" t="str">
        <f ca="1">IFERROR(__xludf.DUMMYFUNCTION("""COMPUTED_VALUE"""),"Torta mediana Carrot Cake")</f>
        <v>Torta mediana Carrot Cake</v>
      </c>
      <c r="C276" s="48"/>
      <c r="D276" s="52">
        <f ca="1">IFERROR(__xludf.DUMMYFUNCTION("""COMPUTED_VALUE"""),7000)</f>
        <v>7000</v>
      </c>
      <c r="E276" s="7" t="str">
        <f ca="1">IFERROR(__xludf.DUMMYFUNCTION("""COMPUTED_VALUE"""),"UN")</f>
        <v>UN</v>
      </c>
      <c r="F276" s="7" t="str">
        <f ca="1">IFERROR(__xludf.DUMMYFUNCTION("""COMPUTED_VALUE"""),"Productos Elaborados")</f>
        <v>Productos Elaborados</v>
      </c>
      <c r="G276" s="49">
        <f t="shared" ca="1" si="3"/>
        <v>0</v>
      </c>
      <c r="H276" s="49">
        <f t="shared" ca="1" si="4"/>
        <v>0</v>
      </c>
      <c r="I276" s="49">
        <f t="shared" ca="1" si="5"/>
        <v>0</v>
      </c>
      <c r="J276" s="156"/>
      <c r="K276" s="4"/>
      <c r="L276" s="4"/>
      <c r="M276" s="80"/>
      <c r="N276" s="80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9.5" customHeight="1">
      <c r="A277" s="7" t="str">
        <f ca="1">IFERROR(__xludf.DUMMYFUNCTION("""COMPUTED_VALUE"""),"ti-ing-c8bdf30a-e35c-4f89-9dea-284c5dc422cf")</f>
        <v>ti-ing-c8bdf30a-e35c-4f89-9dea-284c5dc422cf</v>
      </c>
      <c r="B277" s="7" t="str">
        <f ca="1">IFERROR(__xludf.DUMMYFUNCTION("""COMPUTED_VALUE"""),"Torta mediana Cheesecake Frutos Rojos")</f>
        <v>Torta mediana Cheesecake Frutos Rojos</v>
      </c>
      <c r="C277" s="48"/>
      <c r="D277" s="52">
        <f ca="1">IFERROR(__xludf.DUMMYFUNCTION("""COMPUTED_VALUE"""),7000)</f>
        <v>7000</v>
      </c>
      <c r="E277" s="7" t="str">
        <f ca="1">IFERROR(__xludf.DUMMYFUNCTION("""COMPUTED_VALUE"""),"UN")</f>
        <v>UN</v>
      </c>
      <c r="F277" s="7" t="str">
        <f ca="1">IFERROR(__xludf.DUMMYFUNCTION("""COMPUTED_VALUE"""),"Productos Elaborados")</f>
        <v>Productos Elaborados</v>
      </c>
      <c r="G277" s="49">
        <f t="shared" ca="1" si="3"/>
        <v>0</v>
      </c>
      <c r="H277" s="49">
        <f t="shared" ca="1" si="4"/>
        <v>0</v>
      </c>
      <c r="I277" s="49">
        <f t="shared" ca="1" si="5"/>
        <v>0</v>
      </c>
      <c r="J277" s="156"/>
      <c r="K277" s="4"/>
      <c r="L277" s="4"/>
      <c r="M277" s="80"/>
      <c r="N277" s="80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9.5" customHeight="1">
      <c r="A278" s="7" t="str">
        <f ca="1">IFERROR(__xludf.DUMMYFUNCTION("""COMPUTED_VALUE"""),"ti-ing-ed44a9a4-2391-4346-b9cd-a08a151b902a")</f>
        <v>ti-ing-ed44a9a4-2391-4346-b9cd-a08a151b902a</v>
      </c>
      <c r="B278" s="7" t="str">
        <f ca="1">IFERROR(__xludf.DUMMYFUNCTION("""COMPUTED_VALUE"""),"Torta mediana Cheesecake Maracuya")</f>
        <v>Torta mediana Cheesecake Maracuya</v>
      </c>
      <c r="C278" s="48"/>
      <c r="D278" s="52">
        <f ca="1">IFERROR(__xludf.DUMMYFUNCTION("""COMPUTED_VALUE"""),7000)</f>
        <v>7000</v>
      </c>
      <c r="E278" s="7" t="str">
        <f ca="1">IFERROR(__xludf.DUMMYFUNCTION("""COMPUTED_VALUE"""),"UN")</f>
        <v>UN</v>
      </c>
      <c r="F278" s="7" t="str">
        <f ca="1">IFERROR(__xludf.DUMMYFUNCTION("""COMPUTED_VALUE"""),"Productos Elaborados")</f>
        <v>Productos Elaborados</v>
      </c>
      <c r="G278" s="49">
        <f t="shared" ca="1" si="3"/>
        <v>0</v>
      </c>
      <c r="H278" s="49">
        <f t="shared" ca="1" si="4"/>
        <v>0</v>
      </c>
      <c r="I278" s="49">
        <f t="shared" ca="1" si="5"/>
        <v>0</v>
      </c>
      <c r="J278" s="156"/>
      <c r="K278" s="4"/>
      <c r="L278" s="4"/>
      <c r="M278" s="80"/>
      <c r="N278" s="80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9.5" customHeight="1">
      <c r="A279" s="7" t="str">
        <f ca="1">IFERROR(__xludf.DUMMYFUNCTION("""COMPUTED_VALUE"""),"ti-ing-e5631358-9915-4b24-9e75-21b827d25871")</f>
        <v>ti-ing-e5631358-9915-4b24-9e75-21b827d25871</v>
      </c>
      <c r="B279" s="7" t="str">
        <f ca="1">IFERROR(__xludf.DUMMYFUNCTION("""COMPUTED_VALUE"""),"Torta mediana Chocolate")</f>
        <v>Torta mediana Chocolate</v>
      </c>
      <c r="C279" s="48"/>
      <c r="D279" s="52">
        <f ca="1">IFERROR(__xludf.DUMMYFUNCTION("""COMPUTED_VALUE"""),7000)</f>
        <v>7000</v>
      </c>
      <c r="E279" s="7" t="str">
        <f ca="1">IFERROR(__xludf.DUMMYFUNCTION("""COMPUTED_VALUE"""),"UN")</f>
        <v>UN</v>
      </c>
      <c r="F279" s="7" t="str">
        <f ca="1">IFERROR(__xludf.DUMMYFUNCTION("""COMPUTED_VALUE"""),"Productos Elaborados")</f>
        <v>Productos Elaborados</v>
      </c>
      <c r="G279" s="49">
        <f t="shared" ca="1" si="3"/>
        <v>0</v>
      </c>
      <c r="H279" s="49">
        <f t="shared" ca="1" si="4"/>
        <v>0</v>
      </c>
      <c r="I279" s="49">
        <f t="shared" ca="1" si="5"/>
        <v>0</v>
      </c>
      <c r="J279" s="156"/>
      <c r="K279" s="4"/>
      <c r="L279" s="4"/>
      <c r="M279" s="80"/>
      <c r="N279" s="80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9.5" customHeight="1">
      <c r="A280" s="7" t="str">
        <f ca="1">IFERROR(__xludf.DUMMYFUNCTION("""COMPUTED_VALUE"""),"ti-ing-b81128f5-ab59-4b0f-8124-1854d9fd7907")</f>
        <v>ti-ing-b81128f5-ab59-4b0f-8124-1854d9fd7907</v>
      </c>
      <c r="B280" s="7" t="str">
        <f ca="1">IFERROR(__xludf.DUMMYFUNCTION("""COMPUTED_VALUE"""),"Torta mediana Red Velvet")</f>
        <v>Torta mediana Red Velvet</v>
      </c>
      <c r="C280" s="48"/>
      <c r="D280" s="52">
        <f ca="1">IFERROR(__xludf.DUMMYFUNCTION("""COMPUTED_VALUE"""),7000)</f>
        <v>7000</v>
      </c>
      <c r="E280" s="7" t="str">
        <f ca="1">IFERROR(__xludf.DUMMYFUNCTION("""COMPUTED_VALUE"""),"UN")</f>
        <v>UN</v>
      </c>
      <c r="F280" s="7" t="str">
        <f ca="1">IFERROR(__xludf.DUMMYFUNCTION("""COMPUTED_VALUE"""),"Productos Elaborados")</f>
        <v>Productos Elaborados</v>
      </c>
      <c r="G280" s="49">
        <f t="shared" ca="1" si="3"/>
        <v>0</v>
      </c>
      <c r="H280" s="49">
        <f t="shared" ca="1" si="4"/>
        <v>0</v>
      </c>
      <c r="I280" s="49">
        <f t="shared" ca="1" si="5"/>
        <v>0</v>
      </c>
      <c r="J280" s="156"/>
      <c r="K280" s="4"/>
      <c r="L280" s="4"/>
      <c r="M280" s="80"/>
      <c r="N280" s="80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9.5" customHeight="1">
      <c r="A281" s="7" t="str">
        <f ca="1">IFERROR(__xludf.DUMMYFUNCTION("""COMPUTED_VALUE"""),"ti-ing-9e239189-5837-4025-88ed-026c2793d414")</f>
        <v>ti-ing-9e239189-5837-4025-88ed-026c2793d414</v>
      </c>
      <c r="B281" s="7" t="str">
        <f ca="1">IFERROR(__xludf.DUMMYFUNCTION("""COMPUTED_VALUE"""),"Torta mediana Tiramisú")</f>
        <v>Torta mediana Tiramisú</v>
      </c>
      <c r="C281" s="48"/>
      <c r="D281" s="52">
        <f ca="1">IFERROR(__xludf.DUMMYFUNCTION("""COMPUTED_VALUE"""),7000)</f>
        <v>7000</v>
      </c>
      <c r="E281" s="7" t="str">
        <f ca="1">IFERROR(__xludf.DUMMYFUNCTION("""COMPUTED_VALUE"""),"UN")</f>
        <v>UN</v>
      </c>
      <c r="F281" s="7" t="str">
        <f ca="1">IFERROR(__xludf.DUMMYFUNCTION("""COMPUTED_VALUE"""),"Productos Elaborados")</f>
        <v>Productos Elaborados</v>
      </c>
      <c r="G281" s="49">
        <f t="shared" ca="1" si="3"/>
        <v>0</v>
      </c>
      <c r="H281" s="49">
        <f t="shared" ca="1" si="4"/>
        <v>0</v>
      </c>
      <c r="I281" s="49">
        <f t="shared" ca="1" si="5"/>
        <v>0</v>
      </c>
      <c r="J281" s="156"/>
      <c r="K281" s="4"/>
      <c r="L281" s="4"/>
      <c r="M281" s="80"/>
      <c r="N281" s="80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9.5" customHeight="1">
      <c r="A282" s="7" t="str">
        <f ca="1">IFERROR(__xludf.DUMMYFUNCTION("""COMPUTED_VALUE"""),"ti-ing-001593d5-b416-422c-b179-650b247b7985")</f>
        <v>ti-ing-001593d5-b416-422c-b179-650b247b7985</v>
      </c>
      <c r="B282" s="7" t="str">
        <f ca="1">IFERROR(__xludf.DUMMYFUNCTION("""COMPUTED_VALUE"""),"Torta PASION DE CHOCOLATE")</f>
        <v>Torta PASION DE CHOCOLATE</v>
      </c>
      <c r="C282" s="48"/>
      <c r="D282" s="52">
        <f ca="1">IFERROR(__xludf.DUMMYFUNCTION("""COMPUTED_VALUE"""),689)</f>
        <v>689</v>
      </c>
      <c r="E282" s="7" t="str">
        <f ca="1">IFERROR(__xludf.DUMMYFUNCTION("""COMPUTED_VALUE"""),"UN")</f>
        <v>UN</v>
      </c>
      <c r="F282" s="7" t="str">
        <f ca="1">IFERROR(__xludf.DUMMYFUNCTION("""COMPUTED_VALUE"""),"Productos Elaborados")</f>
        <v>Productos Elaborados</v>
      </c>
      <c r="G282" s="49">
        <f t="shared" ca="1" si="3"/>
        <v>0</v>
      </c>
      <c r="H282" s="49">
        <f t="shared" ca="1" si="4"/>
        <v>0</v>
      </c>
      <c r="I282" s="49">
        <f t="shared" ca="1" si="5"/>
        <v>0</v>
      </c>
      <c r="J282" s="156"/>
      <c r="K282" s="4"/>
      <c r="L282" s="4"/>
      <c r="M282" s="80"/>
      <c r="N282" s="80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9.5" customHeight="1">
      <c r="A283" s="7" t="str">
        <f ca="1">IFERROR(__xludf.DUMMYFUNCTION("""COMPUTED_VALUE"""),"ti-ing-a8cd5c87-c9dc-4186-83a1-68beb8fb913b")</f>
        <v>ti-ing-a8cd5c87-c9dc-4186-83a1-68beb8fb913b</v>
      </c>
      <c r="B283" s="7" t="str">
        <f ca="1">IFERROR(__xludf.DUMMYFUNCTION("""COMPUTED_VALUE"""),"Torta Red Velvet")</f>
        <v>Torta Red Velvet</v>
      </c>
      <c r="C283" s="48"/>
      <c r="D283" s="52">
        <f ca="1">IFERROR(__xludf.DUMMYFUNCTION("""COMPUTED_VALUE"""),804)</f>
        <v>804</v>
      </c>
      <c r="E283" s="7" t="str">
        <f ca="1">IFERROR(__xludf.DUMMYFUNCTION("""COMPUTED_VALUE"""),"UN")</f>
        <v>UN</v>
      </c>
      <c r="F283" s="7" t="str">
        <f ca="1">IFERROR(__xludf.DUMMYFUNCTION("""COMPUTED_VALUE"""),"Productos Elaborados")</f>
        <v>Productos Elaborados</v>
      </c>
      <c r="G283" s="49">
        <f t="shared" ca="1" si="3"/>
        <v>0</v>
      </c>
      <c r="H283" s="49">
        <f t="shared" ca="1" si="4"/>
        <v>0</v>
      </c>
      <c r="I283" s="49">
        <f t="shared" ca="1" si="5"/>
        <v>0</v>
      </c>
      <c r="J283" s="156"/>
      <c r="K283" s="4"/>
      <c r="L283" s="4"/>
      <c r="M283" s="80"/>
      <c r="N283" s="80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9.5" customHeight="1">
      <c r="A284" s="7" t="str">
        <f ca="1">IFERROR(__xludf.DUMMYFUNCTION("""COMPUTED_VALUE"""),"ti-ing-98bcab34-b5b9-449e-b17a-558a962b5e9e")</f>
        <v>ti-ing-98bcab34-b5b9-449e-b17a-558a962b5e9e</v>
      </c>
      <c r="B284" s="7" t="str">
        <f ca="1">IFERROR(__xludf.DUMMYFUNCTION("""COMPUTED_VALUE"""),"Torta tiramisu")</f>
        <v>Torta tiramisu</v>
      </c>
      <c r="C284" s="48"/>
      <c r="D284" s="52">
        <f ca="1">IFERROR(__xludf.DUMMYFUNCTION("""COMPUTED_VALUE"""),758)</f>
        <v>758</v>
      </c>
      <c r="E284" s="7" t="str">
        <f ca="1">IFERROR(__xludf.DUMMYFUNCTION("""COMPUTED_VALUE"""),"UN")</f>
        <v>UN</v>
      </c>
      <c r="F284" s="7" t="str">
        <f ca="1">IFERROR(__xludf.DUMMYFUNCTION("""COMPUTED_VALUE"""),"Productos Elaborados")</f>
        <v>Productos Elaborados</v>
      </c>
      <c r="G284" s="49">
        <f t="shared" ca="1" si="3"/>
        <v>0</v>
      </c>
      <c r="H284" s="49">
        <f t="shared" ca="1" si="4"/>
        <v>0</v>
      </c>
      <c r="I284" s="49">
        <f t="shared" ca="1" si="5"/>
        <v>0</v>
      </c>
      <c r="J284" s="156"/>
      <c r="K284" s="4"/>
      <c r="L284" s="4"/>
      <c r="M284" s="80"/>
      <c r="N284" s="80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9.5" customHeight="1">
      <c r="A285" s="7" t="str">
        <f ca="1">IFERROR(__xludf.DUMMYFUNCTION("""COMPUTED_VALUE"""),"ti-ing-c4b94842-6ec7-4b1b-af11-31093c0aed01")</f>
        <v>ti-ing-c4b94842-6ec7-4b1b-af11-31093c0aed01</v>
      </c>
      <c r="B285" s="7" t="str">
        <f ca="1">IFERROR(__xludf.DUMMYFUNCTION("""COMPUTED_VALUE"""),"Torta tres leches")</f>
        <v>Torta tres leches</v>
      </c>
      <c r="C285" s="48"/>
      <c r="D285" s="52">
        <f ca="1">IFERROR(__xludf.DUMMYFUNCTION("""COMPUTED_VALUE"""),438)</f>
        <v>438</v>
      </c>
      <c r="E285" s="7" t="str">
        <f ca="1">IFERROR(__xludf.DUMMYFUNCTION("""COMPUTED_VALUE"""),"UN")</f>
        <v>UN</v>
      </c>
      <c r="F285" s="7" t="str">
        <f ca="1">IFERROR(__xludf.DUMMYFUNCTION("""COMPUTED_VALUE"""),"Productos Elaborados")</f>
        <v>Productos Elaborados</v>
      </c>
      <c r="G285" s="49">
        <f t="shared" ca="1" si="3"/>
        <v>0</v>
      </c>
      <c r="H285" s="49">
        <f t="shared" ca="1" si="4"/>
        <v>0</v>
      </c>
      <c r="I285" s="49">
        <f t="shared" ca="1" si="5"/>
        <v>0</v>
      </c>
      <c r="J285" s="156"/>
      <c r="K285" s="4"/>
      <c r="L285" s="4"/>
      <c r="M285" s="80"/>
      <c r="N285" s="80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9.5" customHeight="1">
      <c r="A286" s="7" t="str">
        <f ca="1">IFERROR(__xludf.DUMMYFUNCTION("""COMPUTED_VALUE"""),"ti-ing-9ea4554c-aab1-480e-8b51-2aa90b2e08e9")</f>
        <v>ti-ing-9ea4554c-aab1-480e-8b51-2aa90b2e08e9</v>
      </c>
      <c r="B286" s="7" t="str">
        <f ca="1">IFERROR(__xludf.DUMMYFUNCTION("""COMPUTED_VALUE"""),"Trufa")</f>
        <v>Trufa</v>
      </c>
      <c r="C286" s="48"/>
      <c r="D286" s="52">
        <f ca="1">IFERROR(__xludf.DUMMYFUNCTION("""COMPUTED_VALUE"""),500)</f>
        <v>500</v>
      </c>
      <c r="E286" s="7" t="str">
        <f ca="1">IFERROR(__xludf.DUMMYFUNCTION("""COMPUTED_VALUE"""),"UN")</f>
        <v>UN</v>
      </c>
      <c r="F286" s="7" t="str">
        <f ca="1">IFERROR(__xludf.DUMMYFUNCTION("""COMPUTED_VALUE"""),"Productos Elaborados")</f>
        <v>Productos Elaborados</v>
      </c>
      <c r="G286" s="49">
        <f t="shared" ca="1" si="3"/>
        <v>0</v>
      </c>
      <c r="H286" s="49">
        <f t="shared" ca="1" si="4"/>
        <v>0</v>
      </c>
      <c r="I286" s="49">
        <f t="shared" ca="1" si="5"/>
        <v>0</v>
      </c>
      <c r="J286" s="156"/>
      <c r="K286" s="4"/>
      <c r="L286" s="4"/>
      <c r="M286" s="80"/>
      <c r="N286" s="80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9.5" customHeight="1">
      <c r="A287" s="7"/>
      <c r="B287" s="7" t="str">
        <f ca="1">IFERROR(__xludf.DUMMYFUNCTION("""COMPUTED_VALUE"""),"flor jamaica")</f>
        <v>flor jamaica</v>
      </c>
      <c r="C287" s="7">
        <v>0.59</v>
      </c>
      <c r="D287" s="52">
        <f ca="1">IFERROR(__xludf.DUMMYFUNCTION("""COMPUTED_VALUE"""),6811)</f>
        <v>6811</v>
      </c>
      <c r="E287" s="7" t="str">
        <f ca="1">IFERROR(__xludf.DUMMYFUNCTION("""COMPUTED_VALUE"""),"KG")</f>
        <v>KG</v>
      </c>
      <c r="F287" s="7" t="str">
        <f ca="1">IFERROR(__xludf.DUMMYFUNCTION("""COMPUTED_VALUE"""),"Té")</f>
        <v>Té</v>
      </c>
      <c r="G287" s="49">
        <f t="shared" ca="1" si="3"/>
        <v>4018.49</v>
      </c>
      <c r="H287" s="49">
        <f t="shared" ca="1" si="4"/>
        <v>763.51310000000001</v>
      </c>
      <c r="I287" s="49">
        <f t="shared" ca="1" si="5"/>
        <v>4782.0030999999999</v>
      </c>
      <c r="J287" s="156"/>
      <c r="K287" s="4"/>
      <c r="L287" s="4"/>
      <c r="M287" s="80"/>
      <c r="N287" s="80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9.5" customHeight="1">
      <c r="A288" s="7" t="str">
        <f ca="1">IFERROR(__xludf.DUMMYFUNCTION("""COMPUTED_VALUE"""),"ti-ing-07a970c1-3c48-4a92-91e0-e444e28da6c3")</f>
        <v>ti-ing-07a970c1-3c48-4a92-91e0-e444e28da6c3</v>
      </c>
      <c r="B288" s="7" t="str">
        <f ca="1">IFERROR(__xludf.DUMMYFUNCTION("""COMPUTED_VALUE"""),"Te Dilmah Caja 100 Un")</f>
        <v>Te Dilmah Caja 100 Un</v>
      </c>
      <c r="C288" s="7">
        <v>313</v>
      </c>
      <c r="D288" s="52">
        <f ca="1">IFERROR(__xludf.DUMMYFUNCTION("""COMPUTED_VALUE"""),58.7392)</f>
        <v>58.739199999999997</v>
      </c>
      <c r="E288" s="7" t="str">
        <f ca="1">IFERROR(__xludf.DUMMYFUNCTION("""COMPUTED_VALUE"""),"UN")</f>
        <v>UN</v>
      </c>
      <c r="F288" s="7" t="str">
        <f ca="1">IFERROR(__xludf.DUMMYFUNCTION("""COMPUTED_VALUE"""),"Té")</f>
        <v>Té</v>
      </c>
      <c r="G288" s="49">
        <f t="shared" ca="1" si="3"/>
        <v>18385.369599999998</v>
      </c>
      <c r="H288" s="49">
        <f t="shared" ca="1" si="4"/>
        <v>3493.2202239999997</v>
      </c>
      <c r="I288" s="49">
        <f t="shared" ca="1" si="5"/>
        <v>21878.589823999999</v>
      </c>
      <c r="J288" s="156"/>
      <c r="K288" s="4"/>
      <c r="L288" s="4"/>
      <c r="M288" s="80"/>
      <c r="N288" s="80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9.5" customHeight="1">
      <c r="A289" s="7"/>
      <c r="B289" s="7" t="str">
        <f ca="1">IFERROR(__xludf.DUMMYFUNCTION("""COMPUTED_VALUE"""),"te mariposa ")</f>
        <v xml:space="preserve">te mariposa </v>
      </c>
      <c r="C289" s="7">
        <v>3.7999999999999999E-2</v>
      </c>
      <c r="D289" s="52">
        <f ca="1">IFERROR(__xludf.DUMMYFUNCTION("""COMPUTED_VALUE"""),9908)</f>
        <v>9908</v>
      </c>
      <c r="E289" s="7" t="str">
        <f ca="1">IFERROR(__xludf.DUMMYFUNCTION("""COMPUTED_VALUE"""),"KG")</f>
        <v>KG</v>
      </c>
      <c r="F289" s="7" t="str">
        <f ca="1">IFERROR(__xludf.DUMMYFUNCTION("""COMPUTED_VALUE"""),"Té")</f>
        <v>Té</v>
      </c>
      <c r="G289" s="49">
        <f t="shared" ca="1" si="3"/>
        <v>376.50399999999996</v>
      </c>
      <c r="H289" s="49">
        <f t="shared" ca="1" si="4"/>
        <v>71.535759999999996</v>
      </c>
      <c r="I289" s="49">
        <f t="shared" ca="1" si="5"/>
        <v>448.03975999999994</v>
      </c>
      <c r="J289" s="156"/>
      <c r="K289" s="4"/>
      <c r="L289" s="4"/>
      <c r="M289" s="80"/>
      <c r="N289" s="80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9.5" customHeight="1">
      <c r="A290" s="7" t="str">
        <f ca="1">IFERROR(__xludf.DUMMYFUNCTION("""COMPUTED_VALUE"""),"ti-ing-57aab3f2-4e37-4536-85e1-0789aecdd627")</f>
        <v>ti-ing-57aab3f2-4e37-4536-85e1-0789aecdd627</v>
      </c>
      <c r="B290" s="7" t="str">
        <f ca="1">IFERROR(__xludf.DUMMYFUNCTION("""COMPUTED_VALUE"""),"Te Mix Armonía Herbal")</f>
        <v>Te Mix Armonía Herbal</v>
      </c>
      <c r="C290" s="7">
        <v>44</v>
      </c>
      <c r="D290" s="52">
        <f ca="1">IFERROR(__xludf.DUMMYFUNCTION("""COMPUTED_VALUE"""),161)</f>
        <v>161</v>
      </c>
      <c r="E290" s="7" t="str">
        <f ca="1">IFERROR(__xludf.DUMMYFUNCTION("""COMPUTED_VALUE"""),"UN")</f>
        <v>UN</v>
      </c>
      <c r="F290" s="7" t="str">
        <f ca="1">IFERROR(__xludf.DUMMYFUNCTION("""COMPUTED_VALUE"""),"Té")</f>
        <v>Té</v>
      </c>
      <c r="G290" s="49">
        <f t="shared" ca="1" si="3"/>
        <v>7084</v>
      </c>
      <c r="H290" s="49">
        <f t="shared" ca="1" si="4"/>
        <v>1345.96</v>
      </c>
      <c r="I290" s="49">
        <f t="shared" ca="1" si="5"/>
        <v>8429.9599999999991</v>
      </c>
      <c r="J290" s="156"/>
      <c r="K290" s="4"/>
      <c r="L290" s="4"/>
      <c r="M290" s="80"/>
      <c r="N290" s="80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9.5" customHeight="1">
      <c r="A291" s="7" t="str">
        <f ca="1">IFERROR(__xludf.DUMMYFUNCTION("""COMPUTED_VALUE"""),"ti-ing-79626a92-beca-415f-a764-6eb8d6bffc09")</f>
        <v>ti-ing-79626a92-beca-415f-a764-6eb8d6bffc09</v>
      </c>
      <c r="B291" s="7" t="str">
        <f ca="1">IFERROR(__xludf.DUMMYFUNCTION("""COMPUTED_VALUE"""),"Te Mix Exhala Atardecer")</f>
        <v>Te Mix Exhala Atardecer</v>
      </c>
      <c r="C291" s="7">
        <v>64</v>
      </c>
      <c r="D291" s="52">
        <f ca="1">IFERROR(__xludf.DUMMYFUNCTION("""COMPUTED_VALUE"""),161)</f>
        <v>161</v>
      </c>
      <c r="E291" s="7" t="str">
        <f ca="1">IFERROR(__xludf.DUMMYFUNCTION("""COMPUTED_VALUE"""),"UN")</f>
        <v>UN</v>
      </c>
      <c r="F291" s="7" t="str">
        <f ca="1">IFERROR(__xludf.DUMMYFUNCTION("""COMPUTED_VALUE"""),"Té")</f>
        <v>Té</v>
      </c>
      <c r="G291" s="49">
        <f t="shared" ca="1" si="3"/>
        <v>10304</v>
      </c>
      <c r="H291" s="49">
        <f t="shared" ca="1" si="4"/>
        <v>1957.76</v>
      </c>
      <c r="I291" s="49">
        <f t="shared" ca="1" si="5"/>
        <v>12261.76</v>
      </c>
      <c r="J291" s="156"/>
      <c r="K291" s="4"/>
      <c r="L291" s="4"/>
      <c r="M291" s="80"/>
      <c r="N291" s="80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9.5" customHeight="1">
      <c r="A292" s="7" t="str">
        <f ca="1">IFERROR(__xludf.DUMMYFUNCTION("""COMPUTED_VALUE"""),"ti-ing-69d16157-5bd9-4117-94dd-c38d989509c3")</f>
        <v>ti-ing-69d16157-5bd9-4117-94dd-c38d989509c3</v>
      </c>
      <c r="B292" s="7" t="str">
        <f ca="1">IFERROR(__xludf.DUMMYFUNCTION("""COMPUTED_VALUE"""),"Te Mix Inhala Amanecer")</f>
        <v>Te Mix Inhala Amanecer</v>
      </c>
      <c r="C292" s="7">
        <v>40</v>
      </c>
      <c r="D292" s="52">
        <f ca="1">IFERROR(__xludf.DUMMYFUNCTION("""COMPUTED_VALUE"""),161)</f>
        <v>161</v>
      </c>
      <c r="E292" s="7" t="str">
        <f ca="1">IFERROR(__xludf.DUMMYFUNCTION("""COMPUTED_VALUE"""),"UN")</f>
        <v>UN</v>
      </c>
      <c r="F292" s="7" t="str">
        <f ca="1">IFERROR(__xludf.DUMMYFUNCTION("""COMPUTED_VALUE"""),"Té")</f>
        <v>Té</v>
      </c>
      <c r="G292" s="49">
        <f t="shared" ca="1" si="3"/>
        <v>6440</v>
      </c>
      <c r="H292" s="49">
        <f t="shared" ca="1" si="4"/>
        <v>1223.5999999999999</v>
      </c>
      <c r="I292" s="49">
        <f t="shared" ca="1" si="5"/>
        <v>7663.6</v>
      </c>
      <c r="J292" s="156"/>
      <c r="K292" s="4"/>
      <c r="L292" s="4"/>
      <c r="M292" s="80"/>
      <c r="N292" s="80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9.5" customHeight="1">
      <c r="A293" s="7" t="str">
        <f ca="1">IFERROR(__xludf.DUMMYFUNCTION("""COMPUTED_VALUE"""),"ti-ing-c74681ea-ed36-4576-85e2-524106006879")</f>
        <v>ti-ing-c74681ea-ed36-4576-85e2-524106006879</v>
      </c>
      <c r="B293" s="7" t="str">
        <f ca="1">IFERROR(__xludf.DUMMYFUNCTION("""COMPUTED_VALUE"""),"Te Mix Natural Peace")</f>
        <v>Te Mix Natural Peace</v>
      </c>
      <c r="C293" s="7">
        <v>70</v>
      </c>
      <c r="D293" s="52">
        <f ca="1">IFERROR(__xludf.DUMMYFUNCTION("""COMPUTED_VALUE"""),161)</f>
        <v>161</v>
      </c>
      <c r="E293" s="7" t="str">
        <f ca="1">IFERROR(__xludf.DUMMYFUNCTION("""COMPUTED_VALUE"""),"UN")</f>
        <v>UN</v>
      </c>
      <c r="F293" s="7" t="str">
        <f ca="1">IFERROR(__xludf.DUMMYFUNCTION("""COMPUTED_VALUE"""),"Té")</f>
        <v>Té</v>
      </c>
      <c r="G293" s="49">
        <f t="shared" ca="1" si="3"/>
        <v>11270</v>
      </c>
      <c r="H293" s="49">
        <f t="shared" ca="1" si="4"/>
        <v>2141.3000000000002</v>
      </c>
      <c r="I293" s="49">
        <f t="shared" ca="1" si="5"/>
        <v>13411.3</v>
      </c>
      <c r="J293" s="156"/>
      <c r="K293" s="4"/>
      <c r="L293" s="4"/>
      <c r="M293" s="80"/>
      <c r="N293" s="80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9.5" customHeight="1">
      <c r="A294" s="7" t="str">
        <f ca="1">IFERROR(__xludf.DUMMYFUNCTION("""COMPUTED_VALUE"""),"ti-ing-2e454ff4-7f1f-4343-a28b-4a990d66c751")</f>
        <v>ti-ing-2e454ff4-7f1f-4343-a28b-4a990d66c751</v>
      </c>
      <c r="B294" s="7" t="str">
        <f ca="1">IFERROR(__xludf.DUMMYFUNCTION("""COMPUTED_VALUE"""),"Te Mix Pausa Consiente")</f>
        <v>Te Mix Pausa Consiente</v>
      </c>
      <c r="C294" s="7">
        <v>85</v>
      </c>
      <c r="D294" s="52">
        <f ca="1">IFERROR(__xludf.DUMMYFUNCTION("""COMPUTED_VALUE"""),161)</f>
        <v>161</v>
      </c>
      <c r="E294" s="7" t="str">
        <f ca="1">IFERROR(__xludf.DUMMYFUNCTION("""COMPUTED_VALUE"""),"UN")</f>
        <v>UN</v>
      </c>
      <c r="F294" s="7" t="str">
        <f ca="1">IFERROR(__xludf.DUMMYFUNCTION("""COMPUTED_VALUE"""),"Té")</f>
        <v>Té</v>
      </c>
      <c r="G294" s="49">
        <f t="shared" ca="1" si="3"/>
        <v>13685</v>
      </c>
      <c r="H294" s="49">
        <f t="shared" ca="1" si="4"/>
        <v>2600.15</v>
      </c>
      <c r="I294" s="49">
        <f t="shared" ca="1" si="5"/>
        <v>16285.15</v>
      </c>
      <c r="J294" s="156"/>
      <c r="K294" s="4"/>
      <c r="L294" s="4"/>
      <c r="M294" s="80"/>
      <c r="N294" s="80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9.5" customHeight="1">
      <c r="A295" s="7" t="str">
        <f ca="1">IFERROR(__xludf.DUMMYFUNCTION("""COMPUTED_VALUE"""),"ti-ing-a22fc9c8-1c6b-46ec-9e05-b5ee88f46df5")</f>
        <v>ti-ing-a22fc9c8-1c6b-46ec-9e05-b5ee88f46df5</v>
      </c>
      <c r="B295" s="7" t="str">
        <f ca="1">IFERROR(__xludf.DUMMYFUNCTION("""COMPUTED_VALUE"""),"Te Mix Viaje Mágico")</f>
        <v>Te Mix Viaje Mágico</v>
      </c>
      <c r="C295" s="7">
        <v>32</v>
      </c>
      <c r="D295" s="52">
        <f ca="1">IFERROR(__xludf.DUMMYFUNCTION("""COMPUTED_VALUE"""),161)</f>
        <v>161</v>
      </c>
      <c r="E295" s="7" t="str">
        <f ca="1">IFERROR(__xludf.DUMMYFUNCTION("""COMPUTED_VALUE"""),"UN")</f>
        <v>UN</v>
      </c>
      <c r="F295" s="7" t="str">
        <f ca="1">IFERROR(__xludf.DUMMYFUNCTION("""COMPUTED_VALUE"""),"Té")</f>
        <v>Té</v>
      </c>
      <c r="G295" s="49">
        <f t="shared" ca="1" si="3"/>
        <v>5152</v>
      </c>
      <c r="H295" s="49">
        <f t="shared" ca="1" si="4"/>
        <v>978.88</v>
      </c>
      <c r="I295" s="49">
        <f t="shared" ca="1" si="5"/>
        <v>6130.88</v>
      </c>
      <c r="J295" s="156"/>
      <c r="K295" s="4"/>
      <c r="L295" s="4"/>
      <c r="M295" s="80"/>
      <c r="N295" s="80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9.5" customHeight="1">
      <c r="A296" s="7" t="str">
        <f ca="1">IFERROR(__xludf.DUMMYFUNCTION("""COMPUTED_VALUE"""),"ti-ing-2977c67d-e30a-4021-a7b1-837a7f29eaa0")</f>
        <v>ti-ing-2977c67d-e30a-4021-a7b1-837a7f29eaa0</v>
      </c>
      <c r="B296" s="7" t="str">
        <f ca="1">IFERROR(__xludf.DUMMYFUNCTION("""COMPUTED_VALUE"""),"Te Negro hoja (kg)")</f>
        <v>Te Negro hoja (kg)</v>
      </c>
      <c r="C296" s="7">
        <v>0.39</v>
      </c>
      <c r="D296" s="52">
        <f ca="1">IFERROR(__xludf.DUMMYFUNCTION("""COMPUTED_VALUE"""),8369)</f>
        <v>8369</v>
      </c>
      <c r="E296" s="7" t="str">
        <f ca="1">IFERROR(__xludf.DUMMYFUNCTION("""COMPUTED_VALUE"""),"UN")</f>
        <v>UN</v>
      </c>
      <c r="F296" s="7" t="str">
        <f ca="1">IFERROR(__xludf.DUMMYFUNCTION("""COMPUTED_VALUE"""),"Té")</f>
        <v>Té</v>
      </c>
      <c r="G296" s="49">
        <f t="shared" ca="1" si="3"/>
        <v>3263.9100000000003</v>
      </c>
      <c r="H296" s="49">
        <f t="shared" ca="1" si="4"/>
        <v>620.14290000000005</v>
      </c>
      <c r="I296" s="49">
        <f t="shared" ca="1" si="5"/>
        <v>3884.0529000000006</v>
      </c>
      <c r="J296" s="156"/>
      <c r="K296" s="4"/>
      <c r="L296" s="4"/>
      <c r="M296" s="80"/>
      <c r="N296" s="80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9.5" customHeight="1">
      <c r="A297" s="7" t="str">
        <f ca="1">IFERROR(__xludf.DUMMYFUNCTION("""COMPUTED_VALUE"""),"ti-ing-3cdcb0f1-80b5-404a-bd02-ab8158926f5b")</f>
        <v>ti-ing-3cdcb0f1-80b5-404a-bd02-ab8158926f5b</v>
      </c>
      <c r="B297" s="7" t="str">
        <f ca="1">IFERROR(__xludf.DUMMYFUNCTION("""COMPUTED_VALUE"""),"Te Verde hoja (kg)")</f>
        <v>Te Verde hoja (kg)</v>
      </c>
      <c r="C297" s="7">
        <v>188</v>
      </c>
      <c r="D297" s="52">
        <f ca="1">IFERROR(__xludf.DUMMYFUNCTION("""COMPUTED_VALUE"""),59.9)</f>
        <v>59.9</v>
      </c>
      <c r="E297" s="7" t="str">
        <f ca="1">IFERROR(__xludf.DUMMYFUNCTION("""COMPUTED_VALUE"""),"UN")</f>
        <v>UN</v>
      </c>
      <c r="F297" s="7" t="str">
        <f ca="1">IFERROR(__xludf.DUMMYFUNCTION("""COMPUTED_VALUE"""),"Té")</f>
        <v>Té</v>
      </c>
      <c r="G297" s="49">
        <f t="shared" ca="1" si="3"/>
        <v>11261.199999999999</v>
      </c>
      <c r="H297" s="49">
        <f t="shared" ca="1" si="4"/>
        <v>2139.6279999999997</v>
      </c>
      <c r="I297" s="49">
        <f t="shared" ca="1" si="5"/>
        <v>13400.827999999998</v>
      </c>
      <c r="J297" s="156"/>
      <c r="K297" s="4"/>
      <c r="L297" s="4"/>
      <c r="M297" s="80"/>
      <c r="N297" s="80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9.5" customHeight="1">
      <c r="A298" s="7"/>
      <c r="B298" s="7"/>
      <c r="C298" s="7"/>
      <c r="D298" s="96"/>
      <c r="E298" s="7"/>
      <c r="F298" s="7"/>
      <c r="G298" s="49">
        <f t="shared" si="3"/>
        <v>0</v>
      </c>
      <c r="H298" s="49">
        <f t="shared" si="4"/>
        <v>0</v>
      </c>
      <c r="I298" s="49">
        <f t="shared" si="5"/>
        <v>0</v>
      </c>
      <c r="J298" s="156"/>
      <c r="K298" s="4"/>
      <c r="L298" s="4"/>
      <c r="M298" s="80"/>
      <c r="N298" s="80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9.5" customHeight="1">
      <c r="A299" s="7"/>
      <c r="B299" s="7"/>
      <c r="C299" s="7"/>
      <c r="D299" s="96"/>
      <c r="E299" s="7"/>
      <c r="F299" s="7"/>
      <c r="G299" s="49">
        <f t="shared" si="3"/>
        <v>0</v>
      </c>
      <c r="H299" s="49">
        <f t="shared" si="4"/>
        <v>0</v>
      </c>
      <c r="I299" s="49">
        <f t="shared" si="5"/>
        <v>0</v>
      </c>
      <c r="J299" s="156"/>
      <c r="K299" s="4"/>
      <c r="L299" s="4"/>
      <c r="M299" s="80"/>
      <c r="N299" s="80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9.5" customHeight="1">
      <c r="A300" s="7"/>
      <c r="B300" s="7"/>
      <c r="C300" s="7"/>
      <c r="D300" s="96"/>
      <c r="E300" s="7"/>
      <c r="F300" s="7"/>
      <c r="G300" s="49">
        <f t="shared" si="3"/>
        <v>0</v>
      </c>
      <c r="H300" s="49">
        <f t="shared" si="4"/>
        <v>0</v>
      </c>
      <c r="I300" s="49">
        <f t="shared" si="5"/>
        <v>0</v>
      </c>
      <c r="J300" s="156"/>
      <c r="K300" s="4"/>
      <c r="L300" s="4"/>
      <c r="M300" s="80"/>
      <c r="N300" s="80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9.5" customHeight="1">
      <c r="A301" s="7"/>
      <c r="B301" s="7"/>
      <c r="C301" s="7"/>
      <c r="D301" s="96"/>
      <c r="E301" s="7"/>
      <c r="F301" s="7"/>
      <c r="G301" s="49">
        <f t="shared" si="3"/>
        <v>0</v>
      </c>
      <c r="H301" s="49">
        <f t="shared" si="4"/>
        <v>0</v>
      </c>
      <c r="I301" s="49">
        <f t="shared" si="5"/>
        <v>0</v>
      </c>
      <c r="K301" s="4"/>
      <c r="L301" s="4"/>
      <c r="M301" s="80"/>
      <c r="N301" s="80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>
      <c r="A302" s="7"/>
      <c r="B302" s="7"/>
      <c r="C302" s="7"/>
      <c r="D302" s="7"/>
      <c r="E302" s="7"/>
      <c r="F302" s="7"/>
      <c r="G302" s="49">
        <f t="shared" si="3"/>
        <v>0</v>
      </c>
      <c r="H302" s="49">
        <f t="shared" si="4"/>
        <v>0</v>
      </c>
      <c r="I302" s="49">
        <f t="shared" si="5"/>
        <v>0</v>
      </c>
      <c r="J302" s="4"/>
      <c r="K302" s="4"/>
      <c r="L302" s="4"/>
      <c r="M302" s="80"/>
      <c r="N302" s="80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>
      <c r="A303" s="7"/>
      <c r="B303" s="7"/>
      <c r="C303" s="7"/>
      <c r="D303" s="7"/>
      <c r="E303" s="7"/>
      <c r="F303" s="7"/>
      <c r="G303" s="49">
        <f t="shared" si="3"/>
        <v>0</v>
      </c>
      <c r="H303" s="49">
        <f t="shared" si="4"/>
        <v>0</v>
      </c>
      <c r="I303" s="49">
        <f t="shared" si="5"/>
        <v>0</v>
      </c>
      <c r="J303" s="4"/>
      <c r="K303" s="4"/>
      <c r="L303" s="4"/>
      <c r="M303" s="80"/>
      <c r="N303" s="80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>
      <c r="A304" s="7"/>
      <c r="B304" s="7"/>
      <c r="C304" s="7"/>
      <c r="D304" s="7"/>
      <c r="E304" s="7"/>
      <c r="F304" s="7"/>
      <c r="G304" s="49">
        <f t="shared" si="3"/>
        <v>0</v>
      </c>
      <c r="H304" s="49">
        <f t="shared" si="4"/>
        <v>0</v>
      </c>
      <c r="I304" s="49">
        <f t="shared" si="5"/>
        <v>0</v>
      </c>
      <c r="J304" s="4"/>
      <c r="K304" s="4"/>
      <c r="L304" s="4"/>
      <c r="M304" s="80"/>
      <c r="N304" s="80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>
      <c r="A305" s="7"/>
      <c r="B305" s="7"/>
      <c r="C305" s="7"/>
      <c r="D305" s="7"/>
      <c r="E305" s="7"/>
      <c r="F305" s="7"/>
      <c r="G305" s="49">
        <f t="shared" si="3"/>
        <v>0</v>
      </c>
      <c r="H305" s="49">
        <f t="shared" si="4"/>
        <v>0</v>
      </c>
      <c r="I305" s="49">
        <f t="shared" si="5"/>
        <v>0</v>
      </c>
      <c r="J305" s="4"/>
      <c r="K305" s="4"/>
      <c r="L305" s="4"/>
      <c r="M305" s="80"/>
      <c r="N305" s="80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>
      <c r="A306" s="7"/>
      <c r="B306" s="7"/>
      <c r="C306" s="7"/>
      <c r="D306" s="7"/>
      <c r="E306" s="7"/>
      <c r="F306" s="7"/>
      <c r="G306" s="49">
        <f t="shared" si="3"/>
        <v>0</v>
      </c>
      <c r="H306" s="49">
        <f t="shared" si="4"/>
        <v>0</v>
      </c>
      <c r="I306" s="49">
        <f t="shared" si="5"/>
        <v>0</v>
      </c>
      <c r="J306" s="155"/>
      <c r="K306" s="4"/>
      <c r="L306" s="4"/>
      <c r="M306" s="80"/>
      <c r="N306" s="80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>
      <c r="A307" s="7"/>
      <c r="B307" s="7"/>
      <c r="C307" s="7"/>
      <c r="D307" s="7"/>
      <c r="E307" s="7"/>
      <c r="F307" s="7"/>
      <c r="G307" s="49">
        <f t="shared" si="3"/>
        <v>0</v>
      </c>
      <c r="H307" s="49">
        <f t="shared" si="4"/>
        <v>0</v>
      </c>
      <c r="I307" s="49">
        <f t="shared" si="5"/>
        <v>0</v>
      </c>
      <c r="J307" s="4"/>
      <c r="K307" s="4"/>
      <c r="L307" s="4"/>
      <c r="M307" s="80"/>
      <c r="N307" s="80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>
      <c r="A308" s="7"/>
      <c r="B308" s="7"/>
      <c r="C308" s="7"/>
      <c r="D308" s="7"/>
      <c r="E308" s="7"/>
      <c r="F308" s="7"/>
      <c r="G308" s="49">
        <f t="shared" si="3"/>
        <v>0</v>
      </c>
      <c r="H308" s="49">
        <f t="shared" si="4"/>
        <v>0</v>
      </c>
      <c r="I308" s="49">
        <f t="shared" si="5"/>
        <v>0</v>
      </c>
      <c r="J308" s="4"/>
      <c r="K308" s="4"/>
      <c r="L308" s="4"/>
      <c r="M308" s="80"/>
      <c r="N308" s="80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>
      <c r="A309" s="7"/>
      <c r="B309" s="7"/>
      <c r="C309" s="7"/>
      <c r="D309" s="7"/>
      <c r="E309" s="7"/>
      <c r="F309" s="7"/>
      <c r="G309" s="49">
        <f t="shared" si="3"/>
        <v>0</v>
      </c>
      <c r="H309" s="49">
        <f t="shared" si="4"/>
        <v>0</v>
      </c>
      <c r="I309" s="49">
        <f t="shared" si="5"/>
        <v>0</v>
      </c>
      <c r="J309" s="4"/>
      <c r="K309" s="4"/>
      <c r="L309" s="4"/>
      <c r="M309" s="80"/>
      <c r="N309" s="80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>
      <c r="A310" s="7"/>
      <c r="B310" s="7"/>
      <c r="C310" s="7"/>
      <c r="D310" s="7"/>
      <c r="E310" s="7"/>
      <c r="F310" s="7"/>
      <c r="G310" s="49">
        <f t="shared" si="3"/>
        <v>0</v>
      </c>
      <c r="H310" s="49">
        <f t="shared" si="4"/>
        <v>0</v>
      </c>
      <c r="I310" s="49">
        <f t="shared" si="5"/>
        <v>0</v>
      </c>
      <c r="J310" s="4"/>
      <c r="K310" s="4"/>
      <c r="L310" s="4"/>
      <c r="M310" s="80"/>
      <c r="N310" s="80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>
      <c r="A311" s="7"/>
      <c r="B311" s="7"/>
      <c r="C311" s="7"/>
      <c r="D311" s="7"/>
      <c r="E311" s="7"/>
      <c r="F311" s="7"/>
      <c r="G311" s="49">
        <f t="shared" si="3"/>
        <v>0</v>
      </c>
      <c r="H311" s="49">
        <f t="shared" si="4"/>
        <v>0</v>
      </c>
      <c r="I311" s="49">
        <f t="shared" si="5"/>
        <v>0</v>
      </c>
      <c r="J311" s="4"/>
      <c r="K311" s="4"/>
      <c r="L311" s="4"/>
      <c r="M311" s="80"/>
      <c r="N311" s="80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>
      <c r="A312" s="7"/>
      <c r="B312" s="7"/>
      <c r="C312" s="7"/>
      <c r="D312" s="7"/>
      <c r="E312" s="7"/>
      <c r="F312" s="7"/>
      <c r="G312" s="106">
        <f ca="1">SUM(G3:G311)</f>
        <v>1521512.1060702901</v>
      </c>
      <c r="H312" s="7"/>
      <c r="I312" s="106">
        <f ca="1">SUM(I3:I311)</f>
        <v>1810599.4062236459</v>
      </c>
      <c r="J312" s="4"/>
      <c r="K312" s="4"/>
      <c r="L312" s="4"/>
      <c r="M312" s="80"/>
      <c r="N312" s="80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80"/>
      <c r="N313" s="80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80"/>
      <c r="N314" s="80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80"/>
      <c r="N315" s="80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80"/>
      <c r="N316" s="80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80"/>
      <c r="N317" s="80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80"/>
      <c r="N318" s="80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80"/>
      <c r="N319" s="80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80"/>
      <c r="N320" s="80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80"/>
      <c r="N321" s="80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80"/>
      <c r="N322" s="80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80"/>
      <c r="N323" s="80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80"/>
      <c r="N324" s="80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80"/>
      <c r="N325" s="80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80"/>
      <c r="N326" s="80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80"/>
      <c r="N327" s="80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80"/>
      <c r="N328" s="80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80"/>
      <c r="N329" s="80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80"/>
      <c r="N330" s="80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80"/>
      <c r="N331" s="80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80"/>
      <c r="N332" s="80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80"/>
      <c r="N333" s="80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80"/>
      <c r="N334" s="80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80"/>
      <c r="N335" s="80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80"/>
      <c r="N336" s="80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80"/>
      <c r="N337" s="80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80"/>
      <c r="N338" s="80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80"/>
      <c r="N339" s="80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80"/>
      <c r="N340" s="80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80"/>
      <c r="N341" s="80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80"/>
      <c r="N342" s="80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80"/>
      <c r="N343" s="80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80"/>
      <c r="N344" s="80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80"/>
      <c r="N345" s="80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80"/>
      <c r="N346" s="80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80"/>
      <c r="N347" s="80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80"/>
      <c r="N348" s="80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80"/>
      <c r="N349" s="80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80"/>
      <c r="N350" s="80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80"/>
      <c r="N351" s="80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80"/>
      <c r="N352" s="80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80"/>
      <c r="N353" s="80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80"/>
      <c r="N354" s="80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80"/>
      <c r="N355" s="80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80"/>
      <c r="N356" s="80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80"/>
      <c r="N357" s="80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80"/>
      <c r="N358" s="80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80"/>
      <c r="N359" s="80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80"/>
      <c r="N360" s="80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80"/>
      <c r="N361" s="80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80"/>
      <c r="N362" s="80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80"/>
      <c r="N363" s="80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80"/>
      <c r="N364" s="80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80"/>
      <c r="N365" s="80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80"/>
      <c r="N366" s="80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80"/>
      <c r="N367" s="80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80"/>
      <c r="N368" s="80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80"/>
      <c r="N369" s="80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80"/>
      <c r="N370" s="80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80"/>
      <c r="N371" s="80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80"/>
      <c r="N372" s="80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80"/>
      <c r="N373" s="80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80"/>
      <c r="N374" s="80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80"/>
      <c r="N375" s="80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80"/>
      <c r="N376" s="80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80"/>
      <c r="N377" s="80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80"/>
      <c r="N378" s="80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80"/>
      <c r="N379" s="80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80"/>
      <c r="N380" s="80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80"/>
      <c r="N381" s="80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80"/>
      <c r="N382" s="80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80"/>
      <c r="N383" s="80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80"/>
      <c r="N384" s="80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80"/>
      <c r="N385" s="80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80"/>
      <c r="N386" s="80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80"/>
      <c r="N387" s="80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80"/>
      <c r="N388" s="80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80"/>
      <c r="N389" s="80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80"/>
      <c r="N390" s="80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80"/>
      <c r="N391" s="80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80"/>
      <c r="N392" s="80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80"/>
      <c r="N393" s="80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80"/>
      <c r="N394" s="80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80"/>
      <c r="N395" s="80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80"/>
      <c r="N396" s="80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80"/>
      <c r="N397" s="80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80"/>
      <c r="N398" s="80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80"/>
      <c r="N399" s="80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80"/>
      <c r="N400" s="80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80"/>
      <c r="N401" s="80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80"/>
      <c r="N402" s="80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80"/>
      <c r="N403" s="80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80"/>
      <c r="N404" s="80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80"/>
      <c r="N405" s="80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80"/>
      <c r="N406" s="80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80"/>
      <c r="N407" s="80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80"/>
      <c r="N408" s="80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80"/>
      <c r="N409" s="80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>
      <c r="A410" s="4"/>
      <c r="B410" s="4"/>
      <c r="C410" s="4"/>
      <c r="D410" s="4"/>
      <c r="E410" s="4"/>
      <c r="F410" s="4"/>
      <c r="G410" s="4"/>
      <c r="H410" s="4"/>
      <c r="I410" s="4"/>
      <c r="J410" s="83"/>
      <c r="K410" s="4"/>
      <c r="L410" s="4"/>
      <c r="M410" s="80"/>
      <c r="N410" s="80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>
      <c r="A411" s="4"/>
      <c r="B411" s="4"/>
      <c r="C411" s="4"/>
      <c r="D411" s="4"/>
      <c r="E411" s="4"/>
      <c r="F411" s="4"/>
      <c r="G411" s="4"/>
      <c r="H411" s="4"/>
      <c r="I411" s="4"/>
      <c r="J411" s="7"/>
      <c r="K411" s="4"/>
      <c r="L411" s="4"/>
      <c r="M411" s="80"/>
      <c r="N411" s="80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>
      <c r="A412" s="4"/>
      <c r="B412" s="4"/>
      <c r="C412" s="4"/>
      <c r="D412" s="4"/>
      <c r="E412" s="4"/>
      <c r="F412" s="4"/>
      <c r="G412" s="4"/>
      <c r="H412" s="4"/>
      <c r="I412" s="4"/>
      <c r="J412" s="7"/>
      <c r="K412" s="4"/>
      <c r="L412" s="4"/>
      <c r="M412" s="80"/>
      <c r="N412" s="80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>
      <c r="A413" s="4"/>
      <c r="B413" s="4"/>
      <c r="C413" s="4"/>
      <c r="D413" s="4"/>
      <c r="E413" s="4"/>
      <c r="F413" s="4"/>
      <c r="G413" s="4"/>
      <c r="H413" s="4"/>
      <c r="I413" s="4"/>
      <c r="J413" s="7"/>
      <c r="K413" s="4"/>
      <c r="L413" s="4"/>
      <c r="M413" s="80"/>
      <c r="N413" s="80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>
      <c r="A414" s="4"/>
      <c r="B414" s="4"/>
      <c r="C414" s="4"/>
      <c r="D414" s="4"/>
      <c r="E414" s="4"/>
      <c r="F414" s="4"/>
      <c r="G414" s="4"/>
      <c r="H414" s="4"/>
      <c r="I414" s="4"/>
      <c r="J414" s="7"/>
      <c r="K414" s="4"/>
      <c r="L414" s="4"/>
      <c r="M414" s="80"/>
      <c r="N414" s="80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>
      <c r="A415" s="4"/>
      <c r="B415" s="4"/>
      <c r="C415" s="4"/>
      <c r="D415" s="4"/>
      <c r="E415" s="4"/>
      <c r="F415" s="4"/>
      <c r="G415" s="4"/>
      <c r="H415" s="4"/>
      <c r="I415" s="4"/>
      <c r="J415" s="7"/>
      <c r="K415" s="4"/>
      <c r="L415" s="4"/>
      <c r="M415" s="80"/>
      <c r="N415" s="80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>
      <c r="A416" s="4"/>
      <c r="B416" s="4"/>
      <c r="C416" s="4"/>
      <c r="D416" s="4"/>
      <c r="E416" s="4"/>
      <c r="F416" s="4"/>
      <c r="G416" s="4"/>
      <c r="H416" s="4"/>
      <c r="I416" s="4"/>
      <c r="J416" s="7"/>
      <c r="K416" s="4"/>
      <c r="L416" s="4"/>
      <c r="M416" s="80"/>
      <c r="N416" s="80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>
      <c r="A417" s="4"/>
      <c r="B417" s="4"/>
      <c r="C417" s="4"/>
      <c r="D417" s="4"/>
      <c r="E417" s="4"/>
      <c r="F417" s="4"/>
      <c r="G417" s="4"/>
      <c r="H417" s="4"/>
      <c r="I417" s="4"/>
      <c r="J417" s="7"/>
      <c r="K417" s="4"/>
      <c r="L417" s="4"/>
      <c r="M417" s="80"/>
      <c r="N417" s="80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>
      <c r="A418" s="4"/>
      <c r="B418" s="4"/>
      <c r="C418" s="4"/>
      <c r="D418" s="4"/>
      <c r="E418" s="4"/>
      <c r="F418" s="4"/>
      <c r="G418" s="4"/>
      <c r="H418" s="4"/>
      <c r="I418" s="4"/>
      <c r="J418" s="7"/>
      <c r="K418" s="4"/>
      <c r="L418" s="4"/>
      <c r="M418" s="80"/>
      <c r="N418" s="80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>
      <c r="A419" s="4"/>
      <c r="B419" s="4"/>
      <c r="C419" s="4"/>
      <c r="D419" s="4"/>
      <c r="E419" s="4"/>
      <c r="F419" s="4"/>
      <c r="G419" s="4"/>
      <c r="H419" s="4"/>
      <c r="I419" s="4"/>
      <c r="J419" s="7"/>
      <c r="K419" s="4"/>
      <c r="L419" s="4"/>
      <c r="M419" s="80"/>
      <c r="N419" s="80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>
      <c r="A420" s="4"/>
      <c r="B420" s="4"/>
      <c r="C420" s="4"/>
      <c r="D420" s="4"/>
      <c r="E420" s="4"/>
      <c r="F420" s="4"/>
      <c r="G420" s="4"/>
      <c r="H420" s="4"/>
      <c r="I420" s="4"/>
      <c r="J420" s="7"/>
      <c r="K420" s="4"/>
      <c r="L420" s="4"/>
      <c r="M420" s="80"/>
      <c r="N420" s="80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>
      <c r="A421" s="4"/>
      <c r="B421" s="4"/>
      <c r="C421" s="4"/>
      <c r="D421" s="4"/>
      <c r="E421" s="4"/>
      <c r="F421" s="4"/>
      <c r="G421" s="4"/>
      <c r="H421" s="4"/>
      <c r="I421" s="4"/>
      <c r="J421" s="7"/>
      <c r="K421" s="4"/>
      <c r="L421" s="4"/>
      <c r="M421" s="80"/>
      <c r="N421" s="80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>
      <c r="A422" s="4"/>
      <c r="B422" s="4"/>
      <c r="C422" s="4"/>
      <c r="D422" s="4"/>
      <c r="E422" s="4"/>
      <c r="F422" s="4"/>
      <c r="G422" s="4"/>
      <c r="H422" s="4"/>
      <c r="I422" s="4"/>
      <c r="J422" s="7"/>
      <c r="K422" s="4"/>
      <c r="L422" s="4"/>
      <c r="M422" s="80"/>
      <c r="N422" s="80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>
      <c r="A423" s="4"/>
      <c r="B423" s="4"/>
      <c r="C423" s="4"/>
      <c r="D423" s="4"/>
      <c r="E423" s="4"/>
      <c r="F423" s="4"/>
      <c r="G423" s="4"/>
      <c r="H423" s="4"/>
      <c r="I423" s="4"/>
      <c r="J423" s="7"/>
      <c r="K423" s="4"/>
      <c r="L423" s="4"/>
      <c r="M423" s="80"/>
      <c r="N423" s="80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>
      <c r="A424" s="4"/>
      <c r="B424" s="4"/>
      <c r="C424" s="4"/>
      <c r="D424" s="4"/>
      <c r="E424" s="4"/>
      <c r="F424" s="4"/>
      <c r="G424" s="4"/>
      <c r="H424" s="4"/>
      <c r="I424" s="4"/>
      <c r="J424" s="7"/>
      <c r="K424" s="4"/>
      <c r="L424" s="4"/>
      <c r="M424" s="80"/>
      <c r="N424" s="80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>
      <c r="A425" s="4"/>
      <c r="B425" s="4"/>
      <c r="C425" s="4"/>
      <c r="D425" s="4"/>
      <c r="E425" s="4"/>
      <c r="F425" s="4"/>
      <c r="G425" s="4"/>
      <c r="H425" s="4"/>
      <c r="I425" s="4"/>
      <c r="J425" s="7"/>
      <c r="K425" s="4"/>
      <c r="L425" s="4"/>
      <c r="M425" s="80"/>
      <c r="N425" s="80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>
      <c r="A426" s="4"/>
      <c r="B426" s="4"/>
      <c r="C426" s="4"/>
      <c r="D426" s="4"/>
      <c r="E426" s="4"/>
      <c r="F426" s="4"/>
      <c r="G426" s="4"/>
      <c r="H426" s="4"/>
      <c r="I426" s="4"/>
      <c r="J426" s="7"/>
      <c r="K426" s="4"/>
      <c r="L426" s="4"/>
      <c r="M426" s="80"/>
      <c r="N426" s="80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>
      <c r="A427" s="4"/>
      <c r="B427" s="4"/>
      <c r="C427" s="4"/>
      <c r="D427" s="4"/>
      <c r="E427" s="4"/>
      <c r="F427" s="4"/>
      <c r="G427" s="4"/>
      <c r="H427" s="4"/>
      <c r="I427" s="4"/>
      <c r="J427" s="7"/>
      <c r="K427" s="4"/>
      <c r="L427" s="4"/>
      <c r="M427" s="80"/>
      <c r="N427" s="80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>
      <c r="A428" s="4"/>
      <c r="B428" s="4"/>
      <c r="C428" s="4"/>
      <c r="D428" s="4"/>
      <c r="E428" s="4"/>
      <c r="F428" s="4"/>
      <c r="G428" s="4"/>
      <c r="H428" s="4"/>
      <c r="I428" s="4"/>
      <c r="J428" s="7"/>
      <c r="K428" s="4"/>
      <c r="L428" s="4"/>
      <c r="M428" s="80"/>
      <c r="N428" s="80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>
      <c r="A429" s="4"/>
      <c r="B429" s="4"/>
      <c r="C429" s="4"/>
      <c r="D429" s="4"/>
      <c r="E429" s="4"/>
      <c r="F429" s="4"/>
      <c r="G429" s="4"/>
      <c r="H429" s="4"/>
      <c r="I429" s="4"/>
      <c r="J429" s="7"/>
      <c r="K429" s="4"/>
      <c r="L429" s="4"/>
      <c r="M429" s="80"/>
      <c r="N429" s="80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>
      <c r="A430" s="4"/>
      <c r="B430" s="4"/>
      <c r="C430" s="4"/>
      <c r="D430" s="4"/>
      <c r="E430" s="4"/>
      <c r="F430" s="4"/>
      <c r="G430" s="4"/>
      <c r="H430" s="4"/>
      <c r="I430" s="4"/>
      <c r="J430" s="7"/>
      <c r="K430" s="4"/>
      <c r="L430" s="4"/>
      <c r="M430" s="80"/>
      <c r="N430" s="80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>
      <c r="A431" s="4"/>
      <c r="B431" s="4"/>
      <c r="C431" s="4"/>
      <c r="D431" s="4"/>
      <c r="E431" s="4"/>
      <c r="F431" s="4"/>
      <c r="G431" s="4"/>
      <c r="H431" s="4"/>
      <c r="I431" s="4"/>
      <c r="J431" s="7"/>
      <c r="K431" s="4"/>
      <c r="L431" s="4"/>
      <c r="M431" s="80"/>
      <c r="N431" s="80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>
      <c r="A432" s="4"/>
      <c r="B432" s="4"/>
      <c r="C432" s="4"/>
      <c r="D432" s="4"/>
      <c r="E432" s="4"/>
      <c r="F432" s="4"/>
      <c r="G432" s="4"/>
      <c r="H432" s="4"/>
      <c r="I432" s="4"/>
      <c r="J432" s="7"/>
      <c r="K432" s="4"/>
      <c r="L432" s="4"/>
      <c r="M432" s="80"/>
      <c r="N432" s="80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>
      <c r="A433" s="4"/>
      <c r="B433" s="4"/>
      <c r="C433" s="4"/>
      <c r="D433" s="4"/>
      <c r="E433" s="4"/>
      <c r="F433" s="4"/>
      <c r="G433" s="4"/>
      <c r="H433" s="4"/>
      <c r="I433" s="4"/>
      <c r="J433" s="7"/>
      <c r="K433" s="4"/>
      <c r="L433" s="4"/>
      <c r="M433" s="80"/>
      <c r="N433" s="80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>
      <c r="A434" s="4"/>
      <c r="B434" s="4"/>
      <c r="C434" s="4"/>
      <c r="D434" s="4"/>
      <c r="E434" s="4"/>
      <c r="F434" s="4"/>
      <c r="G434" s="4"/>
      <c r="H434" s="4"/>
      <c r="I434" s="4"/>
      <c r="J434" s="7"/>
      <c r="K434" s="4"/>
      <c r="L434" s="4"/>
      <c r="M434" s="80"/>
      <c r="N434" s="80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>
      <c r="A435" s="4"/>
      <c r="B435" s="4"/>
      <c r="C435" s="4"/>
      <c r="D435" s="4"/>
      <c r="E435" s="4"/>
      <c r="F435" s="4"/>
      <c r="G435" s="4"/>
      <c r="H435" s="4"/>
      <c r="I435" s="4"/>
      <c r="J435" s="7"/>
      <c r="K435" s="4"/>
      <c r="L435" s="4"/>
      <c r="M435" s="80"/>
      <c r="N435" s="80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>
      <c r="A436" s="4"/>
      <c r="B436" s="4"/>
      <c r="C436" s="4"/>
      <c r="D436" s="4"/>
      <c r="E436" s="4"/>
      <c r="F436" s="4"/>
      <c r="G436" s="4"/>
      <c r="H436" s="4"/>
      <c r="I436" s="4"/>
      <c r="J436" s="7"/>
      <c r="K436" s="4"/>
      <c r="L436" s="4"/>
      <c r="M436" s="80"/>
      <c r="N436" s="80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>
      <c r="A437" s="4"/>
      <c r="B437" s="4"/>
      <c r="C437" s="4"/>
      <c r="D437" s="4"/>
      <c r="E437" s="4"/>
      <c r="F437" s="4"/>
      <c r="G437" s="4"/>
      <c r="H437" s="4"/>
      <c r="I437" s="4"/>
      <c r="J437" s="7"/>
      <c r="K437" s="4"/>
      <c r="L437" s="4"/>
      <c r="M437" s="80"/>
      <c r="N437" s="80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>
      <c r="A438" s="4"/>
      <c r="B438" s="4"/>
      <c r="C438" s="4"/>
      <c r="D438" s="4"/>
      <c r="E438" s="4"/>
      <c r="F438" s="4"/>
      <c r="G438" s="4"/>
      <c r="H438" s="4"/>
      <c r="I438" s="4"/>
      <c r="J438" s="7"/>
      <c r="K438" s="4"/>
      <c r="L438" s="4"/>
      <c r="M438" s="80"/>
      <c r="N438" s="80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>
      <c r="A439" s="4"/>
      <c r="B439" s="4"/>
      <c r="C439" s="4"/>
      <c r="D439" s="4"/>
      <c r="E439" s="4"/>
      <c r="F439" s="4"/>
      <c r="G439" s="4"/>
      <c r="H439" s="4"/>
      <c r="I439" s="4"/>
      <c r="J439" s="7"/>
      <c r="K439" s="4"/>
      <c r="L439" s="4"/>
      <c r="M439" s="80"/>
      <c r="N439" s="80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>
      <c r="A440" s="4"/>
      <c r="B440" s="4"/>
      <c r="C440" s="4"/>
      <c r="D440" s="4"/>
      <c r="E440" s="4"/>
      <c r="F440" s="4"/>
      <c r="G440" s="4"/>
      <c r="H440" s="4"/>
      <c r="I440" s="4"/>
      <c r="J440" s="7"/>
      <c r="K440" s="4"/>
      <c r="L440" s="4"/>
      <c r="M440" s="80"/>
      <c r="N440" s="80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>
      <c r="A441" s="4"/>
      <c r="B441" s="4"/>
      <c r="C441" s="4"/>
      <c r="D441" s="4"/>
      <c r="E441" s="4"/>
      <c r="F441" s="4"/>
      <c r="G441" s="4"/>
      <c r="H441" s="4"/>
      <c r="I441" s="4"/>
      <c r="J441" s="7"/>
      <c r="K441" s="4"/>
      <c r="L441" s="4"/>
      <c r="M441" s="80"/>
      <c r="N441" s="80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>
      <c r="A442" s="4"/>
      <c r="B442" s="4"/>
      <c r="C442" s="4"/>
      <c r="D442" s="4"/>
      <c r="E442" s="4"/>
      <c r="F442" s="4"/>
      <c r="G442" s="4"/>
      <c r="H442" s="4"/>
      <c r="I442" s="4"/>
      <c r="J442" s="7"/>
      <c r="K442" s="4"/>
      <c r="L442" s="4"/>
      <c r="M442" s="80"/>
      <c r="N442" s="80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>
      <c r="A443" s="4"/>
      <c r="B443" s="4"/>
      <c r="C443" s="4"/>
      <c r="D443" s="4"/>
      <c r="E443" s="4"/>
      <c r="F443" s="4"/>
      <c r="G443" s="4"/>
      <c r="H443" s="4"/>
      <c r="I443" s="4"/>
      <c r="J443" s="7"/>
      <c r="K443" s="4"/>
      <c r="L443" s="4"/>
      <c r="M443" s="80"/>
      <c r="N443" s="80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>
      <c r="A444" s="4"/>
      <c r="B444" s="4"/>
      <c r="C444" s="4"/>
      <c r="D444" s="4"/>
      <c r="E444" s="4"/>
      <c r="F444" s="4"/>
      <c r="G444" s="4"/>
      <c r="H444" s="4"/>
      <c r="I444" s="4"/>
      <c r="J444" s="7"/>
      <c r="K444" s="4"/>
      <c r="L444" s="4"/>
      <c r="M444" s="80"/>
      <c r="N444" s="80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>
      <c r="A445" s="4"/>
      <c r="B445" s="4"/>
      <c r="C445" s="4"/>
      <c r="D445" s="4"/>
      <c r="E445" s="4"/>
      <c r="F445" s="4"/>
      <c r="G445" s="4"/>
      <c r="H445" s="4"/>
      <c r="I445" s="4"/>
      <c r="J445" s="7"/>
      <c r="K445" s="4"/>
      <c r="L445" s="4"/>
      <c r="M445" s="80"/>
      <c r="N445" s="80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>
      <c r="A446" s="4"/>
      <c r="B446" s="4"/>
      <c r="C446" s="4"/>
      <c r="D446" s="4"/>
      <c r="E446" s="4"/>
      <c r="F446" s="4"/>
      <c r="G446" s="4"/>
      <c r="H446" s="4"/>
      <c r="I446" s="4"/>
      <c r="J446" s="7"/>
      <c r="K446" s="4"/>
      <c r="L446" s="4"/>
      <c r="M446" s="80"/>
      <c r="N446" s="80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>
      <c r="A447" s="4"/>
      <c r="B447" s="4"/>
      <c r="C447" s="4"/>
      <c r="D447" s="4"/>
      <c r="E447" s="4"/>
      <c r="F447" s="4"/>
      <c r="G447" s="4"/>
      <c r="H447" s="4"/>
      <c r="I447" s="4"/>
      <c r="J447" s="7"/>
      <c r="K447" s="4"/>
      <c r="L447" s="4"/>
      <c r="M447" s="80"/>
      <c r="N447" s="80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>
      <c r="A448" s="4"/>
      <c r="B448" s="4"/>
      <c r="C448" s="4"/>
      <c r="D448" s="4"/>
      <c r="E448" s="4"/>
      <c r="F448" s="4"/>
      <c r="G448" s="4"/>
      <c r="H448" s="4"/>
      <c r="I448" s="4"/>
      <c r="J448" s="7"/>
      <c r="K448" s="4"/>
      <c r="L448" s="4"/>
      <c r="M448" s="80"/>
      <c r="N448" s="80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>
      <c r="A449" s="4"/>
      <c r="B449" s="4"/>
      <c r="C449" s="4"/>
      <c r="D449" s="4"/>
      <c r="E449" s="4"/>
      <c r="F449" s="4"/>
      <c r="G449" s="4"/>
      <c r="H449" s="4"/>
      <c r="I449" s="4"/>
      <c r="J449" s="7"/>
      <c r="K449" s="4"/>
      <c r="L449" s="4"/>
      <c r="M449" s="80"/>
      <c r="N449" s="80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>
      <c r="A450" s="4"/>
      <c r="B450" s="4"/>
      <c r="C450" s="4"/>
      <c r="D450" s="4"/>
      <c r="E450" s="4"/>
      <c r="F450" s="4"/>
      <c r="G450" s="4"/>
      <c r="H450" s="4"/>
      <c r="I450" s="4"/>
      <c r="J450" s="7"/>
      <c r="K450" s="4"/>
      <c r="L450" s="4"/>
      <c r="M450" s="80"/>
      <c r="N450" s="80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>
      <c r="A451" s="4"/>
      <c r="B451" s="4"/>
      <c r="C451" s="4"/>
      <c r="D451" s="4"/>
      <c r="E451" s="4"/>
      <c r="F451" s="4"/>
      <c r="G451" s="4"/>
      <c r="H451" s="4"/>
      <c r="I451" s="4"/>
      <c r="J451" s="7"/>
      <c r="K451" s="4"/>
      <c r="L451" s="4"/>
      <c r="M451" s="80"/>
      <c r="N451" s="80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>
      <c r="A452" s="4"/>
      <c r="B452" s="4"/>
      <c r="C452" s="4"/>
      <c r="D452" s="4"/>
      <c r="E452" s="4"/>
      <c r="F452" s="4"/>
      <c r="G452" s="4"/>
      <c r="H452" s="4"/>
      <c r="I452" s="4"/>
      <c r="J452" s="7"/>
      <c r="K452" s="4"/>
      <c r="L452" s="4"/>
      <c r="M452" s="80"/>
      <c r="N452" s="80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>
      <c r="A453" s="4"/>
      <c r="B453" s="4"/>
      <c r="C453" s="4"/>
      <c r="D453" s="4"/>
      <c r="E453" s="4"/>
      <c r="F453" s="4"/>
      <c r="G453" s="4"/>
      <c r="H453" s="4"/>
      <c r="I453" s="4"/>
      <c r="J453" s="7"/>
      <c r="K453" s="4"/>
      <c r="L453" s="4"/>
      <c r="M453" s="80"/>
      <c r="N453" s="80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>
      <c r="A454" s="4"/>
      <c r="B454" s="4"/>
      <c r="C454" s="4"/>
      <c r="D454" s="4"/>
      <c r="E454" s="4"/>
      <c r="F454" s="4"/>
      <c r="G454" s="4"/>
      <c r="H454" s="4"/>
      <c r="I454" s="4"/>
      <c r="J454" s="7"/>
      <c r="K454" s="4"/>
      <c r="L454" s="4"/>
      <c r="M454" s="80"/>
      <c r="N454" s="80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>
      <c r="A455" s="4"/>
      <c r="B455" s="4"/>
      <c r="C455" s="4"/>
      <c r="D455" s="4"/>
      <c r="E455" s="4"/>
      <c r="F455" s="4"/>
      <c r="G455" s="4"/>
      <c r="H455" s="4"/>
      <c r="I455" s="4"/>
      <c r="J455" s="7"/>
      <c r="K455" s="4"/>
      <c r="L455" s="4"/>
      <c r="M455" s="80"/>
      <c r="N455" s="80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>
      <c r="A456" s="4"/>
      <c r="B456" s="4"/>
      <c r="C456" s="4"/>
      <c r="D456" s="4"/>
      <c r="E456" s="4"/>
      <c r="F456" s="4"/>
      <c r="G456" s="4"/>
      <c r="H456" s="4"/>
      <c r="I456" s="4"/>
      <c r="J456" s="7"/>
      <c r="K456" s="4"/>
      <c r="L456" s="4"/>
      <c r="M456" s="80"/>
      <c r="N456" s="80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>
      <c r="A457" s="4"/>
      <c r="B457" s="4"/>
      <c r="C457" s="4"/>
      <c r="D457" s="4"/>
      <c r="E457" s="4"/>
      <c r="F457" s="4"/>
      <c r="G457" s="4"/>
      <c r="H457" s="4"/>
      <c r="I457" s="4"/>
      <c r="J457" s="7"/>
      <c r="K457" s="4"/>
      <c r="L457" s="4"/>
      <c r="M457" s="80"/>
      <c r="N457" s="80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>
      <c r="A458" s="4"/>
      <c r="B458" s="4"/>
      <c r="C458" s="4"/>
      <c r="D458" s="4"/>
      <c r="E458" s="4"/>
      <c r="F458" s="4"/>
      <c r="G458" s="4"/>
      <c r="H458" s="4"/>
      <c r="I458" s="4"/>
      <c r="J458" s="7"/>
      <c r="K458" s="4"/>
      <c r="L458" s="4"/>
      <c r="M458" s="80"/>
      <c r="N458" s="80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>
      <c r="A459" s="4"/>
      <c r="B459" s="4"/>
      <c r="C459" s="4"/>
      <c r="D459" s="4"/>
      <c r="E459" s="4"/>
      <c r="F459" s="4"/>
      <c r="G459" s="4"/>
      <c r="H459" s="4"/>
      <c r="I459" s="4"/>
      <c r="J459" s="7"/>
      <c r="K459" s="4"/>
      <c r="L459" s="4"/>
      <c r="M459" s="80"/>
      <c r="N459" s="80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>
      <c r="A460" s="4"/>
      <c r="B460" s="4"/>
      <c r="C460" s="4"/>
      <c r="D460" s="4"/>
      <c r="E460" s="4"/>
      <c r="F460" s="4"/>
      <c r="G460" s="4"/>
      <c r="H460" s="4"/>
      <c r="I460" s="4"/>
      <c r="J460" s="7"/>
      <c r="K460" s="4"/>
      <c r="L460" s="4"/>
      <c r="M460" s="80"/>
      <c r="N460" s="80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>
      <c r="A461" s="4"/>
      <c r="B461" s="4"/>
      <c r="C461" s="4"/>
      <c r="D461" s="4"/>
      <c r="E461" s="4"/>
      <c r="F461" s="4"/>
      <c r="G461" s="4"/>
      <c r="H461" s="4"/>
      <c r="I461" s="4"/>
      <c r="J461" s="7"/>
      <c r="K461" s="4"/>
      <c r="L461" s="4"/>
      <c r="M461" s="80"/>
      <c r="N461" s="80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>
      <c r="A462" s="4"/>
      <c r="B462" s="4"/>
      <c r="C462" s="4"/>
      <c r="D462" s="4"/>
      <c r="E462" s="4"/>
      <c r="F462" s="4"/>
      <c r="G462" s="4"/>
      <c r="H462" s="4"/>
      <c r="I462" s="4"/>
      <c r="J462" s="7"/>
      <c r="K462" s="4"/>
      <c r="L462" s="4"/>
      <c r="M462" s="80"/>
      <c r="N462" s="80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>
      <c r="A463" s="4"/>
      <c r="B463" s="4"/>
      <c r="C463" s="4"/>
      <c r="D463" s="4"/>
      <c r="E463" s="4"/>
      <c r="F463" s="4"/>
      <c r="G463" s="4"/>
      <c r="H463" s="4"/>
      <c r="I463" s="4"/>
      <c r="J463" s="7"/>
      <c r="K463" s="4"/>
      <c r="L463" s="4"/>
      <c r="M463" s="80"/>
      <c r="N463" s="80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>
      <c r="A464" s="4"/>
      <c r="B464" s="4"/>
      <c r="C464" s="4"/>
      <c r="D464" s="4"/>
      <c r="E464" s="4"/>
      <c r="F464" s="4"/>
      <c r="G464" s="4"/>
      <c r="H464" s="4"/>
      <c r="I464" s="4"/>
      <c r="J464" s="7"/>
      <c r="K464" s="4"/>
      <c r="L464" s="4"/>
      <c r="M464" s="80"/>
      <c r="N464" s="80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>
      <c r="A465" s="4"/>
      <c r="B465" s="4"/>
      <c r="C465" s="4"/>
      <c r="D465" s="4"/>
      <c r="E465" s="4"/>
      <c r="F465" s="4"/>
      <c r="G465" s="4"/>
      <c r="H465" s="4"/>
      <c r="I465" s="4"/>
      <c r="J465" s="7"/>
      <c r="K465" s="4"/>
      <c r="L465" s="4"/>
      <c r="M465" s="80"/>
      <c r="N465" s="80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>
      <c r="A466" s="4"/>
      <c r="B466" s="4"/>
      <c r="C466" s="4"/>
      <c r="D466" s="4"/>
      <c r="E466" s="4"/>
      <c r="F466" s="4"/>
      <c r="G466" s="4"/>
      <c r="H466" s="4"/>
      <c r="I466" s="4"/>
      <c r="J466" s="7"/>
      <c r="K466" s="4"/>
      <c r="L466" s="4"/>
      <c r="M466" s="80"/>
      <c r="N466" s="80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>
      <c r="A467" s="4"/>
      <c r="B467" s="4"/>
      <c r="C467" s="4"/>
      <c r="D467" s="4"/>
      <c r="E467" s="4"/>
      <c r="F467" s="4"/>
      <c r="G467" s="4"/>
      <c r="H467" s="4"/>
      <c r="I467" s="4"/>
      <c r="J467" s="7"/>
      <c r="K467" s="4"/>
      <c r="L467" s="4"/>
      <c r="M467" s="80"/>
      <c r="N467" s="80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>
      <c r="A468" s="4"/>
      <c r="B468" s="4"/>
      <c r="C468" s="4"/>
      <c r="D468" s="4"/>
      <c r="E468" s="4"/>
      <c r="F468" s="4"/>
      <c r="G468" s="4"/>
      <c r="H468" s="4"/>
      <c r="I468" s="4"/>
      <c r="J468" s="7"/>
      <c r="K468" s="4"/>
      <c r="L468" s="4"/>
      <c r="M468" s="80"/>
      <c r="N468" s="80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>
      <c r="A469" s="4"/>
      <c r="B469" s="4"/>
      <c r="C469" s="4"/>
      <c r="D469" s="4"/>
      <c r="E469" s="4"/>
      <c r="F469" s="4"/>
      <c r="G469" s="4"/>
      <c r="H469" s="4"/>
      <c r="I469" s="4"/>
      <c r="J469" s="7"/>
      <c r="K469" s="4"/>
      <c r="L469" s="4"/>
      <c r="M469" s="80"/>
      <c r="N469" s="80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>
      <c r="A470" s="4"/>
      <c r="B470" s="4"/>
      <c r="C470" s="4"/>
      <c r="D470" s="4"/>
      <c r="E470" s="4"/>
      <c r="F470" s="4"/>
      <c r="G470" s="4"/>
      <c r="H470" s="4"/>
      <c r="I470" s="4"/>
      <c r="J470" s="7"/>
      <c r="K470" s="4"/>
      <c r="L470" s="4"/>
      <c r="M470" s="80"/>
      <c r="N470" s="80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>
      <c r="A471" s="4"/>
      <c r="B471" s="4"/>
      <c r="C471" s="4"/>
      <c r="D471" s="4"/>
      <c r="E471" s="4"/>
      <c r="F471" s="4"/>
      <c r="G471" s="4"/>
      <c r="H471" s="4"/>
      <c r="I471" s="4"/>
      <c r="J471" s="7"/>
      <c r="K471" s="4"/>
      <c r="L471" s="4"/>
      <c r="M471" s="80"/>
      <c r="N471" s="80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>
      <c r="A472" s="4"/>
      <c r="B472" s="4"/>
      <c r="C472" s="4"/>
      <c r="D472" s="4"/>
      <c r="E472" s="4"/>
      <c r="F472" s="4"/>
      <c r="G472" s="4"/>
      <c r="H472" s="4"/>
      <c r="I472" s="4"/>
      <c r="J472" s="7"/>
      <c r="K472" s="4"/>
      <c r="L472" s="4"/>
      <c r="M472" s="80"/>
      <c r="N472" s="80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>
      <c r="A473" s="4"/>
      <c r="B473" s="4"/>
      <c r="C473" s="4"/>
      <c r="D473" s="4"/>
      <c r="E473" s="4"/>
      <c r="F473" s="4"/>
      <c r="G473" s="4"/>
      <c r="H473" s="4"/>
      <c r="I473" s="4"/>
      <c r="J473" s="7"/>
      <c r="K473" s="4"/>
      <c r="L473" s="4"/>
      <c r="M473" s="80"/>
      <c r="N473" s="80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>
      <c r="A474" s="4"/>
      <c r="B474" s="4"/>
      <c r="C474" s="4"/>
      <c r="D474" s="4"/>
      <c r="E474" s="4"/>
      <c r="F474" s="4"/>
      <c r="G474" s="4"/>
      <c r="H474" s="4"/>
      <c r="I474" s="4"/>
      <c r="J474" s="7"/>
      <c r="K474" s="4"/>
      <c r="L474" s="4"/>
      <c r="M474" s="80"/>
      <c r="N474" s="80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>
      <c r="A475" s="4"/>
      <c r="B475" s="4"/>
      <c r="C475" s="4"/>
      <c r="D475" s="4"/>
      <c r="E475" s="4"/>
      <c r="F475" s="4"/>
      <c r="G475" s="4"/>
      <c r="H475" s="4"/>
      <c r="I475" s="4"/>
      <c r="J475" s="7"/>
      <c r="K475" s="4"/>
      <c r="L475" s="4"/>
      <c r="M475" s="80"/>
      <c r="N475" s="80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>
      <c r="A476" s="4"/>
      <c r="B476" s="4"/>
      <c r="C476" s="4"/>
      <c r="D476" s="4"/>
      <c r="E476" s="4"/>
      <c r="F476" s="4"/>
      <c r="G476" s="4"/>
      <c r="H476" s="4"/>
      <c r="I476" s="4"/>
      <c r="J476" s="7"/>
      <c r="K476" s="4"/>
      <c r="L476" s="4"/>
      <c r="M476" s="80"/>
      <c r="N476" s="80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>
      <c r="A477" s="4"/>
      <c r="B477" s="4"/>
      <c r="C477" s="4"/>
      <c r="D477" s="4"/>
      <c r="E477" s="4"/>
      <c r="F477" s="4"/>
      <c r="G477" s="4"/>
      <c r="H477" s="4"/>
      <c r="I477" s="4"/>
      <c r="J477" s="7"/>
      <c r="K477" s="4"/>
      <c r="L477" s="4"/>
      <c r="M477" s="80"/>
      <c r="N477" s="80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>
      <c r="A478" s="4"/>
      <c r="B478" s="4"/>
      <c r="C478" s="4"/>
      <c r="D478" s="4"/>
      <c r="E478" s="4"/>
      <c r="F478" s="4"/>
      <c r="G478" s="4"/>
      <c r="H478" s="4"/>
      <c r="I478" s="4"/>
      <c r="J478" s="7"/>
      <c r="K478" s="4"/>
      <c r="L478" s="4"/>
      <c r="M478" s="80"/>
      <c r="N478" s="80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>
      <c r="A479" s="4"/>
      <c r="B479" s="4"/>
      <c r="C479" s="4"/>
      <c r="D479" s="4"/>
      <c r="E479" s="4"/>
      <c r="F479" s="4"/>
      <c r="G479" s="4"/>
      <c r="H479" s="4"/>
      <c r="I479" s="4"/>
      <c r="J479" s="7"/>
      <c r="K479" s="4"/>
      <c r="L479" s="4"/>
      <c r="M479" s="80"/>
      <c r="N479" s="80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>
      <c r="A480" s="4"/>
      <c r="B480" s="4"/>
      <c r="C480" s="4"/>
      <c r="D480" s="4"/>
      <c r="E480" s="4"/>
      <c r="F480" s="4"/>
      <c r="G480" s="4"/>
      <c r="H480" s="4"/>
      <c r="I480" s="4"/>
      <c r="J480" s="7"/>
      <c r="K480" s="4"/>
      <c r="L480" s="4"/>
      <c r="M480" s="80"/>
      <c r="N480" s="80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>
      <c r="A481" s="4"/>
      <c r="B481" s="4"/>
      <c r="C481" s="4"/>
      <c r="D481" s="4"/>
      <c r="E481" s="4"/>
      <c r="F481" s="4"/>
      <c r="G481" s="4"/>
      <c r="H481" s="4"/>
      <c r="I481" s="4"/>
      <c r="J481" s="7"/>
      <c r="K481" s="4"/>
      <c r="L481" s="4"/>
      <c r="M481" s="80"/>
      <c r="N481" s="80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>
      <c r="A482" s="4"/>
      <c r="B482" s="4"/>
      <c r="C482" s="4"/>
      <c r="D482" s="4"/>
      <c r="E482" s="4"/>
      <c r="F482" s="4"/>
      <c r="G482" s="4"/>
      <c r="H482" s="4"/>
      <c r="I482" s="4"/>
      <c r="J482" s="7"/>
      <c r="K482" s="4"/>
      <c r="L482" s="4"/>
      <c r="M482" s="80"/>
      <c r="N482" s="80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>
      <c r="A483" s="4"/>
      <c r="B483" s="4"/>
      <c r="C483" s="4"/>
      <c r="D483" s="4"/>
      <c r="E483" s="4"/>
      <c r="F483" s="4"/>
      <c r="G483" s="4"/>
      <c r="H483" s="4"/>
      <c r="I483" s="4"/>
      <c r="J483" s="7"/>
      <c r="K483" s="4"/>
      <c r="L483" s="4"/>
      <c r="M483" s="80"/>
      <c r="N483" s="80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>
      <c r="A484" s="4"/>
      <c r="B484" s="4"/>
      <c r="C484" s="4"/>
      <c r="D484" s="4"/>
      <c r="E484" s="4"/>
      <c r="F484" s="4"/>
      <c r="G484" s="4"/>
      <c r="H484" s="4"/>
      <c r="I484" s="4"/>
      <c r="J484" s="7"/>
      <c r="K484" s="4"/>
      <c r="L484" s="4"/>
      <c r="M484" s="80"/>
      <c r="N484" s="80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>
      <c r="A485" s="4"/>
      <c r="B485" s="4"/>
      <c r="C485" s="4"/>
      <c r="D485" s="4"/>
      <c r="E485" s="4"/>
      <c r="F485" s="4"/>
      <c r="G485" s="4"/>
      <c r="H485" s="4"/>
      <c r="I485" s="4"/>
      <c r="J485" s="7"/>
      <c r="K485" s="4"/>
      <c r="L485" s="4"/>
      <c r="M485" s="80"/>
      <c r="N485" s="80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>
      <c r="A486" s="4"/>
      <c r="B486" s="4"/>
      <c r="C486" s="4"/>
      <c r="D486" s="4"/>
      <c r="E486" s="4"/>
      <c r="F486" s="4"/>
      <c r="G486" s="4"/>
      <c r="H486" s="4"/>
      <c r="I486" s="4"/>
      <c r="J486" s="7"/>
      <c r="K486" s="4"/>
      <c r="L486" s="4"/>
      <c r="M486" s="80"/>
      <c r="N486" s="80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>
      <c r="A487" s="4"/>
      <c r="B487" s="4"/>
      <c r="C487" s="4"/>
      <c r="D487" s="4"/>
      <c r="E487" s="4"/>
      <c r="F487" s="4"/>
      <c r="G487" s="4"/>
      <c r="H487" s="4"/>
      <c r="I487" s="4"/>
      <c r="J487" s="7"/>
      <c r="K487" s="4"/>
      <c r="L487" s="4"/>
      <c r="M487" s="80"/>
      <c r="N487" s="80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>
      <c r="A488" s="4"/>
      <c r="B488" s="4"/>
      <c r="C488" s="4"/>
      <c r="D488" s="4"/>
      <c r="E488" s="4"/>
      <c r="F488" s="4"/>
      <c r="G488" s="4"/>
      <c r="H488" s="4"/>
      <c r="I488" s="4"/>
      <c r="J488" s="7"/>
      <c r="K488" s="4"/>
      <c r="L488" s="4"/>
      <c r="M488" s="80"/>
      <c r="N488" s="80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>
      <c r="A489" s="4"/>
      <c r="B489" s="4"/>
      <c r="C489" s="4"/>
      <c r="D489" s="4"/>
      <c r="E489" s="4"/>
      <c r="F489" s="4"/>
      <c r="G489" s="4"/>
      <c r="H489" s="4"/>
      <c r="I489" s="4"/>
      <c r="J489" s="7"/>
      <c r="K489" s="4"/>
      <c r="L489" s="4"/>
      <c r="M489" s="80"/>
      <c r="N489" s="80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>
      <c r="A490" s="4"/>
      <c r="B490" s="4"/>
      <c r="C490" s="4"/>
      <c r="D490" s="4"/>
      <c r="E490" s="4"/>
      <c r="F490" s="4"/>
      <c r="G490" s="4"/>
      <c r="H490" s="4"/>
      <c r="I490" s="4"/>
      <c r="J490" s="7"/>
      <c r="K490" s="4"/>
      <c r="L490" s="4"/>
      <c r="M490" s="80"/>
      <c r="N490" s="80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>
      <c r="A491" s="4"/>
      <c r="B491" s="4"/>
      <c r="C491" s="4"/>
      <c r="D491" s="4"/>
      <c r="E491" s="4"/>
      <c r="F491" s="4"/>
      <c r="G491" s="4"/>
      <c r="H491" s="4"/>
      <c r="I491" s="4"/>
      <c r="J491" s="7"/>
      <c r="K491" s="4"/>
      <c r="L491" s="4"/>
      <c r="M491" s="80"/>
      <c r="N491" s="80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>
      <c r="A492" s="4"/>
      <c r="B492" s="4"/>
      <c r="C492" s="4"/>
      <c r="D492" s="4"/>
      <c r="E492" s="4"/>
      <c r="F492" s="4"/>
      <c r="G492" s="4"/>
      <c r="H492" s="4"/>
      <c r="I492" s="4"/>
      <c r="J492" s="7"/>
      <c r="K492" s="4"/>
      <c r="L492" s="4"/>
      <c r="M492" s="80"/>
      <c r="N492" s="80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>
      <c r="A493" s="4"/>
      <c r="B493" s="4"/>
      <c r="C493" s="4"/>
      <c r="D493" s="4"/>
      <c r="E493" s="4"/>
      <c r="F493" s="4"/>
      <c r="G493" s="4"/>
      <c r="H493" s="4"/>
      <c r="I493" s="4"/>
      <c r="J493" s="7"/>
      <c r="K493" s="4"/>
      <c r="L493" s="4"/>
      <c r="M493" s="80"/>
      <c r="N493" s="80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>
      <c r="A494" s="4"/>
      <c r="B494" s="4"/>
      <c r="C494" s="4"/>
      <c r="D494" s="4"/>
      <c r="E494" s="4"/>
      <c r="F494" s="4"/>
      <c r="G494" s="4"/>
      <c r="H494" s="4"/>
      <c r="I494" s="4"/>
      <c r="J494" s="7"/>
      <c r="K494" s="4"/>
      <c r="L494" s="4"/>
      <c r="M494" s="80"/>
      <c r="N494" s="80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>
      <c r="A495" s="4"/>
      <c r="B495" s="4"/>
      <c r="C495" s="4"/>
      <c r="D495" s="4"/>
      <c r="E495" s="4"/>
      <c r="F495" s="4"/>
      <c r="G495" s="4"/>
      <c r="H495" s="4"/>
      <c r="I495" s="4"/>
      <c r="J495" s="7"/>
      <c r="K495" s="4"/>
      <c r="L495" s="4"/>
      <c r="M495" s="80"/>
      <c r="N495" s="80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>
      <c r="A496" s="4"/>
      <c r="B496" s="4"/>
      <c r="C496" s="4"/>
      <c r="D496" s="4"/>
      <c r="E496" s="4"/>
      <c r="F496" s="4"/>
      <c r="G496" s="4"/>
      <c r="H496" s="4"/>
      <c r="I496" s="4"/>
      <c r="J496" s="7"/>
      <c r="K496" s="4"/>
      <c r="L496" s="4"/>
      <c r="M496" s="80"/>
      <c r="N496" s="80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>
      <c r="A497" s="4"/>
      <c r="B497" s="4"/>
      <c r="C497" s="4"/>
      <c r="D497" s="4"/>
      <c r="E497" s="4"/>
      <c r="F497" s="4"/>
      <c r="G497" s="4"/>
      <c r="H497" s="4"/>
      <c r="I497" s="4"/>
      <c r="J497" s="7"/>
      <c r="K497" s="4"/>
      <c r="L497" s="4"/>
      <c r="M497" s="80"/>
      <c r="N497" s="80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>
      <c r="A498" s="4"/>
      <c r="B498" s="4"/>
      <c r="C498" s="4"/>
      <c r="D498" s="4"/>
      <c r="E498" s="4"/>
      <c r="F498" s="4"/>
      <c r="G498" s="4"/>
      <c r="H498" s="4"/>
      <c r="I498" s="4"/>
      <c r="J498" s="7"/>
      <c r="K498" s="4"/>
      <c r="L498" s="4"/>
      <c r="M498" s="80"/>
      <c r="N498" s="80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>
      <c r="A499" s="4"/>
      <c r="B499" s="4"/>
      <c r="C499" s="4"/>
      <c r="D499" s="4"/>
      <c r="E499" s="4"/>
      <c r="F499" s="4"/>
      <c r="G499" s="4"/>
      <c r="H499" s="4"/>
      <c r="I499" s="4"/>
      <c r="J499" s="7"/>
      <c r="K499" s="4"/>
      <c r="L499" s="4"/>
      <c r="M499" s="80"/>
      <c r="N499" s="80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>
      <c r="A500" s="4"/>
      <c r="B500" s="4"/>
      <c r="C500" s="4"/>
      <c r="D500" s="4"/>
      <c r="E500" s="4"/>
      <c r="F500" s="4"/>
      <c r="G500" s="4"/>
      <c r="H500" s="4"/>
      <c r="I500" s="4"/>
      <c r="J500" s="7"/>
      <c r="K500" s="4"/>
      <c r="L500" s="4"/>
      <c r="M500" s="80"/>
      <c r="N500" s="80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>
      <c r="A501" s="4"/>
      <c r="B501" s="4"/>
      <c r="C501" s="4"/>
      <c r="D501" s="4"/>
      <c r="E501" s="4"/>
      <c r="F501" s="4"/>
      <c r="G501" s="4"/>
      <c r="H501" s="4"/>
      <c r="I501" s="4"/>
      <c r="J501" s="7"/>
      <c r="K501" s="4"/>
      <c r="L501" s="4"/>
      <c r="M501" s="80"/>
      <c r="N501" s="80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>
      <c r="A502" s="4"/>
      <c r="B502" s="4"/>
      <c r="C502" s="4"/>
      <c r="D502" s="4"/>
      <c r="E502" s="4"/>
      <c r="F502" s="4"/>
      <c r="G502" s="4"/>
      <c r="H502" s="4"/>
      <c r="I502" s="4"/>
      <c r="J502" s="7"/>
      <c r="K502" s="4"/>
      <c r="L502" s="4"/>
      <c r="M502" s="80"/>
      <c r="N502" s="80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>
      <c r="A503" s="4"/>
      <c r="B503" s="4"/>
      <c r="C503" s="4"/>
      <c r="D503" s="4"/>
      <c r="E503" s="4"/>
      <c r="F503" s="4"/>
      <c r="G503" s="4"/>
      <c r="H503" s="4"/>
      <c r="I503" s="4"/>
      <c r="J503" s="7"/>
      <c r="K503" s="4"/>
      <c r="L503" s="4"/>
      <c r="M503" s="80"/>
      <c r="N503" s="80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>
      <c r="A504" s="4"/>
      <c r="B504" s="4"/>
      <c r="C504" s="4"/>
      <c r="D504" s="4"/>
      <c r="E504" s="4"/>
      <c r="F504" s="4"/>
      <c r="G504" s="4"/>
      <c r="H504" s="4"/>
      <c r="I504" s="4"/>
      <c r="J504" s="7"/>
      <c r="K504" s="4"/>
      <c r="L504" s="4"/>
      <c r="M504" s="80"/>
      <c r="N504" s="80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>
      <c r="A505" s="4"/>
      <c r="B505" s="4"/>
      <c r="C505" s="4"/>
      <c r="D505" s="4"/>
      <c r="E505" s="4"/>
      <c r="F505" s="4"/>
      <c r="G505" s="4"/>
      <c r="H505" s="4"/>
      <c r="I505" s="4"/>
      <c r="J505" s="7"/>
      <c r="K505" s="4"/>
      <c r="L505" s="4"/>
      <c r="M505" s="80"/>
      <c r="N505" s="80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>
      <c r="A506" s="4"/>
      <c r="B506" s="4"/>
      <c r="C506" s="4"/>
      <c r="D506" s="4"/>
      <c r="E506" s="4"/>
      <c r="F506" s="4"/>
      <c r="G506" s="4"/>
      <c r="H506" s="4"/>
      <c r="I506" s="4"/>
      <c r="J506" s="7"/>
      <c r="K506" s="4"/>
      <c r="L506" s="4"/>
      <c r="M506" s="80"/>
      <c r="N506" s="80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>
      <c r="A507" s="4"/>
      <c r="B507" s="4"/>
      <c r="C507" s="4"/>
      <c r="D507" s="4"/>
      <c r="E507" s="4"/>
      <c r="F507" s="4"/>
      <c r="G507" s="4"/>
      <c r="H507" s="4"/>
      <c r="I507" s="4"/>
      <c r="J507" s="7"/>
      <c r="K507" s="4"/>
      <c r="L507" s="4"/>
      <c r="M507" s="80"/>
      <c r="N507" s="80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>
      <c r="A508" s="4"/>
      <c r="B508" s="4"/>
      <c r="C508" s="4"/>
      <c r="D508" s="4"/>
      <c r="E508" s="4"/>
      <c r="F508" s="4"/>
      <c r="G508" s="4"/>
      <c r="H508" s="4"/>
      <c r="I508" s="4"/>
      <c r="J508" s="7"/>
      <c r="K508" s="4"/>
      <c r="L508" s="4"/>
      <c r="M508" s="80"/>
      <c r="N508" s="80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>
      <c r="A509" s="4"/>
      <c r="B509" s="4"/>
      <c r="C509" s="4"/>
      <c r="D509" s="4"/>
      <c r="E509" s="4"/>
      <c r="F509" s="4"/>
      <c r="G509" s="4"/>
      <c r="H509" s="4"/>
      <c r="I509" s="4"/>
      <c r="J509" s="7"/>
      <c r="K509" s="4"/>
      <c r="L509" s="4"/>
      <c r="M509" s="80"/>
      <c r="N509" s="80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>
      <c r="A510" s="4"/>
      <c r="B510" s="4"/>
      <c r="C510" s="4"/>
      <c r="D510" s="4"/>
      <c r="E510" s="4"/>
      <c r="F510" s="4"/>
      <c r="G510" s="4"/>
      <c r="H510" s="4"/>
      <c r="I510" s="4"/>
      <c r="J510" s="7"/>
      <c r="K510" s="4"/>
      <c r="L510" s="4"/>
      <c r="M510" s="80"/>
      <c r="N510" s="80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>
      <c r="A511" s="4"/>
      <c r="B511" s="4"/>
      <c r="C511" s="4"/>
      <c r="D511" s="4"/>
      <c r="E511" s="4"/>
      <c r="F511" s="4"/>
      <c r="G511" s="4"/>
      <c r="H511" s="4"/>
      <c r="I511" s="4"/>
      <c r="J511" s="7"/>
      <c r="K511" s="4"/>
      <c r="L511" s="4"/>
      <c r="M511" s="80"/>
      <c r="N511" s="80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>
      <c r="A512" s="4"/>
      <c r="B512" s="4"/>
      <c r="C512" s="4"/>
      <c r="D512" s="4"/>
      <c r="E512" s="4"/>
      <c r="F512" s="4"/>
      <c r="G512" s="4"/>
      <c r="H512" s="4"/>
      <c r="I512" s="4"/>
      <c r="J512" s="7"/>
      <c r="K512" s="4"/>
      <c r="L512" s="4"/>
      <c r="M512" s="80"/>
      <c r="N512" s="80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>
      <c r="A513" s="4"/>
      <c r="B513" s="4"/>
      <c r="C513" s="4"/>
      <c r="D513" s="4"/>
      <c r="E513" s="4"/>
      <c r="F513" s="4"/>
      <c r="G513" s="4"/>
      <c r="H513" s="4"/>
      <c r="I513" s="4"/>
      <c r="J513" s="7"/>
      <c r="K513" s="4"/>
      <c r="L513" s="4"/>
      <c r="M513" s="80"/>
      <c r="N513" s="80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>
      <c r="A514" s="4"/>
      <c r="B514" s="4"/>
      <c r="C514" s="4"/>
      <c r="D514" s="4"/>
      <c r="E514" s="4"/>
      <c r="F514" s="4"/>
      <c r="G514" s="4"/>
      <c r="H514" s="4"/>
      <c r="I514" s="4"/>
      <c r="J514" s="7"/>
      <c r="K514" s="4"/>
      <c r="L514" s="4"/>
      <c r="M514" s="80"/>
      <c r="N514" s="80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>
      <c r="A515" s="4"/>
      <c r="B515" s="4"/>
      <c r="C515" s="4"/>
      <c r="D515" s="4"/>
      <c r="E515" s="4"/>
      <c r="F515" s="4"/>
      <c r="G515" s="4"/>
      <c r="H515" s="4"/>
      <c r="I515" s="4"/>
      <c r="J515" s="7"/>
      <c r="K515" s="4"/>
      <c r="L515" s="4"/>
      <c r="M515" s="80"/>
      <c r="N515" s="80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>
      <c r="A516" s="4"/>
      <c r="B516" s="4"/>
      <c r="C516" s="4"/>
      <c r="D516" s="4"/>
      <c r="E516" s="4"/>
      <c r="F516" s="4"/>
      <c r="G516" s="4"/>
      <c r="H516" s="4"/>
      <c r="I516" s="4"/>
      <c r="J516" s="7"/>
      <c r="K516" s="4"/>
      <c r="L516" s="4"/>
      <c r="M516" s="80"/>
      <c r="N516" s="80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>
      <c r="A517" s="4"/>
      <c r="B517" s="4"/>
      <c r="C517" s="4"/>
      <c r="D517" s="4"/>
      <c r="E517" s="4"/>
      <c r="F517" s="4"/>
      <c r="G517" s="4"/>
      <c r="H517" s="4"/>
      <c r="I517" s="4"/>
      <c r="J517" s="7"/>
      <c r="K517" s="4"/>
      <c r="L517" s="4"/>
      <c r="M517" s="80"/>
      <c r="N517" s="80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>
      <c r="A518" s="4"/>
      <c r="B518" s="4"/>
      <c r="C518" s="4"/>
      <c r="D518" s="4"/>
      <c r="E518" s="4"/>
      <c r="F518" s="4"/>
      <c r="G518" s="4"/>
      <c r="H518" s="4"/>
      <c r="I518" s="4"/>
      <c r="J518" s="7"/>
      <c r="K518" s="4"/>
      <c r="L518" s="4"/>
      <c r="M518" s="80"/>
      <c r="N518" s="80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>
      <c r="A519" s="4"/>
      <c r="B519" s="4"/>
      <c r="C519" s="4"/>
      <c r="D519" s="4"/>
      <c r="E519" s="4"/>
      <c r="F519" s="4"/>
      <c r="G519" s="4"/>
      <c r="H519" s="4"/>
      <c r="I519" s="4"/>
      <c r="J519" s="7"/>
      <c r="K519" s="4"/>
      <c r="L519" s="4"/>
      <c r="M519" s="80"/>
      <c r="N519" s="80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>
      <c r="A520" s="4"/>
      <c r="B520" s="4"/>
      <c r="C520" s="4"/>
      <c r="D520" s="4"/>
      <c r="E520" s="4"/>
      <c r="F520" s="4"/>
      <c r="G520" s="4"/>
      <c r="H520" s="4"/>
      <c r="I520" s="4"/>
      <c r="J520" s="7"/>
      <c r="K520" s="4"/>
      <c r="L520" s="4"/>
      <c r="M520" s="80"/>
      <c r="N520" s="80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>
      <c r="A521" s="4"/>
      <c r="B521" s="4"/>
      <c r="C521" s="4"/>
      <c r="D521" s="4"/>
      <c r="E521" s="4"/>
      <c r="F521" s="4"/>
      <c r="G521" s="4"/>
      <c r="H521" s="4"/>
      <c r="I521" s="4"/>
      <c r="J521" s="7"/>
      <c r="K521" s="4"/>
      <c r="L521" s="4"/>
      <c r="M521" s="80"/>
      <c r="N521" s="80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>
      <c r="A522" s="4"/>
      <c r="B522" s="4"/>
      <c r="C522" s="4"/>
      <c r="D522" s="4"/>
      <c r="E522" s="4"/>
      <c r="F522" s="4"/>
      <c r="G522" s="4"/>
      <c r="H522" s="4"/>
      <c r="I522" s="4"/>
      <c r="J522" s="7"/>
      <c r="K522" s="4"/>
      <c r="L522" s="4"/>
      <c r="M522" s="80"/>
      <c r="N522" s="80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>
      <c r="A523" s="4"/>
      <c r="B523" s="4"/>
      <c r="C523" s="4"/>
      <c r="D523" s="4"/>
      <c r="E523" s="4"/>
      <c r="F523" s="4"/>
      <c r="G523" s="4"/>
      <c r="H523" s="4"/>
      <c r="I523" s="4"/>
      <c r="J523" s="7"/>
      <c r="K523" s="4"/>
      <c r="L523" s="4"/>
      <c r="M523" s="80"/>
      <c r="N523" s="80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>
      <c r="A524" s="4"/>
      <c r="B524" s="4"/>
      <c r="C524" s="4"/>
      <c r="D524" s="4"/>
      <c r="E524" s="4"/>
      <c r="F524" s="4"/>
      <c r="G524" s="4"/>
      <c r="H524" s="4"/>
      <c r="I524" s="4"/>
      <c r="J524" s="7"/>
      <c r="K524" s="4"/>
      <c r="L524" s="4"/>
      <c r="M524" s="80"/>
      <c r="N524" s="80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>
      <c r="A525" s="4"/>
      <c r="B525" s="4"/>
      <c r="C525" s="4"/>
      <c r="D525" s="4"/>
      <c r="E525" s="4"/>
      <c r="F525" s="4"/>
      <c r="G525" s="4"/>
      <c r="H525" s="4"/>
      <c r="I525" s="4"/>
      <c r="J525" s="7"/>
      <c r="K525" s="4"/>
      <c r="L525" s="4"/>
      <c r="M525" s="80"/>
      <c r="N525" s="80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>
      <c r="A526" s="4"/>
      <c r="B526" s="4"/>
      <c r="C526" s="4"/>
      <c r="D526" s="4"/>
      <c r="E526" s="4"/>
      <c r="F526" s="4"/>
      <c r="G526" s="4"/>
      <c r="H526" s="4"/>
      <c r="I526" s="4"/>
      <c r="J526" s="7"/>
      <c r="K526" s="4"/>
      <c r="L526" s="4"/>
      <c r="M526" s="80"/>
      <c r="N526" s="80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>
      <c r="A527" s="4"/>
      <c r="B527" s="4"/>
      <c r="C527" s="4"/>
      <c r="D527" s="4"/>
      <c r="E527" s="4"/>
      <c r="F527" s="4"/>
      <c r="G527" s="4"/>
      <c r="H527" s="4"/>
      <c r="I527" s="4"/>
      <c r="J527" s="7"/>
      <c r="K527" s="4"/>
      <c r="L527" s="4"/>
      <c r="M527" s="80"/>
      <c r="N527" s="80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>
      <c r="A528" s="4"/>
      <c r="B528" s="4"/>
      <c r="C528" s="4"/>
      <c r="D528" s="4"/>
      <c r="E528" s="4"/>
      <c r="F528" s="4"/>
      <c r="G528" s="4"/>
      <c r="H528" s="4"/>
      <c r="I528" s="4"/>
      <c r="J528" s="7"/>
      <c r="K528" s="4"/>
      <c r="L528" s="4"/>
      <c r="M528" s="80"/>
      <c r="N528" s="80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>
      <c r="A529" s="4"/>
      <c r="B529" s="4"/>
      <c r="C529" s="4"/>
      <c r="D529" s="4"/>
      <c r="E529" s="4"/>
      <c r="F529" s="4"/>
      <c r="G529" s="4"/>
      <c r="H529" s="4"/>
      <c r="I529" s="4"/>
      <c r="J529" s="7"/>
      <c r="K529" s="4"/>
      <c r="L529" s="4"/>
      <c r="M529" s="80"/>
      <c r="N529" s="80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>
      <c r="A530" s="4"/>
      <c r="B530" s="4"/>
      <c r="C530" s="4"/>
      <c r="D530" s="4"/>
      <c r="E530" s="4"/>
      <c r="F530" s="4"/>
      <c r="G530" s="4"/>
      <c r="H530" s="4"/>
      <c r="I530" s="4"/>
      <c r="J530" s="7"/>
      <c r="K530" s="4"/>
      <c r="L530" s="4"/>
      <c r="M530" s="80"/>
      <c r="N530" s="80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>
      <c r="A531" s="4"/>
      <c r="B531" s="4"/>
      <c r="C531" s="4"/>
      <c r="D531" s="4"/>
      <c r="E531" s="4"/>
      <c r="F531" s="4"/>
      <c r="G531" s="4"/>
      <c r="H531" s="4"/>
      <c r="I531" s="4"/>
      <c r="J531" s="7"/>
      <c r="K531" s="4"/>
      <c r="L531" s="4"/>
      <c r="M531" s="80"/>
      <c r="N531" s="80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>
      <c r="A532" s="4"/>
      <c r="B532" s="4"/>
      <c r="C532" s="4"/>
      <c r="D532" s="4"/>
      <c r="E532" s="4"/>
      <c r="F532" s="4"/>
      <c r="G532" s="4"/>
      <c r="H532" s="4"/>
      <c r="I532" s="4"/>
      <c r="J532" s="7"/>
      <c r="K532" s="4"/>
      <c r="L532" s="4"/>
      <c r="M532" s="80"/>
      <c r="N532" s="80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>
      <c r="A533" s="4"/>
      <c r="B533" s="4"/>
      <c r="C533" s="4"/>
      <c r="D533" s="4"/>
      <c r="E533" s="4"/>
      <c r="F533" s="4"/>
      <c r="G533" s="4"/>
      <c r="H533" s="4"/>
      <c r="I533" s="4"/>
      <c r="J533" s="7"/>
      <c r="K533" s="4"/>
      <c r="L533" s="4"/>
      <c r="M533" s="80"/>
      <c r="N533" s="80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>
      <c r="A534" s="4"/>
      <c r="B534" s="4"/>
      <c r="C534" s="4"/>
      <c r="D534" s="4"/>
      <c r="E534" s="4"/>
      <c r="F534" s="4"/>
      <c r="G534" s="4"/>
      <c r="H534" s="4"/>
      <c r="I534" s="4"/>
      <c r="J534" s="7"/>
      <c r="K534" s="4"/>
      <c r="L534" s="4"/>
      <c r="M534" s="80"/>
      <c r="N534" s="80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>
      <c r="A535" s="4"/>
      <c r="B535" s="4"/>
      <c r="C535" s="4"/>
      <c r="D535" s="4"/>
      <c r="E535" s="4"/>
      <c r="F535" s="4"/>
      <c r="G535" s="4"/>
      <c r="H535" s="4"/>
      <c r="I535" s="4"/>
      <c r="J535" s="7"/>
      <c r="K535" s="4"/>
      <c r="L535" s="4"/>
      <c r="M535" s="80"/>
      <c r="N535" s="80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>
      <c r="A536" s="4"/>
      <c r="B536" s="4"/>
      <c r="C536" s="4"/>
      <c r="D536" s="4"/>
      <c r="E536" s="4"/>
      <c r="F536" s="4"/>
      <c r="G536" s="4"/>
      <c r="H536" s="4"/>
      <c r="I536" s="4"/>
      <c r="J536" s="7"/>
      <c r="K536" s="4"/>
      <c r="L536" s="4"/>
      <c r="M536" s="80"/>
      <c r="N536" s="80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>
      <c r="A537" s="4"/>
      <c r="B537" s="4"/>
      <c r="C537" s="4"/>
      <c r="D537" s="4"/>
      <c r="E537" s="4"/>
      <c r="F537" s="4"/>
      <c r="G537" s="4"/>
      <c r="H537" s="4"/>
      <c r="I537" s="4"/>
      <c r="J537" s="7"/>
      <c r="K537" s="4"/>
      <c r="L537" s="4"/>
      <c r="M537" s="80"/>
      <c r="N537" s="80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>
      <c r="A538" s="4"/>
      <c r="B538" s="4"/>
      <c r="C538" s="4"/>
      <c r="D538" s="4"/>
      <c r="E538" s="4"/>
      <c r="F538" s="4"/>
      <c r="G538" s="4"/>
      <c r="H538" s="4"/>
      <c r="I538" s="4"/>
      <c r="J538" s="7"/>
      <c r="K538" s="4"/>
      <c r="L538" s="4"/>
      <c r="M538" s="80"/>
      <c r="N538" s="80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>
      <c r="A539" s="4"/>
      <c r="B539" s="4"/>
      <c r="C539" s="4"/>
      <c r="D539" s="4"/>
      <c r="E539" s="4"/>
      <c r="F539" s="4"/>
      <c r="G539" s="4"/>
      <c r="H539" s="4"/>
      <c r="I539" s="4"/>
      <c r="J539" s="7"/>
      <c r="K539" s="4"/>
      <c r="L539" s="4"/>
      <c r="M539" s="80"/>
      <c r="N539" s="80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>
      <c r="A540" s="4"/>
      <c r="B540" s="4"/>
      <c r="C540" s="4"/>
      <c r="D540" s="4"/>
      <c r="E540" s="4"/>
      <c r="F540" s="4"/>
      <c r="G540" s="4"/>
      <c r="H540" s="4"/>
      <c r="I540" s="4"/>
      <c r="J540" s="7"/>
      <c r="K540" s="4"/>
      <c r="L540" s="4"/>
      <c r="M540" s="80"/>
      <c r="N540" s="80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>
      <c r="A541" s="4"/>
      <c r="B541" s="4"/>
      <c r="C541" s="4"/>
      <c r="D541" s="4"/>
      <c r="E541" s="4"/>
      <c r="F541" s="4"/>
      <c r="G541" s="4"/>
      <c r="H541" s="4"/>
      <c r="I541" s="4"/>
      <c r="J541" s="7"/>
      <c r="K541" s="4"/>
      <c r="L541" s="4"/>
      <c r="M541" s="80"/>
      <c r="N541" s="80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>
      <c r="A542" s="4"/>
      <c r="B542" s="4"/>
      <c r="C542" s="4"/>
      <c r="D542" s="4"/>
      <c r="E542" s="4"/>
      <c r="F542" s="4"/>
      <c r="G542" s="4"/>
      <c r="H542" s="4"/>
      <c r="I542" s="4"/>
      <c r="J542" s="7"/>
      <c r="K542" s="4"/>
      <c r="L542" s="4"/>
      <c r="M542" s="80"/>
      <c r="N542" s="80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>
      <c r="A543" s="4"/>
      <c r="B543" s="4"/>
      <c r="C543" s="4"/>
      <c r="D543" s="4"/>
      <c r="E543" s="4"/>
      <c r="F543" s="4"/>
      <c r="G543" s="4"/>
      <c r="H543" s="4"/>
      <c r="I543" s="4"/>
      <c r="J543" s="7"/>
      <c r="K543" s="4"/>
      <c r="L543" s="4"/>
      <c r="M543" s="80"/>
      <c r="N543" s="80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>
      <c r="A544" s="4"/>
      <c r="B544" s="4"/>
      <c r="C544" s="4"/>
      <c r="D544" s="4"/>
      <c r="E544" s="4"/>
      <c r="F544" s="4"/>
      <c r="G544" s="4"/>
      <c r="H544" s="4"/>
      <c r="I544" s="4"/>
      <c r="J544" s="7"/>
      <c r="K544" s="4"/>
      <c r="L544" s="4"/>
      <c r="M544" s="80"/>
      <c r="N544" s="80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>
      <c r="A545" s="4"/>
      <c r="B545" s="4"/>
      <c r="C545" s="4"/>
      <c r="D545" s="4"/>
      <c r="E545" s="4"/>
      <c r="F545" s="4"/>
      <c r="G545" s="4"/>
      <c r="H545" s="4"/>
      <c r="I545" s="4"/>
      <c r="J545" s="7"/>
      <c r="K545" s="4"/>
      <c r="L545" s="4"/>
      <c r="M545" s="80"/>
      <c r="N545" s="80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>
      <c r="A546" s="4"/>
      <c r="B546" s="4"/>
      <c r="C546" s="4"/>
      <c r="D546" s="4"/>
      <c r="E546" s="4"/>
      <c r="F546" s="4"/>
      <c r="G546" s="4"/>
      <c r="H546" s="4"/>
      <c r="I546" s="4"/>
      <c r="J546" s="7"/>
      <c r="K546" s="4"/>
      <c r="L546" s="4"/>
      <c r="M546" s="80"/>
      <c r="N546" s="80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>
      <c r="A547" s="4"/>
      <c r="B547" s="4"/>
      <c r="C547" s="4"/>
      <c r="D547" s="4"/>
      <c r="E547" s="4"/>
      <c r="F547" s="4"/>
      <c r="G547" s="4"/>
      <c r="H547" s="4"/>
      <c r="I547" s="4"/>
      <c r="J547" s="7"/>
      <c r="K547" s="4"/>
      <c r="L547" s="4"/>
      <c r="M547" s="80"/>
      <c r="N547" s="80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>
      <c r="A548" s="4"/>
      <c r="B548" s="4"/>
      <c r="C548" s="4"/>
      <c r="D548" s="4"/>
      <c r="E548" s="4"/>
      <c r="F548" s="4"/>
      <c r="G548" s="4"/>
      <c r="H548" s="4"/>
      <c r="I548" s="4"/>
      <c r="J548" s="7"/>
      <c r="K548" s="4"/>
      <c r="L548" s="4"/>
      <c r="M548" s="80"/>
      <c r="N548" s="80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>
      <c r="A549" s="4"/>
      <c r="B549" s="4"/>
      <c r="C549" s="4"/>
      <c r="D549" s="4"/>
      <c r="E549" s="4"/>
      <c r="F549" s="4"/>
      <c r="G549" s="4"/>
      <c r="H549" s="4"/>
      <c r="I549" s="4"/>
      <c r="J549" s="7"/>
      <c r="K549" s="4"/>
      <c r="L549" s="4"/>
      <c r="M549" s="80"/>
      <c r="N549" s="80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>
      <c r="A550" s="4"/>
      <c r="B550" s="4"/>
      <c r="C550" s="4"/>
      <c r="D550" s="4"/>
      <c r="E550" s="4"/>
      <c r="F550" s="4"/>
      <c r="G550" s="4"/>
      <c r="H550" s="4"/>
      <c r="I550" s="4"/>
      <c r="J550" s="7"/>
      <c r="K550" s="4"/>
      <c r="L550" s="4"/>
      <c r="M550" s="80"/>
      <c r="N550" s="80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>
      <c r="A551" s="4"/>
      <c r="B551" s="4"/>
      <c r="C551" s="4"/>
      <c r="D551" s="4"/>
      <c r="E551" s="4"/>
      <c r="F551" s="4"/>
      <c r="G551" s="4"/>
      <c r="H551" s="4"/>
      <c r="I551" s="4"/>
      <c r="J551" s="7"/>
      <c r="K551" s="4"/>
      <c r="L551" s="4"/>
      <c r="M551" s="80"/>
      <c r="N551" s="80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>
      <c r="A552" s="4"/>
      <c r="B552" s="4"/>
      <c r="C552" s="4"/>
      <c r="D552" s="4"/>
      <c r="E552" s="4"/>
      <c r="F552" s="4"/>
      <c r="G552" s="4"/>
      <c r="H552" s="4"/>
      <c r="I552" s="4"/>
      <c r="J552" s="7"/>
      <c r="K552" s="4"/>
      <c r="L552" s="4"/>
      <c r="M552" s="80"/>
      <c r="N552" s="80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>
      <c r="A553" s="4"/>
      <c r="B553" s="4"/>
      <c r="C553" s="4"/>
      <c r="D553" s="4"/>
      <c r="E553" s="4"/>
      <c r="F553" s="4"/>
      <c r="G553" s="4"/>
      <c r="H553" s="4"/>
      <c r="I553" s="4"/>
      <c r="J553" s="7"/>
      <c r="K553" s="4"/>
      <c r="L553" s="4"/>
      <c r="M553" s="80"/>
      <c r="N553" s="80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>
      <c r="A554" s="4"/>
      <c r="B554" s="4"/>
      <c r="C554" s="4"/>
      <c r="D554" s="4"/>
      <c r="E554" s="4"/>
      <c r="F554" s="4"/>
      <c r="G554" s="4"/>
      <c r="H554" s="4"/>
      <c r="I554" s="4"/>
      <c r="J554" s="7"/>
      <c r="K554" s="4"/>
      <c r="L554" s="4"/>
      <c r="M554" s="80"/>
      <c r="N554" s="80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>
      <c r="A555" s="4"/>
      <c r="B555" s="4"/>
      <c r="C555" s="4"/>
      <c r="D555" s="4"/>
      <c r="E555" s="4"/>
      <c r="F555" s="4"/>
      <c r="G555" s="4"/>
      <c r="H555" s="4"/>
      <c r="I555" s="4"/>
      <c r="J555" s="7"/>
      <c r="K555" s="4"/>
      <c r="L555" s="4"/>
      <c r="M555" s="80"/>
      <c r="N555" s="80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>
      <c r="A556" s="4"/>
      <c r="B556" s="4"/>
      <c r="C556" s="4"/>
      <c r="D556" s="4"/>
      <c r="E556" s="4"/>
      <c r="F556" s="4"/>
      <c r="G556" s="4"/>
      <c r="H556" s="4"/>
      <c r="I556" s="4"/>
      <c r="J556" s="7"/>
      <c r="K556" s="4"/>
      <c r="L556" s="4"/>
      <c r="M556" s="80"/>
      <c r="N556" s="80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>
      <c r="A557" s="4"/>
      <c r="B557" s="4"/>
      <c r="C557" s="4"/>
      <c r="D557" s="4"/>
      <c r="E557" s="4"/>
      <c r="F557" s="4"/>
      <c r="G557" s="4"/>
      <c r="H557" s="4"/>
      <c r="I557" s="4"/>
      <c r="J557" s="7"/>
      <c r="K557" s="4"/>
      <c r="L557" s="4"/>
      <c r="M557" s="80"/>
      <c r="N557" s="80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>
      <c r="A558" s="4"/>
      <c r="B558" s="4"/>
      <c r="C558" s="4"/>
      <c r="D558" s="4"/>
      <c r="E558" s="4"/>
      <c r="F558" s="4"/>
      <c r="G558" s="4"/>
      <c r="H558" s="4"/>
      <c r="I558" s="4"/>
      <c r="J558" s="7"/>
      <c r="K558" s="4"/>
      <c r="L558" s="4"/>
      <c r="M558" s="80"/>
      <c r="N558" s="80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>
      <c r="A559" s="4"/>
      <c r="B559" s="4"/>
      <c r="C559" s="4"/>
      <c r="D559" s="4"/>
      <c r="E559" s="4"/>
      <c r="F559" s="4"/>
      <c r="G559" s="4"/>
      <c r="H559" s="4"/>
      <c r="I559" s="4"/>
      <c r="J559" s="7"/>
      <c r="K559" s="4"/>
      <c r="L559" s="4"/>
      <c r="M559" s="80"/>
      <c r="N559" s="80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>
      <c r="A560" s="4"/>
      <c r="B560" s="4"/>
      <c r="C560" s="4"/>
      <c r="D560" s="4"/>
      <c r="E560" s="4"/>
      <c r="F560" s="4"/>
      <c r="G560" s="4"/>
      <c r="H560" s="4"/>
      <c r="I560" s="4"/>
      <c r="J560" s="7"/>
      <c r="K560" s="4"/>
      <c r="L560" s="4"/>
      <c r="M560" s="80"/>
      <c r="N560" s="80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>
      <c r="A561" s="4"/>
      <c r="B561" s="4"/>
      <c r="C561" s="4"/>
      <c r="D561" s="4"/>
      <c r="E561" s="4"/>
      <c r="F561" s="4"/>
      <c r="G561" s="4"/>
      <c r="H561" s="4"/>
      <c r="I561" s="4"/>
      <c r="J561" s="7"/>
      <c r="K561" s="4"/>
      <c r="L561" s="4"/>
      <c r="M561" s="80"/>
      <c r="N561" s="80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>
      <c r="A562" s="4"/>
      <c r="B562" s="4"/>
      <c r="C562" s="4"/>
      <c r="D562" s="4"/>
      <c r="E562" s="4"/>
      <c r="F562" s="4"/>
      <c r="G562" s="4"/>
      <c r="H562" s="4"/>
      <c r="I562" s="4"/>
      <c r="J562" s="7"/>
      <c r="K562" s="4"/>
      <c r="L562" s="4"/>
      <c r="M562" s="80"/>
      <c r="N562" s="80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>
      <c r="A563" s="4"/>
      <c r="B563" s="4"/>
      <c r="C563" s="4"/>
      <c r="D563" s="4"/>
      <c r="E563" s="4"/>
      <c r="F563" s="4"/>
      <c r="G563" s="4"/>
      <c r="H563" s="4"/>
      <c r="I563" s="4"/>
      <c r="J563" s="7"/>
      <c r="K563" s="4"/>
      <c r="L563" s="4"/>
      <c r="M563" s="80"/>
      <c r="N563" s="80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>
      <c r="A564" s="4"/>
      <c r="B564" s="4"/>
      <c r="C564" s="4"/>
      <c r="D564" s="4"/>
      <c r="E564" s="4"/>
      <c r="F564" s="4"/>
      <c r="G564" s="4"/>
      <c r="H564" s="4"/>
      <c r="I564" s="4"/>
      <c r="J564" s="7"/>
      <c r="K564" s="4"/>
      <c r="L564" s="4"/>
      <c r="M564" s="80"/>
      <c r="N564" s="80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>
      <c r="A565" s="4"/>
      <c r="B565" s="4"/>
      <c r="C565" s="4"/>
      <c r="D565" s="4"/>
      <c r="E565" s="4"/>
      <c r="F565" s="4"/>
      <c r="G565" s="4"/>
      <c r="H565" s="4"/>
      <c r="I565" s="4"/>
      <c r="J565" s="7"/>
      <c r="K565" s="4"/>
      <c r="L565" s="4"/>
      <c r="M565" s="80"/>
      <c r="N565" s="80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>
      <c r="A566" s="4"/>
      <c r="B566" s="4"/>
      <c r="C566" s="4"/>
      <c r="D566" s="4"/>
      <c r="E566" s="4"/>
      <c r="F566" s="4"/>
      <c r="G566" s="4"/>
      <c r="H566" s="4"/>
      <c r="I566" s="4"/>
      <c r="J566" s="7"/>
      <c r="K566" s="4"/>
      <c r="L566" s="4"/>
      <c r="M566" s="80"/>
      <c r="N566" s="80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>
      <c r="A567" s="4"/>
      <c r="B567" s="4"/>
      <c r="C567" s="4"/>
      <c r="D567" s="4"/>
      <c r="E567" s="4"/>
      <c r="F567" s="4"/>
      <c r="G567" s="4"/>
      <c r="H567" s="4"/>
      <c r="I567" s="4"/>
      <c r="J567" s="7"/>
      <c r="K567" s="4"/>
      <c r="L567" s="4"/>
      <c r="M567" s="80"/>
      <c r="N567" s="80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>
      <c r="A568" s="4"/>
      <c r="B568" s="4"/>
      <c r="C568" s="4"/>
      <c r="D568" s="4"/>
      <c r="E568" s="4"/>
      <c r="F568" s="4"/>
      <c r="G568" s="4"/>
      <c r="H568" s="4"/>
      <c r="I568" s="4"/>
      <c r="J568" s="7"/>
      <c r="K568" s="4"/>
      <c r="L568" s="4"/>
      <c r="M568" s="80"/>
      <c r="N568" s="80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>
      <c r="A569" s="4"/>
      <c r="B569" s="4"/>
      <c r="C569" s="4"/>
      <c r="D569" s="4"/>
      <c r="E569" s="4"/>
      <c r="F569" s="4"/>
      <c r="G569" s="4"/>
      <c r="H569" s="4"/>
      <c r="I569" s="4"/>
      <c r="J569" s="7"/>
      <c r="K569" s="4"/>
      <c r="L569" s="4"/>
      <c r="M569" s="80"/>
      <c r="N569" s="80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>
      <c r="A570" s="4"/>
      <c r="B570" s="4"/>
      <c r="C570" s="4"/>
      <c r="D570" s="4"/>
      <c r="E570" s="4"/>
      <c r="F570" s="4"/>
      <c r="G570" s="4"/>
      <c r="H570" s="4"/>
      <c r="I570" s="4"/>
      <c r="J570" s="7"/>
      <c r="K570" s="4"/>
      <c r="L570" s="4"/>
      <c r="M570" s="80"/>
      <c r="N570" s="80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>
      <c r="A571" s="4"/>
      <c r="B571" s="4"/>
      <c r="C571" s="4"/>
      <c r="D571" s="4"/>
      <c r="E571" s="4"/>
      <c r="F571" s="4"/>
      <c r="G571" s="4"/>
      <c r="H571" s="4"/>
      <c r="I571" s="4"/>
      <c r="J571" s="7"/>
      <c r="K571" s="4"/>
      <c r="L571" s="4"/>
      <c r="M571" s="80"/>
      <c r="N571" s="80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>
      <c r="A572" s="4"/>
      <c r="B572" s="4"/>
      <c r="C572" s="4"/>
      <c r="D572" s="4"/>
      <c r="E572" s="4"/>
      <c r="F572" s="4"/>
      <c r="G572" s="4"/>
      <c r="H572" s="4"/>
      <c r="I572" s="4"/>
      <c r="J572" s="7"/>
      <c r="K572" s="4"/>
      <c r="L572" s="4"/>
      <c r="M572" s="80"/>
      <c r="N572" s="80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>
      <c r="A573" s="4"/>
      <c r="B573" s="4"/>
      <c r="C573" s="4"/>
      <c r="D573" s="4"/>
      <c r="E573" s="4"/>
      <c r="F573" s="4"/>
      <c r="G573" s="4"/>
      <c r="H573" s="4"/>
      <c r="I573" s="4"/>
      <c r="J573" s="7"/>
      <c r="K573" s="4"/>
      <c r="L573" s="4"/>
      <c r="M573" s="80"/>
      <c r="N573" s="80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>
      <c r="A574" s="4"/>
      <c r="B574" s="4"/>
      <c r="C574" s="4"/>
      <c r="D574" s="4"/>
      <c r="E574" s="4"/>
      <c r="F574" s="4"/>
      <c r="G574" s="4"/>
      <c r="H574" s="4"/>
      <c r="I574" s="4"/>
      <c r="J574" s="7"/>
      <c r="K574" s="4"/>
      <c r="L574" s="4"/>
      <c r="M574" s="80"/>
      <c r="N574" s="80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>
      <c r="A575" s="4"/>
      <c r="B575" s="4"/>
      <c r="C575" s="4"/>
      <c r="D575" s="4"/>
      <c r="E575" s="4"/>
      <c r="F575" s="4"/>
      <c r="G575" s="4"/>
      <c r="H575" s="4"/>
      <c r="I575" s="4"/>
      <c r="J575" s="7"/>
      <c r="K575" s="4"/>
      <c r="L575" s="4"/>
      <c r="M575" s="80"/>
      <c r="N575" s="80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>
      <c r="A576" s="4"/>
      <c r="B576" s="4"/>
      <c r="C576" s="4"/>
      <c r="D576" s="4"/>
      <c r="E576" s="4"/>
      <c r="F576" s="4"/>
      <c r="G576" s="4"/>
      <c r="H576" s="4"/>
      <c r="I576" s="4"/>
      <c r="J576" s="7"/>
      <c r="K576" s="4"/>
      <c r="L576" s="4"/>
      <c r="M576" s="80"/>
      <c r="N576" s="80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>
      <c r="A577" s="4"/>
      <c r="B577" s="4"/>
      <c r="C577" s="4"/>
      <c r="D577" s="4"/>
      <c r="E577" s="4"/>
      <c r="F577" s="4"/>
      <c r="G577" s="4"/>
      <c r="H577" s="4"/>
      <c r="I577" s="4"/>
      <c r="J577" s="7"/>
      <c r="K577" s="4"/>
      <c r="L577" s="4"/>
      <c r="M577" s="80"/>
      <c r="N577" s="80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>
      <c r="A578" s="4"/>
      <c r="B578" s="4"/>
      <c r="C578" s="4"/>
      <c r="D578" s="4"/>
      <c r="E578" s="4"/>
      <c r="F578" s="4"/>
      <c r="G578" s="4"/>
      <c r="H578" s="4"/>
      <c r="I578" s="4"/>
      <c r="J578" s="7"/>
      <c r="K578" s="4"/>
      <c r="L578" s="4"/>
      <c r="M578" s="80"/>
      <c r="N578" s="80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>
      <c r="A579" s="4"/>
      <c r="B579" s="4"/>
      <c r="C579" s="4"/>
      <c r="D579" s="4"/>
      <c r="E579" s="4"/>
      <c r="F579" s="4"/>
      <c r="G579" s="4"/>
      <c r="H579" s="4"/>
      <c r="I579" s="4"/>
      <c r="J579" s="7"/>
      <c r="K579" s="4"/>
      <c r="L579" s="4"/>
      <c r="M579" s="80"/>
      <c r="N579" s="80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>
      <c r="A580" s="4"/>
      <c r="B580" s="4"/>
      <c r="C580" s="4"/>
      <c r="D580" s="4"/>
      <c r="E580" s="4"/>
      <c r="F580" s="4"/>
      <c r="G580" s="4"/>
      <c r="H580" s="4"/>
      <c r="I580" s="4"/>
      <c r="J580" s="7"/>
      <c r="K580" s="4"/>
      <c r="L580" s="4"/>
      <c r="M580" s="80"/>
      <c r="N580" s="80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>
      <c r="A581" s="4"/>
      <c r="B581" s="4"/>
      <c r="C581" s="4"/>
      <c r="D581" s="4"/>
      <c r="E581" s="4"/>
      <c r="F581" s="4"/>
      <c r="G581" s="4"/>
      <c r="H581" s="4"/>
      <c r="I581" s="4"/>
      <c r="J581" s="7"/>
      <c r="K581" s="4"/>
      <c r="L581" s="4"/>
      <c r="M581" s="80"/>
      <c r="N581" s="80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>
      <c r="A582" s="4"/>
      <c r="B582" s="4"/>
      <c r="C582" s="4"/>
      <c r="D582" s="4"/>
      <c r="E582" s="4"/>
      <c r="F582" s="4"/>
      <c r="G582" s="4"/>
      <c r="H582" s="4"/>
      <c r="I582" s="4"/>
      <c r="J582" s="7"/>
      <c r="K582" s="4"/>
      <c r="L582" s="4"/>
      <c r="M582" s="80"/>
      <c r="N582" s="80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>
      <c r="A583" s="4"/>
      <c r="B583" s="4"/>
      <c r="C583" s="4"/>
      <c r="D583" s="4"/>
      <c r="E583" s="4"/>
      <c r="F583" s="4"/>
      <c r="G583" s="4"/>
      <c r="H583" s="4"/>
      <c r="I583" s="4"/>
      <c r="J583" s="7"/>
      <c r="K583" s="4"/>
      <c r="L583" s="4"/>
      <c r="M583" s="80"/>
      <c r="N583" s="80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>
      <c r="A584" s="4"/>
      <c r="B584" s="4"/>
      <c r="C584" s="4"/>
      <c r="D584" s="4"/>
      <c r="E584" s="4"/>
      <c r="F584" s="4"/>
      <c r="G584" s="4"/>
      <c r="H584" s="4"/>
      <c r="I584" s="4"/>
      <c r="J584" s="7"/>
      <c r="K584" s="4"/>
      <c r="L584" s="4"/>
      <c r="M584" s="80"/>
      <c r="N584" s="80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>
      <c r="A585" s="4"/>
      <c r="B585" s="4"/>
      <c r="C585" s="4"/>
      <c r="D585" s="4"/>
      <c r="E585" s="4"/>
      <c r="F585" s="4"/>
      <c r="G585" s="4"/>
      <c r="H585" s="4"/>
      <c r="I585" s="4"/>
      <c r="J585" s="7"/>
      <c r="K585" s="4"/>
      <c r="L585" s="4"/>
      <c r="M585" s="80"/>
      <c r="N585" s="80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>
      <c r="A586" s="4"/>
      <c r="B586" s="4"/>
      <c r="C586" s="4"/>
      <c r="D586" s="4"/>
      <c r="E586" s="4"/>
      <c r="F586" s="4"/>
      <c r="G586" s="4"/>
      <c r="H586" s="4"/>
      <c r="I586" s="4"/>
      <c r="J586" s="7"/>
      <c r="K586" s="4"/>
      <c r="L586" s="4"/>
      <c r="M586" s="80"/>
      <c r="N586" s="80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>
      <c r="A587" s="4"/>
      <c r="B587" s="4"/>
      <c r="C587" s="4"/>
      <c r="D587" s="4"/>
      <c r="E587" s="4"/>
      <c r="F587" s="4"/>
      <c r="G587" s="4"/>
      <c r="H587" s="4"/>
      <c r="I587" s="4"/>
      <c r="J587" s="7"/>
      <c r="K587" s="4"/>
      <c r="L587" s="4"/>
      <c r="M587" s="80"/>
      <c r="N587" s="80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>
      <c r="A588" s="4"/>
      <c r="B588" s="4"/>
      <c r="C588" s="4"/>
      <c r="D588" s="4"/>
      <c r="E588" s="4"/>
      <c r="F588" s="4"/>
      <c r="G588" s="4"/>
      <c r="H588" s="4"/>
      <c r="I588" s="4"/>
      <c r="J588" s="7"/>
      <c r="K588" s="4"/>
      <c r="L588" s="4"/>
      <c r="M588" s="80"/>
      <c r="N588" s="80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>
      <c r="A589" s="4"/>
      <c r="B589" s="4"/>
      <c r="C589" s="4"/>
      <c r="D589" s="4"/>
      <c r="E589" s="4"/>
      <c r="F589" s="4"/>
      <c r="G589" s="4"/>
      <c r="H589" s="4"/>
      <c r="I589" s="4"/>
      <c r="J589" s="7"/>
      <c r="K589" s="4"/>
      <c r="L589" s="4"/>
      <c r="M589" s="80"/>
      <c r="N589" s="80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>
      <c r="A590" s="4"/>
      <c r="B590" s="4"/>
      <c r="C590" s="4"/>
      <c r="D590" s="4"/>
      <c r="E590" s="4"/>
      <c r="F590" s="4"/>
      <c r="G590" s="4"/>
      <c r="H590" s="4"/>
      <c r="I590" s="4"/>
      <c r="J590" s="7"/>
      <c r="K590" s="4"/>
      <c r="L590" s="4"/>
      <c r="M590" s="80"/>
      <c r="N590" s="80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>
      <c r="A591" s="4"/>
      <c r="B591" s="4"/>
      <c r="C591" s="4"/>
      <c r="D591" s="4"/>
      <c r="E591" s="4"/>
      <c r="F591" s="4"/>
      <c r="G591" s="4"/>
      <c r="H591" s="4"/>
      <c r="I591" s="4"/>
      <c r="J591" s="7"/>
      <c r="K591" s="4"/>
      <c r="L591" s="4"/>
      <c r="M591" s="80"/>
      <c r="N591" s="80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>
      <c r="A592" s="4"/>
      <c r="B592" s="4"/>
      <c r="C592" s="4"/>
      <c r="D592" s="4"/>
      <c r="E592" s="4"/>
      <c r="F592" s="4"/>
      <c r="G592" s="4"/>
      <c r="H592" s="4"/>
      <c r="I592" s="4"/>
      <c r="J592" s="7"/>
      <c r="K592" s="4"/>
      <c r="L592" s="4"/>
      <c r="M592" s="80"/>
      <c r="N592" s="80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>
      <c r="A593" s="4"/>
      <c r="B593" s="4"/>
      <c r="C593" s="4"/>
      <c r="D593" s="4"/>
      <c r="E593" s="4"/>
      <c r="F593" s="4"/>
      <c r="G593" s="4"/>
      <c r="H593" s="4"/>
      <c r="I593" s="4"/>
      <c r="J593" s="7"/>
      <c r="K593" s="4"/>
      <c r="L593" s="4"/>
      <c r="M593" s="80"/>
      <c r="N593" s="80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>
      <c r="A594" s="4"/>
      <c r="B594" s="4"/>
      <c r="C594" s="4"/>
      <c r="D594" s="4"/>
      <c r="E594" s="4"/>
      <c r="F594" s="4"/>
      <c r="G594" s="4"/>
      <c r="H594" s="4"/>
      <c r="I594" s="4"/>
      <c r="J594" s="7"/>
      <c r="K594" s="4"/>
      <c r="L594" s="4"/>
      <c r="M594" s="80"/>
      <c r="N594" s="80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>
      <c r="A595" s="4"/>
      <c r="B595" s="4"/>
      <c r="C595" s="4"/>
      <c r="D595" s="4"/>
      <c r="E595" s="4"/>
      <c r="F595" s="4"/>
      <c r="G595" s="4"/>
      <c r="H595" s="4"/>
      <c r="I595" s="4"/>
      <c r="J595" s="7"/>
      <c r="K595" s="4"/>
      <c r="L595" s="4"/>
      <c r="M595" s="80"/>
      <c r="N595" s="80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>
      <c r="A596" s="4"/>
      <c r="B596" s="4"/>
      <c r="C596" s="4"/>
      <c r="D596" s="4"/>
      <c r="E596" s="4"/>
      <c r="F596" s="4"/>
      <c r="G596" s="4"/>
      <c r="H596" s="4"/>
      <c r="I596" s="4"/>
      <c r="J596" s="7"/>
      <c r="K596" s="4"/>
      <c r="L596" s="4"/>
      <c r="M596" s="80"/>
      <c r="N596" s="80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>
      <c r="A597" s="4"/>
      <c r="B597" s="4"/>
      <c r="C597" s="4"/>
      <c r="D597" s="4"/>
      <c r="E597" s="4"/>
      <c r="F597" s="4"/>
      <c r="G597" s="4"/>
      <c r="H597" s="4"/>
      <c r="I597" s="4"/>
      <c r="J597" s="7"/>
      <c r="K597" s="4"/>
      <c r="L597" s="4"/>
      <c r="M597" s="80"/>
      <c r="N597" s="80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>
      <c r="A598" s="4"/>
      <c r="B598" s="4"/>
      <c r="C598" s="4"/>
      <c r="D598" s="4"/>
      <c r="E598" s="4"/>
      <c r="F598" s="4"/>
      <c r="G598" s="4"/>
      <c r="H598" s="4"/>
      <c r="I598" s="4"/>
      <c r="J598" s="7"/>
      <c r="K598" s="4"/>
      <c r="L598" s="4"/>
      <c r="M598" s="80"/>
      <c r="N598" s="80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>
      <c r="A599" s="4"/>
      <c r="B599" s="4"/>
      <c r="C599" s="4"/>
      <c r="D599" s="4"/>
      <c r="E599" s="4"/>
      <c r="F599" s="4"/>
      <c r="G599" s="4"/>
      <c r="H599" s="4"/>
      <c r="I599" s="4"/>
      <c r="J599" s="7"/>
      <c r="K599" s="4"/>
      <c r="L599" s="4"/>
      <c r="M599" s="80"/>
      <c r="N599" s="80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>
      <c r="A600" s="4"/>
      <c r="B600" s="4"/>
      <c r="C600" s="4"/>
      <c r="D600" s="4"/>
      <c r="E600" s="4"/>
      <c r="F600" s="4"/>
      <c r="G600" s="4"/>
      <c r="H600" s="4"/>
      <c r="I600" s="4"/>
      <c r="J600" s="7"/>
      <c r="K600" s="4"/>
      <c r="L600" s="4"/>
      <c r="M600" s="80"/>
      <c r="N600" s="80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>
      <c r="A601" s="4"/>
      <c r="B601" s="4"/>
      <c r="C601" s="4"/>
      <c r="D601" s="4"/>
      <c r="E601" s="4"/>
      <c r="F601" s="4"/>
      <c r="G601" s="4"/>
      <c r="H601" s="4"/>
      <c r="I601" s="4"/>
      <c r="J601" s="7"/>
      <c r="K601" s="4"/>
      <c r="L601" s="4"/>
      <c r="M601" s="80"/>
      <c r="N601" s="80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>
      <c r="A602" s="4"/>
      <c r="B602" s="4"/>
      <c r="C602" s="4"/>
      <c r="D602" s="4"/>
      <c r="E602" s="4"/>
      <c r="F602" s="4"/>
      <c r="G602" s="4"/>
      <c r="H602" s="4"/>
      <c r="I602" s="4"/>
      <c r="J602" s="7"/>
      <c r="K602" s="4"/>
      <c r="L602" s="4"/>
      <c r="M602" s="80"/>
      <c r="N602" s="80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>
      <c r="A603" s="4"/>
      <c r="B603" s="4"/>
      <c r="C603" s="4"/>
      <c r="D603" s="4"/>
      <c r="E603" s="4"/>
      <c r="F603" s="4"/>
      <c r="G603" s="4"/>
      <c r="H603" s="4"/>
      <c r="I603" s="4"/>
      <c r="J603" s="7"/>
      <c r="K603" s="4"/>
      <c r="L603" s="4"/>
      <c r="M603" s="80"/>
      <c r="N603" s="80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>
      <c r="A604" s="4"/>
      <c r="B604" s="4"/>
      <c r="C604" s="4"/>
      <c r="D604" s="4"/>
      <c r="E604" s="4"/>
      <c r="F604" s="4"/>
      <c r="G604" s="4"/>
      <c r="H604" s="4"/>
      <c r="I604" s="4"/>
      <c r="J604" s="7"/>
      <c r="K604" s="4"/>
      <c r="L604" s="4"/>
      <c r="M604" s="80"/>
      <c r="N604" s="80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>
      <c r="A605" s="4"/>
      <c r="B605" s="4"/>
      <c r="C605" s="4"/>
      <c r="D605" s="4"/>
      <c r="E605" s="4"/>
      <c r="F605" s="4"/>
      <c r="G605" s="4"/>
      <c r="H605" s="4"/>
      <c r="I605" s="4"/>
      <c r="J605" s="7"/>
      <c r="K605" s="4"/>
      <c r="L605" s="4"/>
      <c r="M605" s="80"/>
      <c r="N605" s="80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>
      <c r="A606" s="4"/>
      <c r="B606" s="4"/>
      <c r="C606" s="4"/>
      <c r="D606" s="4"/>
      <c r="E606" s="4"/>
      <c r="F606" s="4"/>
      <c r="G606" s="4"/>
      <c r="H606" s="4"/>
      <c r="I606" s="4"/>
      <c r="J606" s="7"/>
      <c r="K606" s="4"/>
      <c r="L606" s="4"/>
      <c r="M606" s="80"/>
      <c r="N606" s="80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>
      <c r="A607" s="4"/>
      <c r="B607" s="4"/>
      <c r="C607" s="4"/>
      <c r="D607" s="4"/>
      <c r="E607" s="4"/>
      <c r="F607" s="4"/>
      <c r="G607" s="4"/>
      <c r="H607" s="4"/>
      <c r="I607" s="4"/>
      <c r="J607" s="7"/>
      <c r="K607" s="4"/>
      <c r="L607" s="4"/>
      <c r="M607" s="80"/>
      <c r="N607" s="80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>
      <c r="A608" s="4"/>
      <c r="B608" s="4"/>
      <c r="C608" s="4"/>
      <c r="D608" s="4"/>
      <c r="E608" s="4"/>
      <c r="F608" s="4"/>
      <c r="G608" s="4"/>
      <c r="H608" s="4"/>
      <c r="I608" s="4"/>
      <c r="J608" s="7"/>
      <c r="K608" s="4"/>
      <c r="L608" s="4"/>
      <c r="M608" s="80"/>
      <c r="N608" s="80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>
      <c r="A609" s="4"/>
      <c r="B609" s="4"/>
      <c r="C609" s="4"/>
      <c r="D609" s="4"/>
      <c r="E609" s="4"/>
      <c r="F609" s="4"/>
      <c r="G609" s="4"/>
      <c r="H609" s="4"/>
      <c r="I609" s="4"/>
      <c r="J609" s="7"/>
      <c r="K609" s="4"/>
      <c r="L609" s="4"/>
      <c r="M609" s="80"/>
      <c r="N609" s="80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>
      <c r="A610" s="4"/>
      <c r="B610" s="4"/>
      <c r="C610" s="4"/>
      <c r="D610" s="4"/>
      <c r="E610" s="4"/>
      <c r="F610" s="4"/>
      <c r="G610" s="4"/>
      <c r="H610" s="4"/>
      <c r="I610" s="4"/>
      <c r="J610" s="7"/>
      <c r="K610" s="4"/>
      <c r="L610" s="4"/>
      <c r="M610" s="80"/>
      <c r="N610" s="80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>
      <c r="A611" s="4"/>
      <c r="B611" s="4"/>
      <c r="C611" s="4"/>
      <c r="D611" s="4"/>
      <c r="E611" s="4"/>
      <c r="F611" s="4"/>
      <c r="G611" s="4"/>
      <c r="H611" s="4"/>
      <c r="I611" s="4"/>
      <c r="J611" s="7"/>
      <c r="K611" s="4"/>
      <c r="L611" s="4"/>
      <c r="M611" s="80"/>
      <c r="N611" s="80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>
      <c r="A612" s="4"/>
      <c r="B612" s="4"/>
      <c r="C612" s="4"/>
      <c r="D612" s="4"/>
      <c r="E612" s="4"/>
      <c r="F612" s="4"/>
      <c r="G612" s="4"/>
      <c r="H612" s="4"/>
      <c r="I612" s="4"/>
      <c r="J612" s="7"/>
      <c r="K612" s="4"/>
      <c r="L612" s="4"/>
      <c r="M612" s="80"/>
      <c r="N612" s="80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>
      <c r="A613" s="4"/>
      <c r="B613" s="4"/>
      <c r="C613" s="4"/>
      <c r="D613" s="4"/>
      <c r="E613" s="4"/>
      <c r="F613" s="4"/>
      <c r="G613" s="4"/>
      <c r="H613" s="4"/>
      <c r="I613" s="4"/>
      <c r="J613" s="7"/>
      <c r="K613" s="4"/>
      <c r="L613" s="4"/>
      <c r="M613" s="80"/>
      <c r="N613" s="80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>
      <c r="A614" s="4"/>
      <c r="B614" s="4"/>
      <c r="C614" s="4"/>
      <c r="D614" s="4"/>
      <c r="E614" s="4"/>
      <c r="F614" s="4"/>
      <c r="G614" s="4"/>
      <c r="H614" s="4"/>
      <c r="I614" s="4"/>
      <c r="J614" s="7"/>
      <c r="K614" s="4"/>
      <c r="L614" s="4"/>
      <c r="M614" s="80"/>
      <c r="N614" s="80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>
      <c r="A615" s="4"/>
      <c r="B615" s="4"/>
      <c r="C615" s="4"/>
      <c r="D615" s="4"/>
      <c r="E615" s="4"/>
      <c r="F615" s="4"/>
      <c r="G615" s="4"/>
      <c r="H615" s="4"/>
      <c r="I615" s="4"/>
      <c r="J615" s="7"/>
      <c r="K615" s="4"/>
      <c r="L615" s="4"/>
      <c r="M615" s="80"/>
      <c r="N615" s="80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>
      <c r="A616" s="4"/>
      <c r="B616" s="4"/>
      <c r="C616" s="4"/>
      <c r="D616" s="4"/>
      <c r="E616" s="4"/>
      <c r="F616" s="4"/>
      <c r="G616" s="4"/>
      <c r="H616" s="4"/>
      <c r="I616" s="4"/>
      <c r="J616" s="7"/>
      <c r="K616" s="4"/>
      <c r="L616" s="4"/>
      <c r="M616" s="80"/>
      <c r="N616" s="80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>
      <c r="A617" s="4"/>
      <c r="B617" s="4"/>
      <c r="C617" s="4"/>
      <c r="D617" s="4"/>
      <c r="E617" s="4"/>
      <c r="F617" s="4"/>
      <c r="G617" s="4"/>
      <c r="H617" s="4"/>
      <c r="I617" s="4"/>
      <c r="J617" s="7"/>
      <c r="K617" s="4"/>
      <c r="L617" s="4"/>
      <c r="M617" s="80"/>
      <c r="N617" s="80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>
      <c r="A618" s="4"/>
      <c r="B618" s="4"/>
      <c r="C618" s="4"/>
      <c r="D618" s="4"/>
      <c r="E618" s="4"/>
      <c r="F618" s="4"/>
      <c r="G618" s="4"/>
      <c r="H618" s="4"/>
      <c r="I618" s="4"/>
      <c r="J618" s="7"/>
      <c r="K618" s="4"/>
      <c r="L618" s="4"/>
      <c r="M618" s="80"/>
      <c r="N618" s="80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>
      <c r="A619" s="4"/>
      <c r="B619" s="4"/>
      <c r="C619" s="4"/>
      <c r="D619" s="4"/>
      <c r="E619" s="4"/>
      <c r="F619" s="4"/>
      <c r="G619" s="4"/>
      <c r="H619" s="4"/>
      <c r="I619" s="4"/>
      <c r="J619" s="7"/>
      <c r="K619" s="4"/>
      <c r="L619" s="4"/>
      <c r="M619" s="80"/>
      <c r="N619" s="80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>
      <c r="A620" s="4"/>
      <c r="B620" s="4"/>
      <c r="C620" s="4"/>
      <c r="D620" s="4"/>
      <c r="E620" s="4"/>
      <c r="F620" s="4"/>
      <c r="G620" s="4"/>
      <c r="H620" s="4"/>
      <c r="I620" s="4"/>
      <c r="J620" s="7"/>
      <c r="K620" s="4"/>
      <c r="L620" s="4"/>
      <c r="M620" s="80"/>
      <c r="N620" s="80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>
      <c r="A621" s="4"/>
      <c r="B621" s="4"/>
      <c r="C621" s="4"/>
      <c r="D621" s="4"/>
      <c r="E621" s="4"/>
      <c r="F621" s="4"/>
      <c r="G621" s="4"/>
      <c r="H621" s="4"/>
      <c r="I621" s="4"/>
      <c r="J621" s="7"/>
      <c r="K621" s="4"/>
      <c r="L621" s="4"/>
      <c r="M621" s="80"/>
      <c r="N621" s="80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>
      <c r="A622" s="4"/>
      <c r="B622" s="4"/>
      <c r="C622" s="4"/>
      <c r="D622" s="4"/>
      <c r="E622" s="4"/>
      <c r="F622" s="4"/>
      <c r="G622" s="4"/>
      <c r="H622" s="4"/>
      <c r="I622" s="4"/>
      <c r="J622" s="7"/>
      <c r="K622" s="4"/>
      <c r="L622" s="4"/>
      <c r="M622" s="80"/>
      <c r="N622" s="80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>
      <c r="A623" s="4"/>
      <c r="B623" s="4"/>
      <c r="C623" s="4"/>
      <c r="D623" s="4"/>
      <c r="E623" s="4"/>
      <c r="F623" s="4"/>
      <c r="G623" s="4"/>
      <c r="H623" s="4"/>
      <c r="I623" s="4"/>
      <c r="J623" s="7"/>
      <c r="K623" s="4"/>
      <c r="L623" s="4"/>
      <c r="M623" s="80"/>
      <c r="N623" s="80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>
      <c r="A624" s="4"/>
      <c r="B624" s="4"/>
      <c r="C624" s="4"/>
      <c r="D624" s="4"/>
      <c r="E624" s="4"/>
      <c r="F624" s="4"/>
      <c r="G624" s="4"/>
      <c r="H624" s="4"/>
      <c r="I624" s="4"/>
      <c r="J624" s="7"/>
      <c r="K624" s="4"/>
      <c r="L624" s="4"/>
      <c r="M624" s="80"/>
      <c r="N624" s="80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>
      <c r="A625" s="4"/>
      <c r="B625" s="4"/>
      <c r="C625" s="4"/>
      <c r="D625" s="4"/>
      <c r="E625" s="4"/>
      <c r="F625" s="4"/>
      <c r="G625" s="4"/>
      <c r="H625" s="4"/>
      <c r="I625" s="4"/>
      <c r="J625" s="7"/>
      <c r="K625" s="4"/>
      <c r="L625" s="4"/>
      <c r="M625" s="80"/>
      <c r="N625" s="80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>
      <c r="A626" s="4"/>
      <c r="B626" s="4"/>
      <c r="C626" s="4"/>
      <c r="D626" s="4"/>
      <c r="E626" s="4"/>
      <c r="F626" s="4"/>
      <c r="G626" s="4"/>
      <c r="H626" s="4"/>
      <c r="I626" s="4"/>
      <c r="J626" s="7"/>
      <c r="K626" s="4"/>
      <c r="L626" s="4"/>
      <c r="M626" s="80"/>
      <c r="N626" s="80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>
      <c r="A627" s="4"/>
      <c r="B627" s="4"/>
      <c r="C627" s="4"/>
      <c r="D627" s="4"/>
      <c r="E627" s="4"/>
      <c r="F627" s="4"/>
      <c r="G627" s="4"/>
      <c r="H627" s="4"/>
      <c r="I627" s="4"/>
      <c r="J627" s="7"/>
      <c r="K627" s="4"/>
      <c r="L627" s="4"/>
      <c r="M627" s="80"/>
      <c r="N627" s="80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>
      <c r="A628" s="4"/>
      <c r="B628" s="4"/>
      <c r="C628" s="4"/>
      <c r="D628" s="4"/>
      <c r="E628" s="4"/>
      <c r="F628" s="4"/>
      <c r="G628" s="4"/>
      <c r="H628" s="4"/>
      <c r="I628" s="4"/>
      <c r="J628" s="7"/>
      <c r="K628" s="4"/>
      <c r="L628" s="4"/>
      <c r="M628" s="80"/>
      <c r="N628" s="80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>
      <c r="A629" s="4"/>
      <c r="B629" s="4"/>
      <c r="C629" s="4"/>
      <c r="D629" s="4"/>
      <c r="E629" s="4"/>
      <c r="F629" s="4"/>
      <c r="G629" s="4"/>
      <c r="H629" s="4"/>
      <c r="I629" s="4"/>
      <c r="J629" s="7"/>
      <c r="K629" s="4"/>
      <c r="L629" s="4"/>
      <c r="M629" s="80"/>
      <c r="N629" s="80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>
      <c r="A630" s="4"/>
      <c r="B630" s="4"/>
      <c r="C630" s="4"/>
      <c r="D630" s="4"/>
      <c r="E630" s="4"/>
      <c r="F630" s="4"/>
      <c r="G630" s="4"/>
      <c r="H630" s="4"/>
      <c r="I630" s="4"/>
      <c r="J630" s="7"/>
      <c r="K630" s="4"/>
      <c r="L630" s="4"/>
      <c r="M630" s="80"/>
      <c r="N630" s="80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>
      <c r="A631" s="4"/>
      <c r="B631" s="4"/>
      <c r="C631" s="4"/>
      <c r="D631" s="4"/>
      <c r="E631" s="4"/>
      <c r="F631" s="4"/>
      <c r="G631" s="4"/>
      <c r="H631" s="4"/>
      <c r="I631" s="4"/>
      <c r="J631" s="7"/>
      <c r="K631" s="4"/>
      <c r="L631" s="4"/>
      <c r="M631" s="80"/>
      <c r="N631" s="80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>
      <c r="A632" s="4"/>
      <c r="B632" s="4"/>
      <c r="C632" s="4"/>
      <c r="D632" s="4"/>
      <c r="E632" s="4"/>
      <c r="F632" s="4"/>
      <c r="G632" s="4"/>
      <c r="H632" s="4"/>
      <c r="I632" s="4"/>
      <c r="J632" s="7"/>
      <c r="K632" s="4"/>
      <c r="L632" s="4"/>
      <c r="M632" s="80"/>
      <c r="N632" s="80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>
      <c r="A633" s="4"/>
      <c r="B633" s="4"/>
      <c r="C633" s="4"/>
      <c r="D633" s="4"/>
      <c r="E633" s="4"/>
      <c r="F633" s="4"/>
      <c r="G633" s="4"/>
      <c r="H633" s="4"/>
      <c r="I633" s="4"/>
      <c r="J633" s="7"/>
      <c r="K633" s="4"/>
      <c r="L633" s="4"/>
      <c r="M633" s="80"/>
      <c r="N633" s="80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>
      <c r="A634" s="4"/>
      <c r="B634" s="4"/>
      <c r="C634" s="4"/>
      <c r="D634" s="4"/>
      <c r="E634" s="4"/>
      <c r="F634" s="4"/>
      <c r="G634" s="4"/>
      <c r="H634" s="4"/>
      <c r="I634" s="4"/>
      <c r="J634" s="7"/>
      <c r="K634" s="4"/>
      <c r="L634" s="4"/>
      <c r="M634" s="80"/>
      <c r="N634" s="80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>
      <c r="A635" s="4"/>
      <c r="B635" s="4"/>
      <c r="C635" s="4"/>
      <c r="D635" s="4"/>
      <c r="E635" s="4"/>
      <c r="F635" s="4"/>
      <c r="G635" s="4"/>
      <c r="H635" s="4"/>
      <c r="I635" s="4"/>
      <c r="J635" s="7"/>
      <c r="K635" s="4"/>
      <c r="L635" s="4"/>
      <c r="M635" s="80"/>
      <c r="N635" s="80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>
      <c r="A636" s="4"/>
      <c r="B636" s="4"/>
      <c r="C636" s="4"/>
      <c r="D636" s="4"/>
      <c r="E636" s="4"/>
      <c r="F636" s="4"/>
      <c r="G636" s="4"/>
      <c r="H636" s="4"/>
      <c r="I636" s="4"/>
      <c r="J636" s="7"/>
      <c r="K636" s="4"/>
      <c r="L636" s="4"/>
      <c r="M636" s="80"/>
      <c r="N636" s="80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>
      <c r="A637" s="4"/>
      <c r="B637" s="4"/>
      <c r="C637" s="4"/>
      <c r="D637" s="4"/>
      <c r="E637" s="4"/>
      <c r="F637" s="4"/>
      <c r="G637" s="4"/>
      <c r="H637" s="4"/>
      <c r="I637" s="4"/>
      <c r="J637" s="7"/>
      <c r="K637" s="4"/>
      <c r="L637" s="4"/>
      <c r="M637" s="80"/>
      <c r="N637" s="80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>
      <c r="A638" s="4"/>
      <c r="B638" s="4"/>
      <c r="C638" s="4"/>
      <c r="D638" s="4"/>
      <c r="E638" s="4"/>
      <c r="F638" s="4"/>
      <c r="G638" s="4"/>
      <c r="H638" s="4"/>
      <c r="I638" s="4"/>
      <c r="J638" s="7"/>
      <c r="K638" s="4"/>
      <c r="L638" s="4"/>
      <c r="M638" s="80"/>
      <c r="N638" s="80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>
      <c r="A639" s="4"/>
      <c r="B639" s="4"/>
      <c r="C639" s="4"/>
      <c r="D639" s="4"/>
      <c r="E639" s="4"/>
      <c r="F639" s="4"/>
      <c r="G639" s="4"/>
      <c r="H639" s="4"/>
      <c r="I639" s="4"/>
      <c r="J639" s="7"/>
      <c r="K639" s="4"/>
      <c r="L639" s="4"/>
      <c r="M639" s="80"/>
      <c r="N639" s="80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>
      <c r="A640" s="4"/>
      <c r="B640" s="4"/>
      <c r="C640" s="4"/>
      <c r="D640" s="4"/>
      <c r="E640" s="4"/>
      <c r="F640" s="4"/>
      <c r="G640" s="4"/>
      <c r="H640" s="4"/>
      <c r="I640" s="4"/>
      <c r="J640" s="7"/>
      <c r="K640" s="4"/>
      <c r="L640" s="4"/>
      <c r="M640" s="80"/>
      <c r="N640" s="80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>
      <c r="A641" s="4"/>
      <c r="B641" s="4"/>
      <c r="C641" s="4"/>
      <c r="D641" s="4"/>
      <c r="E641" s="4"/>
      <c r="F641" s="4"/>
      <c r="G641" s="4"/>
      <c r="H641" s="4"/>
      <c r="I641" s="4"/>
      <c r="J641" s="7"/>
      <c r="K641" s="4"/>
      <c r="L641" s="4"/>
      <c r="M641" s="80"/>
      <c r="N641" s="80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>
      <c r="A642" s="4"/>
      <c r="B642" s="4"/>
      <c r="C642" s="4"/>
      <c r="D642" s="4"/>
      <c r="E642" s="4"/>
      <c r="F642" s="4"/>
      <c r="G642" s="4"/>
      <c r="H642" s="4"/>
      <c r="I642" s="4"/>
      <c r="J642" s="7"/>
      <c r="K642" s="4"/>
      <c r="L642" s="4"/>
      <c r="M642" s="80"/>
      <c r="N642" s="80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>
      <c r="A643" s="4"/>
      <c r="B643" s="4"/>
      <c r="C643" s="4"/>
      <c r="D643" s="4"/>
      <c r="E643" s="4"/>
      <c r="F643" s="4"/>
      <c r="G643" s="4"/>
      <c r="H643" s="4"/>
      <c r="I643" s="4"/>
      <c r="J643" s="7"/>
      <c r="K643" s="4"/>
      <c r="L643" s="4"/>
      <c r="M643" s="80"/>
      <c r="N643" s="80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>
      <c r="A644" s="4"/>
      <c r="B644" s="4"/>
      <c r="C644" s="4"/>
      <c r="D644" s="4"/>
      <c r="E644" s="4"/>
      <c r="F644" s="4"/>
      <c r="G644" s="4"/>
      <c r="H644" s="4"/>
      <c r="I644" s="4"/>
      <c r="J644" s="7"/>
      <c r="K644" s="4"/>
      <c r="L644" s="4"/>
      <c r="M644" s="80"/>
      <c r="N644" s="80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>
      <c r="A645" s="4"/>
      <c r="B645" s="4"/>
      <c r="C645" s="4"/>
      <c r="D645" s="4"/>
      <c r="E645" s="4"/>
      <c r="F645" s="4"/>
      <c r="G645" s="4"/>
      <c r="H645" s="4"/>
      <c r="I645" s="4"/>
      <c r="J645" s="7"/>
      <c r="K645" s="4"/>
      <c r="L645" s="4"/>
      <c r="M645" s="80"/>
      <c r="N645" s="80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>
      <c r="A646" s="4"/>
      <c r="B646" s="4"/>
      <c r="C646" s="4"/>
      <c r="D646" s="4"/>
      <c r="E646" s="4"/>
      <c r="F646" s="4"/>
      <c r="G646" s="4"/>
      <c r="H646" s="4"/>
      <c r="I646" s="4"/>
      <c r="J646" s="7"/>
      <c r="K646" s="4"/>
      <c r="L646" s="4"/>
      <c r="M646" s="80"/>
      <c r="N646" s="80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>
      <c r="A647" s="4"/>
      <c r="B647" s="4"/>
      <c r="C647" s="4"/>
      <c r="D647" s="4"/>
      <c r="E647" s="4"/>
      <c r="F647" s="4"/>
      <c r="G647" s="4"/>
      <c r="H647" s="4"/>
      <c r="I647" s="4"/>
      <c r="J647" s="7"/>
      <c r="K647" s="4"/>
      <c r="L647" s="4"/>
      <c r="M647" s="80"/>
      <c r="N647" s="80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>
      <c r="A648" s="4"/>
      <c r="B648" s="4"/>
      <c r="C648" s="4"/>
      <c r="D648" s="4"/>
      <c r="E648" s="4"/>
      <c r="F648" s="4"/>
      <c r="G648" s="4"/>
      <c r="H648" s="4"/>
      <c r="I648" s="4"/>
      <c r="J648" s="7"/>
      <c r="K648" s="4"/>
      <c r="L648" s="4"/>
      <c r="M648" s="80"/>
      <c r="N648" s="80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>
      <c r="A649" s="4"/>
      <c r="B649" s="4"/>
      <c r="C649" s="4"/>
      <c r="D649" s="4"/>
      <c r="E649" s="4"/>
      <c r="F649" s="4"/>
      <c r="G649" s="4"/>
      <c r="H649" s="4"/>
      <c r="I649" s="4"/>
      <c r="J649" s="7"/>
      <c r="K649" s="4"/>
      <c r="L649" s="4"/>
      <c r="M649" s="80"/>
      <c r="N649" s="80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>
      <c r="A650" s="4"/>
      <c r="B650" s="4"/>
      <c r="C650" s="4"/>
      <c r="D650" s="4"/>
      <c r="E650" s="4"/>
      <c r="F650" s="4"/>
      <c r="G650" s="4"/>
      <c r="H650" s="4"/>
      <c r="I650" s="4"/>
      <c r="J650" s="7"/>
      <c r="K650" s="4"/>
      <c r="L650" s="4"/>
      <c r="M650" s="80"/>
      <c r="N650" s="80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>
      <c r="A651" s="4"/>
      <c r="B651" s="4"/>
      <c r="C651" s="4"/>
      <c r="D651" s="4"/>
      <c r="E651" s="4"/>
      <c r="F651" s="4"/>
      <c r="G651" s="4"/>
      <c r="H651" s="4"/>
      <c r="I651" s="4"/>
      <c r="J651" s="7"/>
      <c r="K651" s="4"/>
      <c r="L651" s="4"/>
      <c r="M651" s="80"/>
      <c r="N651" s="80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>
      <c r="A652" s="4"/>
      <c r="B652" s="4"/>
      <c r="C652" s="4"/>
      <c r="D652" s="4"/>
      <c r="E652" s="4"/>
      <c r="F652" s="4"/>
      <c r="G652" s="4"/>
      <c r="H652" s="4"/>
      <c r="I652" s="4"/>
      <c r="J652" s="7"/>
      <c r="K652" s="4"/>
      <c r="L652" s="4"/>
      <c r="M652" s="80"/>
      <c r="N652" s="80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>
      <c r="A653" s="4"/>
      <c r="B653" s="4"/>
      <c r="C653" s="4"/>
      <c r="D653" s="4"/>
      <c r="E653" s="4"/>
      <c r="F653" s="4"/>
      <c r="G653" s="4"/>
      <c r="H653" s="4"/>
      <c r="I653" s="4"/>
      <c r="J653" s="7"/>
      <c r="K653" s="4"/>
      <c r="L653" s="4"/>
      <c r="M653" s="80"/>
      <c r="N653" s="80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>
      <c r="A654" s="4"/>
      <c r="B654" s="4"/>
      <c r="C654" s="4"/>
      <c r="D654" s="4"/>
      <c r="E654" s="4"/>
      <c r="F654" s="4"/>
      <c r="G654" s="4"/>
      <c r="H654" s="4"/>
      <c r="I654" s="4"/>
      <c r="J654" s="7"/>
      <c r="K654" s="4"/>
      <c r="L654" s="4"/>
      <c r="M654" s="80"/>
      <c r="N654" s="80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>
      <c r="A655" s="4"/>
      <c r="B655" s="4"/>
      <c r="C655" s="4"/>
      <c r="D655" s="4"/>
      <c r="E655" s="4"/>
      <c r="F655" s="4"/>
      <c r="G655" s="4"/>
      <c r="H655" s="4"/>
      <c r="I655" s="4"/>
      <c r="J655" s="7"/>
      <c r="K655" s="4"/>
      <c r="L655" s="4"/>
      <c r="M655" s="80"/>
      <c r="N655" s="80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>
      <c r="A656" s="4"/>
      <c r="B656" s="4"/>
      <c r="C656" s="4"/>
      <c r="D656" s="4"/>
      <c r="E656" s="4"/>
      <c r="F656" s="4"/>
      <c r="G656" s="4"/>
      <c r="H656" s="4"/>
      <c r="I656" s="4"/>
      <c r="J656" s="7"/>
      <c r="K656" s="4"/>
      <c r="L656" s="4"/>
      <c r="M656" s="80"/>
      <c r="N656" s="80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>
      <c r="A657" s="4"/>
      <c r="B657" s="4"/>
      <c r="C657" s="4"/>
      <c r="D657" s="4"/>
      <c r="E657" s="4"/>
      <c r="F657" s="4"/>
      <c r="G657" s="4"/>
      <c r="H657" s="4"/>
      <c r="I657" s="4"/>
      <c r="J657" s="7"/>
      <c r="K657" s="4"/>
      <c r="L657" s="4"/>
      <c r="M657" s="80"/>
      <c r="N657" s="80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>
      <c r="A658" s="4"/>
      <c r="B658" s="4"/>
      <c r="C658" s="4"/>
      <c r="D658" s="4"/>
      <c r="E658" s="4"/>
      <c r="F658" s="4"/>
      <c r="G658" s="4"/>
      <c r="H658" s="4"/>
      <c r="I658" s="4"/>
      <c r="J658" s="7"/>
      <c r="K658" s="4"/>
      <c r="L658" s="4"/>
      <c r="M658" s="80"/>
      <c r="N658" s="80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>
      <c r="A659" s="4"/>
      <c r="B659" s="4"/>
      <c r="C659" s="4"/>
      <c r="D659" s="4"/>
      <c r="E659" s="4"/>
      <c r="F659" s="4"/>
      <c r="G659" s="4"/>
      <c r="H659" s="4"/>
      <c r="I659" s="4"/>
      <c r="J659" s="7"/>
      <c r="K659" s="4"/>
      <c r="L659" s="4"/>
      <c r="M659" s="80"/>
      <c r="N659" s="80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>
      <c r="A660" s="4"/>
      <c r="B660" s="4"/>
      <c r="C660" s="4"/>
      <c r="D660" s="4"/>
      <c r="E660" s="4"/>
      <c r="F660" s="4"/>
      <c r="G660" s="4"/>
      <c r="H660" s="4"/>
      <c r="I660" s="4"/>
      <c r="J660" s="7"/>
      <c r="K660" s="4"/>
      <c r="L660" s="4"/>
      <c r="M660" s="80"/>
      <c r="N660" s="80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>
      <c r="A661" s="4"/>
      <c r="B661" s="4"/>
      <c r="C661" s="4"/>
      <c r="D661" s="4"/>
      <c r="E661" s="4"/>
      <c r="F661" s="4"/>
      <c r="G661" s="4"/>
      <c r="H661" s="4"/>
      <c r="I661" s="4"/>
      <c r="J661" s="7"/>
      <c r="K661" s="4"/>
      <c r="L661" s="4"/>
      <c r="M661" s="80"/>
      <c r="N661" s="80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>
      <c r="A662" s="4"/>
      <c r="B662" s="4"/>
      <c r="C662" s="4"/>
      <c r="D662" s="4"/>
      <c r="E662" s="4"/>
      <c r="F662" s="4"/>
      <c r="G662" s="4"/>
      <c r="H662" s="4"/>
      <c r="I662" s="4"/>
      <c r="J662" s="7"/>
      <c r="K662" s="4"/>
      <c r="L662" s="4"/>
      <c r="M662" s="80"/>
      <c r="N662" s="80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>
      <c r="A663" s="4"/>
      <c r="B663" s="4"/>
      <c r="C663" s="4"/>
      <c r="D663" s="4"/>
      <c r="E663" s="4"/>
      <c r="F663" s="4"/>
      <c r="G663" s="4"/>
      <c r="H663" s="4"/>
      <c r="I663" s="4"/>
      <c r="J663" s="7"/>
      <c r="K663" s="4"/>
      <c r="L663" s="4"/>
      <c r="M663" s="80"/>
      <c r="N663" s="80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>
      <c r="A664" s="4"/>
      <c r="B664" s="4"/>
      <c r="C664" s="4"/>
      <c r="D664" s="4"/>
      <c r="E664" s="4"/>
      <c r="F664" s="4"/>
      <c r="G664" s="4"/>
      <c r="H664" s="4"/>
      <c r="I664" s="4"/>
      <c r="J664" s="7"/>
      <c r="K664" s="4"/>
      <c r="L664" s="4"/>
      <c r="M664" s="80"/>
      <c r="N664" s="80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>
      <c r="A665" s="4"/>
      <c r="B665" s="4"/>
      <c r="C665" s="4"/>
      <c r="D665" s="4"/>
      <c r="E665" s="4"/>
      <c r="F665" s="4"/>
      <c r="G665" s="4"/>
      <c r="H665" s="4"/>
      <c r="I665" s="4"/>
      <c r="J665" s="7"/>
      <c r="K665" s="4"/>
      <c r="L665" s="4"/>
      <c r="M665" s="80"/>
      <c r="N665" s="80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>
      <c r="A666" s="4"/>
      <c r="B666" s="4"/>
      <c r="C666" s="4"/>
      <c r="D666" s="4"/>
      <c r="E666" s="4"/>
      <c r="F666" s="4"/>
      <c r="G666" s="4"/>
      <c r="H666" s="4"/>
      <c r="I666" s="4"/>
      <c r="J666" s="7"/>
      <c r="K666" s="4"/>
      <c r="L666" s="4"/>
      <c r="M666" s="80"/>
      <c r="N666" s="80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>
      <c r="A667" s="4"/>
      <c r="B667" s="4"/>
      <c r="C667" s="4"/>
      <c r="D667" s="4"/>
      <c r="E667" s="4"/>
      <c r="F667" s="4"/>
      <c r="G667" s="4"/>
      <c r="H667" s="4"/>
      <c r="I667" s="4"/>
      <c r="J667" s="7"/>
      <c r="K667" s="4"/>
      <c r="L667" s="4"/>
      <c r="M667" s="80"/>
      <c r="N667" s="80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>
      <c r="A668" s="4"/>
      <c r="B668" s="4"/>
      <c r="C668" s="4"/>
      <c r="D668" s="4"/>
      <c r="E668" s="4"/>
      <c r="F668" s="4"/>
      <c r="G668" s="4"/>
      <c r="H668" s="4"/>
      <c r="I668" s="4"/>
      <c r="J668" s="7"/>
      <c r="K668" s="4"/>
      <c r="L668" s="4"/>
      <c r="M668" s="80"/>
      <c r="N668" s="80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>
      <c r="A669" s="4"/>
      <c r="B669" s="4"/>
      <c r="C669" s="4"/>
      <c r="D669" s="4"/>
      <c r="E669" s="4"/>
      <c r="F669" s="4"/>
      <c r="G669" s="4"/>
      <c r="H669" s="4"/>
      <c r="I669" s="4"/>
      <c r="J669" s="7"/>
      <c r="K669" s="4"/>
      <c r="L669" s="4"/>
      <c r="M669" s="80"/>
      <c r="N669" s="80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>
      <c r="A670" s="4"/>
      <c r="B670" s="4"/>
      <c r="C670" s="4"/>
      <c r="D670" s="4"/>
      <c r="E670" s="4"/>
      <c r="F670" s="4"/>
      <c r="G670" s="4"/>
      <c r="H670" s="4"/>
      <c r="I670" s="4"/>
      <c r="J670" s="7"/>
      <c r="K670" s="4"/>
      <c r="L670" s="4"/>
      <c r="M670" s="80"/>
      <c r="N670" s="80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>
      <c r="A671" s="4"/>
      <c r="B671" s="4"/>
      <c r="C671" s="4"/>
      <c r="D671" s="4"/>
      <c r="E671" s="4"/>
      <c r="F671" s="4"/>
      <c r="G671" s="4"/>
      <c r="H671" s="4"/>
      <c r="I671" s="4"/>
      <c r="J671" s="7"/>
      <c r="K671" s="4"/>
      <c r="L671" s="4"/>
      <c r="M671" s="80"/>
      <c r="N671" s="80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>
      <c r="A672" s="4"/>
      <c r="B672" s="4"/>
      <c r="C672" s="4"/>
      <c r="D672" s="4"/>
      <c r="E672" s="4"/>
      <c r="F672" s="4"/>
      <c r="G672" s="4"/>
      <c r="H672" s="4"/>
      <c r="I672" s="4"/>
      <c r="J672" s="7"/>
      <c r="K672" s="4"/>
      <c r="L672" s="4"/>
      <c r="M672" s="80"/>
      <c r="N672" s="80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>
      <c r="A673" s="4"/>
      <c r="B673" s="4"/>
      <c r="C673" s="4"/>
      <c r="D673" s="4"/>
      <c r="E673" s="4"/>
      <c r="F673" s="4"/>
      <c r="G673" s="4"/>
      <c r="H673" s="4"/>
      <c r="I673" s="4"/>
      <c r="J673" s="7"/>
      <c r="K673" s="4"/>
      <c r="L673" s="4"/>
      <c r="M673" s="80"/>
      <c r="N673" s="80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>
      <c r="A674" s="4"/>
      <c r="B674" s="4"/>
      <c r="C674" s="4"/>
      <c r="D674" s="4"/>
      <c r="E674" s="4"/>
      <c r="F674" s="4"/>
      <c r="G674" s="4"/>
      <c r="H674" s="4"/>
      <c r="I674" s="4"/>
      <c r="J674" s="7"/>
      <c r="K674" s="4"/>
      <c r="L674" s="4"/>
      <c r="M674" s="80"/>
      <c r="N674" s="80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>
      <c r="A675" s="4"/>
      <c r="B675" s="4"/>
      <c r="C675" s="4"/>
      <c r="D675" s="4"/>
      <c r="E675" s="4"/>
      <c r="F675" s="4"/>
      <c r="G675" s="4"/>
      <c r="H675" s="4"/>
      <c r="I675" s="4"/>
      <c r="J675" s="7"/>
      <c r="K675" s="4"/>
      <c r="L675" s="4"/>
      <c r="M675" s="80"/>
      <c r="N675" s="80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>
      <c r="A676" s="4"/>
      <c r="B676" s="4"/>
      <c r="C676" s="4"/>
      <c r="D676" s="4"/>
      <c r="E676" s="4"/>
      <c r="F676" s="4"/>
      <c r="G676" s="4"/>
      <c r="H676" s="4"/>
      <c r="I676" s="4"/>
      <c r="J676" s="7"/>
      <c r="K676" s="4"/>
      <c r="L676" s="4"/>
      <c r="M676" s="80"/>
      <c r="N676" s="80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>
      <c r="A677" s="4"/>
      <c r="B677" s="4"/>
      <c r="C677" s="4"/>
      <c r="D677" s="4"/>
      <c r="E677" s="4"/>
      <c r="F677" s="4"/>
      <c r="G677" s="4"/>
      <c r="H677" s="4"/>
      <c r="I677" s="4"/>
      <c r="J677" s="7"/>
      <c r="K677" s="4"/>
      <c r="L677" s="4"/>
      <c r="M677" s="80"/>
      <c r="N677" s="80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>
      <c r="A678" s="4"/>
      <c r="B678" s="4"/>
      <c r="C678" s="4"/>
      <c r="D678" s="4"/>
      <c r="E678" s="4"/>
      <c r="F678" s="4"/>
      <c r="G678" s="4"/>
      <c r="H678" s="4"/>
      <c r="I678" s="4"/>
      <c r="J678" s="7"/>
      <c r="K678" s="4"/>
      <c r="L678" s="4"/>
      <c r="M678" s="80"/>
      <c r="N678" s="80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>
      <c r="A679" s="4"/>
      <c r="B679" s="4"/>
      <c r="C679" s="4"/>
      <c r="D679" s="4"/>
      <c r="E679" s="4"/>
      <c r="F679" s="4"/>
      <c r="G679" s="4"/>
      <c r="H679" s="4"/>
      <c r="I679" s="4"/>
      <c r="J679" s="7"/>
      <c r="K679" s="4"/>
      <c r="L679" s="4"/>
      <c r="M679" s="80"/>
      <c r="N679" s="80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>
      <c r="A680" s="4"/>
      <c r="B680" s="4"/>
      <c r="C680" s="4"/>
      <c r="D680" s="4"/>
      <c r="E680" s="4"/>
      <c r="F680" s="4"/>
      <c r="G680" s="4"/>
      <c r="H680" s="4"/>
      <c r="I680" s="4"/>
      <c r="J680" s="7"/>
      <c r="K680" s="4"/>
      <c r="L680" s="4"/>
      <c r="M680" s="80"/>
      <c r="N680" s="80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>
      <c r="A681" s="4"/>
      <c r="B681" s="4"/>
      <c r="C681" s="4"/>
      <c r="D681" s="4"/>
      <c r="E681" s="4"/>
      <c r="F681" s="4"/>
      <c r="G681" s="4"/>
      <c r="H681" s="4"/>
      <c r="I681" s="4"/>
      <c r="J681" s="7"/>
      <c r="K681" s="4"/>
      <c r="L681" s="4"/>
      <c r="M681" s="80"/>
      <c r="N681" s="80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>
      <c r="A682" s="4"/>
      <c r="B682" s="4"/>
      <c r="C682" s="4"/>
      <c r="D682" s="4"/>
      <c r="E682" s="4"/>
      <c r="F682" s="4"/>
      <c r="G682" s="4"/>
      <c r="H682" s="4"/>
      <c r="I682" s="4"/>
      <c r="J682" s="7"/>
      <c r="K682" s="4"/>
      <c r="L682" s="4"/>
      <c r="M682" s="80"/>
      <c r="N682" s="80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>
      <c r="A683" s="4"/>
      <c r="B683" s="4"/>
      <c r="C683" s="4"/>
      <c r="D683" s="4"/>
      <c r="E683" s="4"/>
      <c r="F683" s="4"/>
      <c r="G683" s="4"/>
      <c r="H683" s="4"/>
      <c r="I683" s="4"/>
      <c r="J683" s="7"/>
      <c r="K683" s="4"/>
      <c r="L683" s="4"/>
      <c r="M683" s="80"/>
      <c r="N683" s="80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>
      <c r="A684" s="4"/>
      <c r="B684" s="4"/>
      <c r="C684" s="4"/>
      <c r="D684" s="4"/>
      <c r="E684" s="4"/>
      <c r="F684" s="4"/>
      <c r="G684" s="4"/>
      <c r="H684" s="4"/>
      <c r="I684" s="4"/>
      <c r="J684" s="7"/>
      <c r="K684" s="4"/>
      <c r="L684" s="4"/>
      <c r="M684" s="80"/>
      <c r="N684" s="80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>
      <c r="A685" s="4"/>
      <c r="B685" s="4"/>
      <c r="C685" s="4"/>
      <c r="D685" s="4"/>
      <c r="E685" s="4"/>
      <c r="F685" s="4"/>
      <c r="G685" s="4"/>
      <c r="H685" s="4"/>
      <c r="I685" s="4"/>
      <c r="J685" s="7"/>
      <c r="K685" s="4"/>
      <c r="L685" s="4"/>
      <c r="M685" s="80"/>
      <c r="N685" s="80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>
      <c r="A686" s="4"/>
      <c r="B686" s="4"/>
      <c r="C686" s="4"/>
      <c r="D686" s="4"/>
      <c r="E686" s="4"/>
      <c r="F686" s="4"/>
      <c r="G686" s="4"/>
      <c r="H686" s="4"/>
      <c r="I686" s="4"/>
      <c r="J686" s="7"/>
      <c r="K686" s="4"/>
      <c r="L686" s="4"/>
      <c r="M686" s="80"/>
      <c r="N686" s="80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>
      <c r="A687" s="4"/>
      <c r="B687" s="4"/>
      <c r="C687" s="4"/>
      <c r="D687" s="4"/>
      <c r="E687" s="4"/>
      <c r="F687" s="4"/>
      <c r="G687" s="4"/>
      <c r="H687" s="4"/>
      <c r="I687" s="4"/>
      <c r="J687" s="7"/>
      <c r="K687" s="4"/>
      <c r="L687" s="4"/>
      <c r="M687" s="80"/>
      <c r="N687" s="80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>
      <c r="A688" s="4"/>
      <c r="B688" s="4"/>
      <c r="C688" s="4"/>
      <c r="D688" s="4"/>
      <c r="E688" s="4"/>
      <c r="F688" s="4"/>
      <c r="G688" s="4"/>
      <c r="H688" s="4"/>
      <c r="I688" s="4"/>
      <c r="J688" s="7"/>
      <c r="K688" s="4"/>
      <c r="L688" s="4"/>
      <c r="M688" s="80"/>
      <c r="N688" s="80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>
      <c r="A689" s="4"/>
      <c r="B689" s="4"/>
      <c r="C689" s="4"/>
      <c r="D689" s="4"/>
      <c r="E689" s="4"/>
      <c r="F689" s="4"/>
      <c r="G689" s="4"/>
      <c r="H689" s="4"/>
      <c r="I689" s="4"/>
      <c r="J689" s="7"/>
      <c r="K689" s="4"/>
      <c r="L689" s="4"/>
      <c r="M689" s="80"/>
      <c r="N689" s="80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>
      <c r="A690" s="4"/>
      <c r="B690" s="4"/>
      <c r="C690" s="4"/>
      <c r="D690" s="4"/>
      <c r="E690" s="4"/>
      <c r="F690" s="4"/>
      <c r="G690" s="4"/>
      <c r="H690" s="4"/>
      <c r="I690" s="4"/>
      <c r="J690" s="7"/>
      <c r="K690" s="4"/>
      <c r="L690" s="4"/>
      <c r="M690" s="80"/>
      <c r="N690" s="80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>
      <c r="A691" s="4"/>
      <c r="B691" s="4"/>
      <c r="C691" s="4"/>
      <c r="D691" s="4"/>
      <c r="E691" s="4"/>
      <c r="F691" s="4"/>
      <c r="G691" s="4"/>
      <c r="H691" s="4"/>
      <c r="I691" s="4"/>
      <c r="J691" s="7"/>
      <c r="K691" s="4"/>
      <c r="L691" s="4"/>
      <c r="M691" s="80"/>
      <c r="N691" s="80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>
      <c r="A692" s="4"/>
      <c r="B692" s="4"/>
      <c r="C692" s="4"/>
      <c r="D692" s="4"/>
      <c r="E692" s="4"/>
      <c r="F692" s="4"/>
      <c r="G692" s="4"/>
      <c r="H692" s="4"/>
      <c r="I692" s="4"/>
      <c r="J692" s="7"/>
      <c r="K692" s="4"/>
      <c r="L692" s="4"/>
      <c r="M692" s="80"/>
      <c r="N692" s="80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>
      <c r="A693" s="4"/>
      <c r="B693" s="4"/>
      <c r="C693" s="4"/>
      <c r="D693" s="4"/>
      <c r="E693" s="4"/>
      <c r="F693" s="4"/>
      <c r="G693" s="4"/>
      <c r="H693" s="4"/>
      <c r="I693" s="4"/>
      <c r="J693" s="7"/>
      <c r="K693" s="4"/>
      <c r="L693" s="4"/>
      <c r="M693" s="80"/>
      <c r="N693" s="80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>
      <c r="A694" s="4"/>
      <c r="B694" s="4"/>
      <c r="C694" s="4"/>
      <c r="D694" s="4"/>
      <c r="E694" s="4"/>
      <c r="F694" s="4"/>
      <c r="G694" s="4"/>
      <c r="H694" s="4"/>
      <c r="I694" s="4"/>
      <c r="J694" s="7"/>
      <c r="K694" s="4"/>
      <c r="L694" s="4"/>
      <c r="M694" s="80"/>
      <c r="N694" s="80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>
      <c r="A695" s="4"/>
      <c r="B695" s="4"/>
      <c r="C695" s="4"/>
      <c r="D695" s="4"/>
      <c r="E695" s="4"/>
      <c r="F695" s="4"/>
      <c r="G695" s="4"/>
      <c r="H695" s="4"/>
      <c r="I695" s="4"/>
      <c r="J695" s="7"/>
      <c r="K695" s="4"/>
      <c r="L695" s="4"/>
      <c r="M695" s="80"/>
      <c r="N695" s="80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>
      <c r="A696" s="4"/>
      <c r="B696" s="4"/>
      <c r="C696" s="4"/>
      <c r="D696" s="4"/>
      <c r="E696" s="4"/>
      <c r="F696" s="4"/>
      <c r="G696" s="4"/>
      <c r="H696" s="4"/>
      <c r="I696" s="4"/>
      <c r="J696" s="7"/>
      <c r="K696" s="4"/>
      <c r="L696" s="4"/>
      <c r="M696" s="80"/>
      <c r="N696" s="80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>
      <c r="A697" s="4"/>
      <c r="B697" s="4"/>
      <c r="C697" s="4"/>
      <c r="D697" s="4"/>
      <c r="E697" s="4"/>
      <c r="F697" s="4"/>
      <c r="G697" s="4"/>
      <c r="H697" s="4"/>
      <c r="I697" s="4"/>
      <c r="J697" s="7"/>
      <c r="K697" s="4"/>
      <c r="L697" s="4"/>
      <c r="M697" s="80"/>
      <c r="N697" s="80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>
      <c r="A698" s="4"/>
      <c r="B698" s="4"/>
      <c r="C698" s="4"/>
      <c r="D698" s="4"/>
      <c r="E698" s="4"/>
      <c r="F698" s="4"/>
      <c r="G698" s="4"/>
      <c r="H698" s="4"/>
      <c r="I698" s="4"/>
      <c r="J698" s="7"/>
      <c r="K698" s="4"/>
      <c r="L698" s="4"/>
      <c r="M698" s="80"/>
      <c r="N698" s="80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>
      <c r="A699" s="4"/>
      <c r="B699" s="4"/>
      <c r="C699" s="4"/>
      <c r="D699" s="4"/>
      <c r="E699" s="4"/>
      <c r="F699" s="4"/>
      <c r="G699" s="4"/>
      <c r="H699" s="4"/>
      <c r="I699" s="4"/>
      <c r="J699" s="7"/>
      <c r="K699" s="4"/>
      <c r="L699" s="4"/>
      <c r="M699" s="80"/>
      <c r="N699" s="80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>
      <c r="A700" s="4"/>
      <c r="B700" s="4"/>
      <c r="C700" s="4"/>
      <c r="D700" s="4"/>
      <c r="E700" s="4"/>
      <c r="F700" s="4"/>
      <c r="G700" s="4"/>
      <c r="H700" s="4"/>
      <c r="I700" s="4"/>
      <c r="J700" s="7"/>
      <c r="K700" s="4"/>
      <c r="L700" s="4"/>
      <c r="M700" s="80"/>
      <c r="N700" s="80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>
      <c r="A701" s="4"/>
      <c r="B701" s="4"/>
      <c r="C701" s="4"/>
      <c r="D701" s="4"/>
      <c r="E701" s="4"/>
      <c r="F701" s="4"/>
      <c r="G701" s="4"/>
      <c r="H701" s="4"/>
      <c r="I701" s="4"/>
      <c r="J701" s="7"/>
      <c r="K701" s="4"/>
      <c r="L701" s="4"/>
      <c r="M701" s="80"/>
      <c r="N701" s="80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>
      <c r="A702" s="4"/>
      <c r="B702" s="4"/>
      <c r="C702" s="4"/>
      <c r="D702" s="4"/>
      <c r="E702" s="4"/>
      <c r="F702" s="4"/>
      <c r="G702" s="4"/>
      <c r="H702" s="4"/>
      <c r="I702" s="4"/>
      <c r="J702" s="7"/>
      <c r="K702" s="4"/>
      <c r="L702" s="4"/>
      <c r="M702" s="80"/>
      <c r="N702" s="80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>
      <c r="A703" s="4"/>
      <c r="B703" s="4"/>
      <c r="C703" s="4"/>
      <c r="D703" s="4"/>
      <c r="E703" s="4"/>
      <c r="F703" s="4"/>
      <c r="G703" s="4"/>
      <c r="H703" s="4"/>
      <c r="I703" s="4"/>
      <c r="J703" s="7"/>
      <c r="K703" s="4"/>
      <c r="L703" s="4"/>
      <c r="M703" s="80"/>
      <c r="N703" s="80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>
      <c r="A704" s="4"/>
      <c r="B704" s="4"/>
      <c r="C704" s="4"/>
      <c r="D704" s="4"/>
      <c r="E704" s="4"/>
      <c r="F704" s="4"/>
      <c r="G704" s="4"/>
      <c r="H704" s="4"/>
      <c r="I704" s="4"/>
      <c r="J704" s="7"/>
      <c r="K704" s="4"/>
      <c r="L704" s="4"/>
      <c r="M704" s="80"/>
      <c r="N704" s="80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>
      <c r="A705" s="4"/>
      <c r="B705" s="4"/>
      <c r="C705" s="4"/>
      <c r="D705" s="4"/>
      <c r="E705" s="4"/>
      <c r="F705" s="4"/>
      <c r="G705" s="4"/>
      <c r="H705" s="4"/>
      <c r="I705" s="4"/>
      <c r="J705" s="7"/>
      <c r="K705" s="4"/>
      <c r="L705" s="4"/>
      <c r="M705" s="80"/>
      <c r="N705" s="80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>
      <c r="A706" s="4"/>
      <c r="B706" s="4"/>
      <c r="C706" s="4"/>
      <c r="D706" s="4"/>
      <c r="E706" s="4"/>
      <c r="F706" s="4"/>
      <c r="G706" s="4"/>
      <c r="H706" s="4"/>
      <c r="I706" s="4"/>
      <c r="J706" s="7"/>
      <c r="K706" s="4"/>
      <c r="L706" s="4"/>
      <c r="M706" s="80"/>
      <c r="N706" s="80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>
      <c r="A707" s="4"/>
      <c r="B707" s="4"/>
      <c r="C707" s="4"/>
      <c r="D707" s="4"/>
      <c r="E707" s="4"/>
      <c r="F707" s="4"/>
      <c r="G707" s="4"/>
      <c r="H707" s="4"/>
      <c r="I707" s="4"/>
      <c r="J707" s="7"/>
      <c r="K707" s="4"/>
      <c r="L707" s="4"/>
      <c r="M707" s="80"/>
      <c r="N707" s="80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>
      <c r="A708" s="4"/>
      <c r="B708" s="4"/>
      <c r="C708" s="4"/>
      <c r="D708" s="4"/>
      <c r="E708" s="4"/>
      <c r="F708" s="4"/>
      <c r="G708" s="4"/>
      <c r="H708" s="4"/>
      <c r="I708" s="4"/>
      <c r="J708" s="7"/>
      <c r="K708" s="4"/>
      <c r="L708" s="4"/>
      <c r="M708" s="80"/>
      <c r="N708" s="80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>
      <c r="A709" s="4"/>
      <c r="B709" s="4"/>
      <c r="C709" s="4"/>
      <c r="D709" s="4"/>
      <c r="E709" s="4"/>
      <c r="F709" s="4"/>
      <c r="G709" s="4"/>
      <c r="H709" s="4"/>
      <c r="I709" s="4"/>
      <c r="J709" s="7"/>
      <c r="K709" s="4"/>
      <c r="L709" s="4"/>
      <c r="M709" s="80"/>
      <c r="N709" s="80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>
      <c r="A710" s="4"/>
      <c r="B710" s="4"/>
      <c r="C710" s="4"/>
      <c r="D710" s="4"/>
      <c r="E710" s="4"/>
      <c r="F710" s="4"/>
      <c r="G710" s="4"/>
      <c r="H710" s="4"/>
      <c r="I710" s="4"/>
      <c r="J710" s="7"/>
      <c r="K710" s="4"/>
      <c r="L710" s="4"/>
      <c r="M710" s="80"/>
      <c r="N710" s="80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>
      <c r="A711" s="4"/>
      <c r="B711" s="4"/>
      <c r="C711" s="4"/>
      <c r="D711" s="4"/>
      <c r="E711" s="4"/>
      <c r="F711" s="4"/>
      <c r="G711" s="4"/>
      <c r="H711" s="4"/>
      <c r="I711" s="4"/>
      <c r="J711" s="7"/>
      <c r="K711" s="4"/>
      <c r="L711" s="4"/>
      <c r="M711" s="80"/>
      <c r="N711" s="80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>
      <c r="A712" s="4"/>
      <c r="B712" s="4"/>
      <c r="C712" s="4"/>
      <c r="D712" s="4"/>
      <c r="E712" s="4"/>
      <c r="F712" s="4"/>
      <c r="G712" s="4"/>
      <c r="H712" s="4"/>
      <c r="I712" s="4"/>
      <c r="J712" s="7"/>
      <c r="K712" s="4"/>
      <c r="L712" s="4"/>
      <c r="M712" s="80"/>
      <c r="N712" s="80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>
      <c r="A713" s="4"/>
      <c r="B713" s="4"/>
      <c r="C713" s="4"/>
      <c r="D713" s="4"/>
      <c r="E713" s="4"/>
      <c r="F713" s="4"/>
      <c r="G713" s="4"/>
      <c r="H713" s="4"/>
      <c r="I713" s="4"/>
      <c r="J713" s="7"/>
      <c r="K713" s="4"/>
      <c r="L713" s="4"/>
      <c r="M713" s="80"/>
      <c r="N713" s="80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>
      <c r="A714" s="4"/>
      <c r="B714" s="4"/>
      <c r="C714" s="4"/>
      <c r="D714" s="4"/>
      <c r="E714" s="4"/>
      <c r="F714" s="4"/>
      <c r="G714" s="4"/>
      <c r="H714" s="4"/>
      <c r="I714" s="4"/>
      <c r="J714" s="7"/>
      <c r="K714" s="4"/>
      <c r="L714" s="4"/>
      <c r="M714" s="80"/>
      <c r="N714" s="80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>
      <c r="A715" s="4"/>
      <c r="B715" s="4"/>
      <c r="C715" s="4"/>
      <c r="D715" s="4"/>
      <c r="E715" s="4"/>
      <c r="F715" s="4"/>
      <c r="G715" s="4"/>
      <c r="H715" s="4"/>
      <c r="I715" s="4"/>
      <c r="J715" s="7"/>
      <c r="K715" s="4"/>
      <c r="L715" s="4"/>
      <c r="M715" s="80"/>
      <c r="N715" s="80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>
      <c r="A716" s="4"/>
      <c r="B716" s="4"/>
      <c r="C716" s="4"/>
      <c r="D716" s="4"/>
      <c r="E716" s="4"/>
      <c r="F716" s="4"/>
      <c r="G716" s="4"/>
      <c r="H716" s="4"/>
      <c r="I716" s="4"/>
      <c r="J716" s="7"/>
      <c r="K716" s="4"/>
      <c r="L716" s="4"/>
      <c r="M716" s="80"/>
      <c r="N716" s="80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>
      <c r="A717" s="4"/>
      <c r="B717" s="4"/>
      <c r="C717" s="4"/>
      <c r="D717" s="4"/>
      <c r="E717" s="4"/>
      <c r="F717" s="4"/>
      <c r="G717" s="4"/>
      <c r="H717" s="4"/>
      <c r="I717" s="4"/>
      <c r="J717" s="7"/>
      <c r="K717" s="4"/>
      <c r="L717" s="4"/>
      <c r="M717" s="80"/>
      <c r="N717" s="80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>
      <c r="A718" s="4"/>
      <c r="B718" s="4"/>
      <c r="C718" s="4"/>
      <c r="D718" s="4"/>
      <c r="E718" s="4"/>
      <c r="F718" s="4"/>
      <c r="G718" s="4"/>
      <c r="H718" s="4"/>
      <c r="I718" s="4"/>
      <c r="J718" s="7"/>
      <c r="K718" s="4"/>
      <c r="L718" s="4"/>
      <c r="M718" s="80"/>
      <c r="N718" s="80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>
      <c r="A719" s="4"/>
      <c r="B719" s="4"/>
      <c r="C719" s="4"/>
      <c r="D719" s="4"/>
      <c r="E719" s="4"/>
      <c r="F719" s="4"/>
      <c r="G719" s="4"/>
      <c r="H719" s="4"/>
      <c r="I719" s="4"/>
      <c r="J719" s="7"/>
      <c r="K719" s="4"/>
      <c r="L719" s="4"/>
      <c r="M719" s="80"/>
      <c r="N719" s="80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>
      <c r="A720" s="4"/>
      <c r="B720" s="4"/>
      <c r="C720" s="4"/>
      <c r="D720" s="4"/>
      <c r="E720" s="4"/>
      <c r="F720" s="4"/>
      <c r="G720" s="4"/>
      <c r="H720" s="4"/>
      <c r="I720" s="4"/>
      <c r="J720" s="7"/>
      <c r="K720" s="4"/>
      <c r="L720" s="4"/>
      <c r="M720" s="80"/>
      <c r="N720" s="80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>
      <c r="A721" s="4"/>
      <c r="B721" s="4"/>
      <c r="C721" s="4"/>
      <c r="D721" s="4"/>
      <c r="E721" s="4"/>
      <c r="F721" s="4"/>
      <c r="G721" s="4"/>
      <c r="H721" s="4"/>
      <c r="I721" s="4"/>
      <c r="J721" s="7"/>
      <c r="K721" s="4"/>
      <c r="L721" s="4"/>
      <c r="M721" s="80"/>
      <c r="N721" s="80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>
      <c r="A722" s="4"/>
      <c r="B722" s="4"/>
      <c r="C722" s="4"/>
      <c r="D722" s="4"/>
      <c r="E722" s="4"/>
      <c r="F722" s="4"/>
      <c r="G722" s="4"/>
      <c r="H722" s="4"/>
      <c r="I722" s="4"/>
      <c r="J722" s="7"/>
      <c r="K722" s="4"/>
      <c r="L722" s="4"/>
      <c r="M722" s="80"/>
      <c r="N722" s="80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>
      <c r="A723" s="4"/>
      <c r="B723" s="4"/>
      <c r="C723" s="4"/>
      <c r="D723" s="4"/>
      <c r="E723" s="4"/>
      <c r="F723" s="4"/>
      <c r="G723" s="4"/>
      <c r="H723" s="4"/>
      <c r="I723" s="4"/>
      <c r="J723" s="7"/>
      <c r="K723" s="4"/>
      <c r="L723" s="4"/>
      <c r="M723" s="80"/>
      <c r="N723" s="80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>
      <c r="A724" s="4"/>
      <c r="B724" s="4"/>
      <c r="C724" s="4"/>
      <c r="D724" s="4"/>
      <c r="E724" s="4"/>
      <c r="F724" s="4"/>
      <c r="G724" s="4"/>
      <c r="H724" s="4"/>
      <c r="I724" s="4"/>
      <c r="J724" s="7"/>
      <c r="K724" s="4"/>
      <c r="L724" s="4"/>
      <c r="M724" s="80"/>
      <c r="N724" s="80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>
      <c r="A725" s="4"/>
      <c r="B725" s="4"/>
      <c r="C725" s="4"/>
      <c r="D725" s="4"/>
      <c r="E725" s="4"/>
      <c r="F725" s="4"/>
      <c r="G725" s="4"/>
      <c r="H725" s="4"/>
      <c r="I725" s="4"/>
      <c r="J725" s="7"/>
      <c r="K725" s="4"/>
      <c r="L725" s="4"/>
      <c r="M725" s="80"/>
      <c r="N725" s="80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>
      <c r="A726" s="4"/>
      <c r="B726" s="4"/>
      <c r="C726" s="4"/>
      <c r="D726" s="4"/>
      <c r="E726" s="4"/>
      <c r="F726" s="4"/>
      <c r="G726" s="4"/>
      <c r="H726" s="4"/>
      <c r="I726" s="4"/>
      <c r="J726" s="7"/>
      <c r="K726" s="4"/>
      <c r="L726" s="4"/>
      <c r="M726" s="80"/>
      <c r="N726" s="80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>
      <c r="A727" s="4"/>
      <c r="B727" s="4"/>
      <c r="C727" s="4"/>
      <c r="D727" s="4"/>
      <c r="E727" s="4"/>
      <c r="F727" s="4"/>
      <c r="G727" s="4"/>
      <c r="H727" s="4"/>
      <c r="I727" s="4"/>
      <c r="J727" s="7"/>
      <c r="K727" s="4"/>
      <c r="L727" s="4"/>
      <c r="M727" s="80"/>
      <c r="N727" s="80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>
      <c r="A728" s="4"/>
      <c r="B728" s="4"/>
      <c r="C728" s="4"/>
      <c r="D728" s="4"/>
      <c r="E728" s="4"/>
      <c r="F728" s="4"/>
      <c r="G728" s="4"/>
      <c r="H728" s="4"/>
      <c r="I728" s="4"/>
      <c r="J728" s="7"/>
      <c r="K728" s="4"/>
      <c r="L728" s="4"/>
      <c r="M728" s="80"/>
      <c r="N728" s="80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>
      <c r="A729" s="4"/>
      <c r="B729" s="4"/>
      <c r="C729" s="4"/>
      <c r="D729" s="4"/>
      <c r="E729" s="4"/>
      <c r="F729" s="4"/>
      <c r="G729" s="4"/>
      <c r="H729" s="4"/>
      <c r="I729" s="4"/>
      <c r="J729" s="7"/>
      <c r="K729" s="4"/>
      <c r="L729" s="4"/>
      <c r="M729" s="80"/>
      <c r="N729" s="80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>
      <c r="A730" s="4"/>
      <c r="B730" s="4"/>
      <c r="C730" s="4"/>
      <c r="D730" s="4"/>
      <c r="E730" s="4"/>
      <c r="F730" s="4"/>
      <c r="G730" s="4"/>
      <c r="H730" s="4"/>
      <c r="I730" s="4"/>
      <c r="J730" s="7"/>
      <c r="K730" s="4"/>
      <c r="L730" s="4"/>
      <c r="M730" s="80"/>
      <c r="N730" s="80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>
      <c r="A731" s="4"/>
      <c r="B731" s="4"/>
      <c r="C731" s="4"/>
      <c r="D731" s="4"/>
      <c r="E731" s="4"/>
      <c r="F731" s="4"/>
      <c r="G731" s="4"/>
      <c r="H731" s="4"/>
      <c r="I731" s="4"/>
      <c r="J731" s="7"/>
      <c r="K731" s="4"/>
      <c r="L731" s="4"/>
      <c r="M731" s="80"/>
      <c r="N731" s="80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>
      <c r="A732" s="4"/>
      <c r="B732" s="4"/>
      <c r="C732" s="4"/>
      <c r="D732" s="4"/>
      <c r="E732" s="4"/>
      <c r="F732" s="4"/>
      <c r="G732" s="4"/>
      <c r="H732" s="4"/>
      <c r="I732" s="4"/>
      <c r="J732" s="7"/>
      <c r="K732" s="4"/>
      <c r="L732" s="4"/>
      <c r="M732" s="80"/>
      <c r="N732" s="80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>
      <c r="A733" s="4"/>
      <c r="B733" s="4"/>
      <c r="C733" s="4"/>
      <c r="D733" s="4"/>
      <c r="E733" s="4"/>
      <c r="F733" s="4"/>
      <c r="G733" s="4"/>
      <c r="H733" s="4"/>
      <c r="I733" s="4"/>
      <c r="J733" s="7"/>
      <c r="K733" s="4"/>
      <c r="L733" s="4"/>
      <c r="M733" s="80"/>
      <c r="N733" s="80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>
      <c r="A734" s="4"/>
      <c r="B734" s="4"/>
      <c r="C734" s="4"/>
      <c r="D734" s="4"/>
      <c r="E734" s="4"/>
      <c r="F734" s="4"/>
      <c r="G734" s="4"/>
      <c r="H734" s="4"/>
      <c r="I734" s="4"/>
      <c r="J734" s="7"/>
      <c r="K734" s="4"/>
      <c r="L734" s="4"/>
      <c r="M734" s="80"/>
      <c r="N734" s="80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>
      <c r="A735" s="4"/>
      <c r="B735" s="4"/>
      <c r="C735" s="4"/>
      <c r="D735" s="4"/>
      <c r="E735" s="4"/>
      <c r="F735" s="4"/>
      <c r="G735" s="4"/>
      <c r="H735" s="4"/>
      <c r="I735" s="4"/>
      <c r="J735" s="7"/>
      <c r="K735" s="4"/>
      <c r="L735" s="4"/>
      <c r="M735" s="80"/>
      <c r="N735" s="80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>
      <c r="A736" s="4"/>
      <c r="B736" s="4"/>
      <c r="C736" s="4"/>
      <c r="D736" s="4"/>
      <c r="E736" s="4"/>
      <c r="F736" s="4"/>
      <c r="G736" s="4"/>
      <c r="H736" s="4"/>
      <c r="I736" s="4"/>
      <c r="J736" s="7"/>
      <c r="K736" s="4"/>
      <c r="L736" s="4"/>
      <c r="M736" s="80"/>
      <c r="N736" s="80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>
      <c r="A737" s="4"/>
      <c r="B737" s="4"/>
      <c r="C737" s="4"/>
      <c r="D737" s="4"/>
      <c r="E737" s="4"/>
      <c r="F737" s="4"/>
      <c r="G737" s="4"/>
      <c r="H737" s="4"/>
      <c r="I737" s="4"/>
      <c r="J737" s="7"/>
      <c r="K737" s="4"/>
      <c r="L737" s="4"/>
      <c r="M737" s="80"/>
      <c r="N737" s="80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>
      <c r="A738" s="4"/>
      <c r="B738" s="4"/>
      <c r="C738" s="4"/>
      <c r="D738" s="4"/>
      <c r="E738" s="4"/>
      <c r="F738" s="4"/>
      <c r="G738" s="4"/>
      <c r="H738" s="4"/>
      <c r="I738" s="4"/>
      <c r="J738" s="7"/>
      <c r="K738" s="4"/>
      <c r="L738" s="4"/>
      <c r="M738" s="80"/>
      <c r="N738" s="80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>
      <c r="A739" s="4"/>
      <c r="B739" s="4"/>
      <c r="C739" s="4"/>
      <c r="D739" s="4"/>
      <c r="E739" s="4"/>
      <c r="F739" s="4"/>
      <c r="G739" s="4"/>
      <c r="H739" s="4"/>
      <c r="I739" s="4"/>
      <c r="J739" s="7"/>
      <c r="K739" s="4"/>
      <c r="L739" s="4"/>
      <c r="M739" s="80"/>
      <c r="N739" s="80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>
      <c r="A740" s="4"/>
      <c r="B740" s="4"/>
      <c r="C740" s="4"/>
      <c r="D740" s="4"/>
      <c r="E740" s="4"/>
      <c r="F740" s="4"/>
      <c r="G740" s="4"/>
      <c r="H740" s="4"/>
      <c r="I740" s="4"/>
      <c r="J740" s="7"/>
      <c r="K740" s="4"/>
      <c r="L740" s="4"/>
      <c r="M740" s="80"/>
      <c r="N740" s="80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>
      <c r="A741" s="4"/>
      <c r="B741" s="4"/>
      <c r="C741" s="4"/>
      <c r="D741" s="4"/>
      <c r="E741" s="4"/>
      <c r="F741" s="4"/>
      <c r="G741" s="4"/>
      <c r="H741" s="4"/>
      <c r="I741" s="4"/>
      <c r="J741" s="7"/>
      <c r="K741" s="4"/>
      <c r="L741" s="4"/>
      <c r="M741" s="80"/>
      <c r="N741" s="80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>
      <c r="A742" s="4"/>
      <c r="B742" s="4"/>
      <c r="C742" s="4"/>
      <c r="D742" s="4"/>
      <c r="E742" s="4"/>
      <c r="F742" s="4"/>
      <c r="G742" s="4"/>
      <c r="H742" s="4"/>
      <c r="I742" s="4"/>
      <c r="J742" s="7"/>
      <c r="K742" s="4"/>
      <c r="L742" s="4"/>
      <c r="M742" s="80"/>
      <c r="N742" s="80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>
      <c r="A743" s="4"/>
      <c r="B743" s="4"/>
      <c r="C743" s="4"/>
      <c r="D743" s="4"/>
      <c r="E743" s="4"/>
      <c r="F743" s="4"/>
      <c r="G743" s="4"/>
      <c r="H743" s="4"/>
      <c r="I743" s="4"/>
      <c r="J743" s="7"/>
      <c r="K743" s="4"/>
      <c r="L743" s="4"/>
      <c r="M743" s="80"/>
      <c r="N743" s="80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>
      <c r="A744" s="4"/>
      <c r="B744" s="4"/>
      <c r="C744" s="4"/>
      <c r="D744" s="4"/>
      <c r="E744" s="4"/>
      <c r="F744" s="4"/>
      <c r="G744" s="4"/>
      <c r="H744" s="4"/>
      <c r="I744" s="4"/>
      <c r="J744" s="7"/>
      <c r="K744" s="4"/>
      <c r="L744" s="4"/>
      <c r="M744" s="80"/>
      <c r="N744" s="80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>
      <c r="A745" s="4"/>
      <c r="B745" s="4"/>
      <c r="C745" s="4"/>
      <c r="D745" s="4"/>
      <c r="E745" s="4"/>
      <c r="F745" s="4"/>
      <c r="G745" s="4"/>
      <c r="H745" s="4"/>
      <c r="I745" s="4"/>
      <c r="J745" s="7"/>
      <c r="K745" s="4"/>
      <c r="L745" s="4"/>
      <c r="M745" s="80"/>
      <c r="N745" s="80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>
      <c r="A746" s="4"/>
      <c r="B746" s="4"/>
      <c r="C746" s="4"/>
      <c r="D746" s="4"/>
      <c r="E746" s="4"/>
      <c r="F746" s="4"/>
      <c r="G746" s="4"/>
      <c r="H746" s="4"/>
      <c r="I746" s="4"/>
      <c r="J746" s="7"/>
      <c r="K746" s="4"/>
      <c r="L746" s="4"/>
      <c r="M746" s="80"/>
      <c r="N746" s="80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>
      <c r="A747" s="4"/>
      <c r="B747" s="4"/>
      <c r="C747" s="4"/>
      <c r="D747" s="4"/>
      <c r="E747" s="4"/>
      <c r="F747" s="4"/>
      <c r="G747" s="4"/>
      <c r="H747" s="4"/>
      <c r="I747" s="4"/>
      <c r="J747" s="7"/>
      <c r="K747" s="4"/>
      <c r="L747" s="4"/>
      <c r="M747" s="80"/>
      <c r="N747" s="80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>
      <c r="A748" s="4"/>
      <c r="B748" s="4"/>
      <c r="C748" s="4"/>
      <c r="D748" s="4"/>
      <c r="E748" s="4"/>
      <c r="F748" s="4"/>
      <c r="G748" s="4"/>
      <c r="H748" s="4"/>
      <c r="I748" s="4"/>
      <c r="J748" s="7"/>
      <c r="K748" s="4"/>
      <c r="L748" s="4"/>
      <c r="M748" s="80"/>
      <c r="N748" s="80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>
      <c r="A749" s="4"/>
      <c r="B749" s="4"/>
      <c r="C749" s="4"/>
      <c r="D749" s="4"/>
      <c r="E749" s="4"/>
      <c r="F749" s="4"/>
      <c r="G749" s="4"/>
      <c r="H749" s="4"/>
      <c r="I749" s="4"/>
      <c r="J749" s="7"/>
      <c r="K749" s="4"/>
      <c r="L749" s="4"/>
      <c r="M749" s="80"/>
      <c r="N749" s="80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>
      <c r="A750" s="4"/>
      <c r="B750" s="4"/>
      <c r="C750" s="4"/>
      <c r="D750" s="4"/>
      <c r="E750" s="4"/>
      <c r="F750" s="4"/>
      <c r="G750" s="4"/>
      <c r="H750" s="4"/>
      <c r="I750" s="4"/>
      <c r="J750" s="7"/>
      <c r="K750" s="4"/>
      <c r="L750" s="4"/>
      <c r="M750" s="80"/>
      <c r="N750" s="80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>
      <c r="A751" s="4"/>
      <c r="B751" s="4"/>
      <c r="C751" s="4"/>
      <c r="D751" s="4"/>
      <c r="E751" s="4"/>
      <c r="F751" s="4"/>
      <c r="G751" s="4"/>
      <c r="H751" s="4"/>
      <c r="I751" s="4"/>
      <c r="J751" s="7"/>
      <c r="K751" s="4"/>
      <c r="L751" s="4"/>
      <c r="M751" s="80"/>
      <c r="N751" s="80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>
      <c r="A752" s="4"/>
      <c r="B752" s="4"/>
      <c r="C752" s="4"/>
      <c r="D752" s="4"/>
      <c r="E752" s="4"/>
      <c r="F752" s="4"/>
      <c r="G752" s="4"/>
      <c r="H752" s="4"/>
      <c r="I752" s="4"/>
      <c r="J752" s="7"/>
      <c r="K752" s="4"/>
      <c r="L752" s="4"/>
      <c r="M752" s="80"/>
      <c r="N752" s="80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>
      <c r="A753" s="4"/>
      <c r="B753" s="4"/>
      <c r="C753" s="4"/>
      <c r="D753" s="4"/>
      <c r="E753" s="4"/>
      <c r="F753" s="4"/>
      <c r="G753" s="4"/>
      <c r="H753" s="4"/>
      <c r="I753" s="4"/>
      <c r="J753" s="7"/>
      <c r="K753" s="4"/>
      <c r="L753" s="4"/>
      <c r="M753" s="80"/>
      <c r="N753" s="80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>
      <c r="A754" s="4"/>
      <c r="B754" s="4"/>
      <c r="C754" s="4"/>
      <c r="D754" s="4"/>
      <c r="E754" s="4"/>
      <c r="F754" s="4"/>
      <c r="G754" s="4"/>
      <c r="H754" s="4"/>
      <c r="I754" s="4"/>
      <c r="J754" s="7"/>
      <c r="K754" s="4"/>
      <c r="L754" s="4"/>
      <c r="M754" s="80"/>
      <c r="N754" s="80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>
      <c r="A755" s="4"/>
      <c r="B755" s="4"/>
      <c r="C755" s="4"/>
      <c r="D755" s="4"/>
      <c r="E755" s="4"/>
      <c r="F755" s="4"/>
      <c r="G755" s="4"/>
      <c r="H755" s="4"/>
      <c r="I755" s="4"/>
      <c r="J755" s="7"/>
      <c r="K755" s="4"/>
      <c r="L755" s="4"/>
      <c r="M755" s="80"/>
      <c r="N755" s="80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>
      <c r="A756" s="4"/>
      <c r="B756" s="4"/>
      <c r="C756" s="4"/>
      <c r="D756" s="4"/>
      <c r="E756" s="4"/>
      <c r="F756" s="4"/>
      <c r="G756" s="4"/>
      <c r="H756" s="4"/>
      <c r="I756" s="4"/>
      <c r="J756" s="7"/>
      <c r="K756" s="4"/>
      <c r="L756" s="4"/>
      <c r="M756" s="80"/>
      <c r="N756" s="80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>
      <c r="A757" s="4"/>
      <c r="B757" s="4"/>
      <c r="C757" s="4"/>
      <c r="D757" s="4"/>
      <c r="E757" s="4"/>
      <c r="F757" s="4"/>
      <c r="G757" s="4"/>
      <c r="H757" s="4"/>
      <c r="I757" s="4"/>
      <c r="J757" s="7"/>
      <c r="K757" s="4"/>
      <c r="L757" s="4"/>
      <c r="M757" s="80"/>
      <c r="N757" s="80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>
      <c r="A758" s="4"/>
      <c r="B758" s="4"/>
      <c r="C758" s="4"/>
      <c r="D758" s="4"/>
      <c r="E758" s="4"/>
      <c r="F758" s="4"/>
      <c r="G758" s="4"/>
      <c r="H758" s="4"/>
      <c r="I758" s="4"/>
      <c r="J758" s="7"/>
      <c r="K758" s="4"/>
      <c r="L758" s="4"/>
      <c r="M758" s="80"/>
      <c r="N758" s="80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>
      <c r="A759" s="4"/>
      <c r="B759" s="4"/>
      <c r="C759" s="4"/>
      <c r="D759" s="4"/>
      <c r="E759" s="4"/>
      <c r="F759" s="4"/>
      <c r="G759" s="4"/>
      <c r="H759" s="4"/>
      <c r="I759" s="4"/>
      <c r="J759" s="7"/>
      <c r="K759" s="4"/>
      <c r="L759" s="4"/>
      <c r="M759" s="80"/>
      <c r="N759" s="80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>
      <c r="A760" s="4"/>
      <c r="B760" s="4"/>
      <c r="C760" s="4"/>
      <c r="D760" s="4"/>
      <c r="E760" s="4"/>
      <c r="F760" s="4"/>
      <c r="G760" s="4"/>
      <c r="H760" s="4"/>
      <c r="I760" s="4"/>
      <c r="J760" s="7"/>
      <c r="K760" s="4"/>
      <c r="L760" s="4"/>
      <c r="M760" s="80"/>
      <c r="N760" s="80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>
      <c r="A761" s="4"/>
      <c r="B761" s="4"/>
      <c r="C761" s="4"/>
      <c r="D761" s="4"/>
      <c r="E761" s="4"/>
      <c r="F761" s="4"/>
      <c r="G761" s="4"/>
      <c r="H761" s="4"/>
      <c r="I761" s="4"/>
      <c r="J761" s="7"/>
      <c r="K761" s="4"/>
      <c r="L761" s="4"/>
      <c r="M761" s="80"/>
      <c r="N761" s="80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>
      <c r="A762" s="4"/>
      <c r="B762" s="4"/>
      <c r="C762" s="4"/>
      <c r="D762" s="4"/>
      <c r="E762" s="4"/>
      <c r="F762" s="4"/>
      <c r="G762" s="4"/>
      <c r="H762" s="4"/>
      <c r="I762" s="4"/>
      <c r="J762" s="7"/>
      <c r="K762" s="4"/>
      <c r="L762" s="4"/>
      <c r="M762" s="80"/>
      <c r="N762" s="80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>
      <c r="A763" s="4"/>
      <c r="B763" s="4"/>
      <c r="C763" s="4"/>
      <c r="D763" s="4"/>
      <c r="E763" s="4"/>
      <c r="F763" s="4"/>
      <c r="G763" s="4"/>
      <c r="H763" s="4"/>
      <c r="I763" s="4"/>
      <c r="J763" s="7"/>
      <c r="K763" s="4"/>
      <c r="L763" s="4"/>
      <c r="M763" s="80"/>
      <c r="N763" s="80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>
      <c r="A764" s="4"/>
      <c r="B764" s="4"/>
      <c r="C764" s="4"/>
      <c r="D764" s="4"/>
      <c r="E764" s="4"/>
      <c r="F764" s="4"/>
      <c r="G764" s="4"/>
      <c r="H764" s="4"/>
      <c r="I764" s="4"/>
      <c r="J764" s="7"/>
      <c r="K764" s="4"/>
      <c r="L764" s="4"/>
      <c r="M764" s="80"/>
      <c r="N764" s="80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>
      <c r="A765" s="4"/>
      <c r="B765" s="4"/>
      <c r="C765" s="4"/>
      <c r="D765" s="4"/>
      <c r="E765" s="4"/>
      <c r="F765" s="4"/>
      <c r="G765" s="4"/>
      <c r="H765" s="4"/>
      <c r="I765" s="4"/>
      <c r="J765" s="7"/>
      <c r="K765" s="4"/>
      <c r="L765" s="4"/>
      <c r="M765" s="80"/>
      <c r="N765" s="80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>
      <c r="A766" s="4"/>
      <c r="B766" s="4"/>
      <c r="C766" s="4"/>
      <c r="D766" s="4"/>
      <c r="E766" s="4"/>
      <c r="F766" s="4"/>
      <c r="G766" s="4"/>
      <c r="H766" s="4"/>
      <c r="I766" s="4"/>
      <c r="J766" s="7"/>
      <c r="K766" s="4"/>
      <c r="L766" s="4"/>
      <c r="M766" s="80"/>
      <c r="N766" s="80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>
      <c r="A767" s="4"/>
      <c r="B767" s="4"/>
      <c r="C767" s="4"/>
      <c r="D767" s="4"/>
      <c r="E767" s="4"/>
      <c r="F767" s="4"/>
      <c r="G767" s="4"/>
      <c r="H767" s="4"/>
      <c r="I767" s="4"/>
      <c r="J767" s="7"/>
      <c r="K767" s="4"/>
      <c r="L767" s="4"/>
      <c r="M767" s="80"/>
      <c r="N767" s="80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>
      <c r="A768" s="4"/>
      <c r="B768" s="4"/>
      <c r="C768" s="4"/>
      <c r="D768" s="4"/>
      <c r="E768" s="4"/>
      <c r="F768" s="4"/>
      <c r="G768" s="4"/>
      <c r="H768" s="4"/>
      <c r="I768" s="4"/>
      <c r="J768" s="7"/>
      <c r="K768" s="4"/>
      <c r="L768" s="4"/>
      <c r="M768" s="80"/>
      <c r="N768" s="80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>
      <c r="A769" s="4"/>
      <c r="B769" s="4"/>
      <c r="C769" s="4"/>
      <c r="D769" s="4"/>
      <c r="E769" s="4"/>
      <c r="F769" s="4"/>
      <c r="G769" s="4"/>
      <c r="H769" s="4"/>
      <c r="I769" s="4"/>
      <c r="J769" s="7"/>
      <c r="K769" s="4"/>
      <c r="L769" s="4"/>
      <c r="M769" s="80"/>
      <c r="N769" s="80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>
      <c r="A770" s="4"/>
      <c r="B770" s="4"/>
      <c r="C770" s="4"/>
      <c r="D770" s="4"/>
      <c r="E770" s="4"/>
      <c r="F770" s="4"/>
      <c r="G770" s="4"/>
      <c r="H770" s="4"/>
      <c r="I770" s="4"/>
      <c r="J770" s="7"/>
      <c r="K770" s="4"/>
      <c r="L770" s="4"/>
      <c r="M770" s="80"/>
      <c r="N770" s="80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>
      <c r="A771" s="4"/>
      <c r="B771" s="4"/>
      <c r="C771" s="4"/>
      <c r="D771" s="4"/>
      <c r="E771" s="4"/>
      <c r="F771" s="4"/>
      <c r="G771" s="4"/>
      <c r="H771" s="4"/>
      <c r="I771" s="4"/>
      <c r="J771" s="7"/>
      <c r="K771" s="4"/>
      <c r="L771" s="4"/>
      <c r="M771" s="80"/>
      <c r="N771" s="80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>
      <c r="A772" s="4"/>
      <c r="B772" s="4"/>
      <c r="C772" s="4"/>
      <c r="D772" s="4"/>
      <c r="E772" s="4"/>
      <c r="F772" s="4"/>
      <c r="G772" s="4"/>
      <c r="H772" s="4"/>
      <c r="I772" s="4"/>
      <c r="J772" s="7"/>
      <c r="K772" s="4"/>
      <c r="L772" s="4"/>
      <c r="M772" s="80"/>
      <c r="N772" s="80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>
      <c r="A773" s="4"/>
      <c r="B773" s="4"/>
      <c r="C773" s="4"/>
      <c r="D773" s="4"/>
      <c r="E773" s="4"/>
      <c r="F773" s="4"/>
      <c r="G773" s="4"/>
      <c r="H773" s="4"/>
      <c r="I773" s="4"/>
      <c r="J773" s="7"/>
      <c r="K773" s="4"/>
      <c r="L773" s="4"/>
      <c r="M773" s="80"/>
      <c r="N773" s="80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>
      <c r="A774" s="4"/>
      <c r="B774" s="4"/>
      <c r="C774" s="4"/>
      <c r="D774" s="4"/>
      <c r="E774" s="4"/>
      <c r="F774" s="4"/>
      <c r="G774" s="4"/>
      <c r="H774" s="4"/>
      <c r="I774" s="4"/>
      <c r="J774" s="7"/>
      <c r="K774" s="4"/>
      <c r="L774" s="4"/>
      <c r="M774" s="80"/>
      <c r="N774" s="80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>
      <c r="A775" s="4"/>
      <c r="B775" s="4"/>
      <c r="C775" s="4"/>
      <c r="D775" s="4"/>
      <c r="E775" s="4"/>
      <c r="F775" s="4"/>
      <c r="G775" s="4"/>
      <c r="H775" s="4"/>
      <c r="I775" s="4"/>
      <c r="J775" s="7"/>
      <c r="K775" s="4"/>
      <c r="L775" s="4"/>
      <c r="M775" s="80"/>
      <c r="N775" s="80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>
      <c r="A776" s="4"/>
      <c r="B776" s="4"/>
      <c r="C776" s="4"/>
      <c r="D776" s="4"/>
      <c r="E776" s="4"/>
      <c r="F776" s="4"/>
      <c r="G776" s="4"/>
      <c r="H776" s="4"/>
      <c r="I776" s="4"/>
      <c r="J776" s="7"/>
      <c r="K776" s="4"/>
      <c r="L776" s="4"/>
      <c r="M776" s="80"/>
      <c r="N776" s="80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>
      <c r="A777" s="4"/>
      <c r="B777" s="4"/>
      <c r="C777" s="4"/>
      <c r="D777" s="4"/>
      <c r="E777" s="4"/>
      <c r="F777" s="4"/>
      <c r="G777" s="4"/>
      <c r="H777" s="4"/>
      <c r="I777" s="4"/>
      <c r="J777" s="7"/>
      <c r="K777" s="4"/>
      <c r="L777" s="4"/>
      <c r="M777" s="80"/>
      <c r="N777" s="80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>
      <c r="A778" s="4"/>
      <c r="B778" s="4"/>
      <c r="C778" s="4"/>
      <c r="D778" s="4"/>
      <c r="E778" s="4"/>
      <c r="F778" s="4"/>
      <c r="G778" s="4"/>
      <c r="H778" s="4"/>
      <c r="I778" s="4"/>
      <c r="J778" s="7"/>
      <c r="K778" s="4"/>
      <c r="L778" s="4"/>
      <c r="M778" s="80"/>
      <c r="N778" s="80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>
      <c r="A779" s="4"/>
      <c r="B779" s="4"/>
      <c r="C779" s="4"/>
      <c r="D779" s="4"/>
      <c r="E779" s="4"/>
      <c r="F779" s="4"/>
      <c r="G779" s="4"/>
      <c r="H779" s="4"/>
      <c r="I779" s="4"/>
      <c r="J779" s="7"/>
      <c r="K779" s="4"/>
      <c r="L779" s="4"/>
      <c r="M779" s="80"/>
      <c r="N779" s="80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>
      <c r="A780" s="4"/>
      <c r="B780" s="4"/>
      <c r="C780" s="4"/>
      <c r="D780" s="4"/>
      <c r="E780" s="4"/>
      <c r="F780" s="4"/>
      <c r="G780" s="4"/>
      <c r="H780" s="4"/>
      <c r="I780" s="4"/>
      <c r="J780" s="7"/>
      <c r="K780" s="4"/>
      <c r="L780" s="4"/>
      <c r="M780" s="80"/>
      <c r="N780" s="80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>
      <c r="A781" s="4"/>
      <c r="B781" s="4"/>
      <c r="C781" s="4"/>
      <c r="D781" s="4"/>
      <c r="E781" s="4"/>
      <c r="F781" s="4"/>
      <c r="G781" s="4"/>
      <c r="H781" s="4"/>
      <c r="I781" s="4"/>
      <c r="J781" s="7"/>
      <c r="K781" s="4"/>
      <c r="L781" s="4"/>
      <c r="M781" s="80"/>
      <c r="N781" s="80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>
      <c r="A782" s="4"/>
      <c r="B782" s="4"/>
      <c r="C782" s="4"/>
      <c r="D782" s="4"/>
      <c r="E782" s="4"/>
      <c r="F782" s="4"/>
      <c r="G782" s="4"/>
      <c r="H782" s="4"/>
      <c r="I782" s="4"/>
      <c r="J782" s="7"/>
      <c r="K782" s="4"/>
      <c r="L782" s="4"/>
      <c r="M782" s="80"/>
      <c r="N782" s="80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>
      <c r="A783" s="4"/>
      <c r="B783" s="4"/>
      <c r="C783" s="4"/>
      <c r="D783" s="4"/>
      <c r="E783" s="4"/>
      <c r="F783" s="4"/>
      <c r="G783" s="4"/>
      <c r="H783" s="4"/>
      <c r="I783" s="4"/>
      <c r="J783" s="7"/>
      <c r="K783" s="4"/>
      <c r="L783" s="4"/>
      <c r="M783" s="80"/>
      <c r="N783" s="80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>
      <c r="A784" s="4"/>
      <c r="B784" s="4"/>
      <c r="C784" s="4"/>
      <c r="D784" s="4"/>
      <c r="E784" s="4"/>
      <c r="F784" s="4"/>
      <c r="G784" s="4"/>
      <c r="H784" s="4"/>
      <c r="I784" s="4"/>
      <c r="J784" s="7"/>
      <c r="K784" s="4"/>
      <c r="L784" s="4"/>
      <c r="M784" s="80"/>
      <c r="N784" s="80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>
      <c r="A785" s="4"/>
      <c r="B785" s="4"/>
      <c r="C785" s="4"/>
      <c r="D785" s="4"/>
      <c r="E785" s="4"/>
      <c r="F785" s="4"/>
      <c r="G785" s="4"/>
      <c r="H785" s="4"/>
      <c r="I785" s="4"/>
      <c r="J785" s="7"/>
      <c r="K785" s="4"/>
      <c r="L785" s="4"/>
      <c r="M785" s="80"/>
      <c r="N785" s="80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>
      <c r="A786" s="4"/>
      <c r="B786" s="4"/>
      <c r="C786" s="4"/>
      <c r="D786" s="4"/>
      <c r="E786" s="4"/>
      <c r="F786" s="4"/>
      <c r="G786" s="4"/>
      <c r="H786" s="4"/>
      <c r="I786" s="4"/>
      <c r="J786" s="7"/>
      <c r="K786" s="4"/>
      <c r="L786" s="4"/>
      <c r="M786" s="80"/>
      <c r="N786" s="80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>
      <c r="A787" s="4"/>
      <c r="B787" s="4"/>
      <c r="C787" s="4"/>
      <c r="D787" s="4"/>
      <c r="E787" s="4"/>
      <c r="F787" s="4"/>
      <c r="G787" s="4"/>
      <c r="H787" s="4"/>
      <c r="I787" s="4"/>
      <c r="J787" s="7"/>
      <c r="K787" s="4"/>
      <c r="L787" s="4"/>
      <c r="M787" s="80"/>
      <c r="N787" s="80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>
      <c r="A788" s="4"/>
      <c r="B788" s="4"/>
      <c r="C788" s="4"/>
      <c r="D788" s="4"/>
      <c r="E788" s="4"/>
      <c r="F788" s="4"/>
      <c r="G788" s="4"/>
      <c r="H788" s="4"/>
      <c r="I788" s="4"/>
      <c r="J788" s="7"/>
      <c r="K788" s="4"/>
      <c r="L788" s="4"/>
      <c r="M788" s="80"/>
      <c r="N788" s="80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>
      <c r="A789" s="4"/>
      <c r="B789" s="4"/>
      <c r="C789" s="4"/>
      <c r="D789" s="4"/>
      <c r="E789" s="4"/>
      <c r="F789" s="4"/>
      <c r="G789" s="4"/>
      <c r="H789" s="4"/>
      <c r="I789" s="4"/>
      <c r="J789" s="7"/>
      <c r="K789" s="4"/>
      <c r="L789" s="4"/>
      <c r="M789" s="80"/>
      <c r="N789" s="80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>
      <c r="A790" s="4"/>
      <c r="B790" s="4"/>
      <c r="C790" s="4"/>
      <c r="D790" s="4"/>
      <c r="E790" s="4"/>
      <c r="F790" s="4"/>
      <c r="G790" s="4"/>
      <c r="H790" s="4"/>
      <c r="I790" s="4"/>
      <c r="J790" s="7"/>
      <c r="K790" s="4"/>
      <c r="L790" s="4"/>
      <c r="M790" s="80"/>
      <c r="N790" s="80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>
      <c r="A791" s="4"/>
      <c r="B791" s="4"/>
      <c r="C791" s="4"/>
      <c r="D791" s="4"/>
      <c r="E791" s="4"/>
      <c r="F791" s="4"/>
      <c r="G791" s="4"/>
      <c r="H791" s="4"/>
      <c r="I791" s="4"/>
      <c r="J791" s="7"/>
      <c r="K791" s="4"/>
      <c r="L791" s="4"/>
      <c r="M791" s="80"/>
      <c r="N791" s="80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>
      <c r="A792" s="4"/>
      <c r="B792" s="4"/>
      <c r="C792" s="4"/>
      <c r="D792" s="4"/>
      <c r="E792" s="4"/>
      <c r="F792" s="4"/>
      <c r="G792" s="4"/>
      <c r="H792" s="4"/>
      <c r="I792" s="4"/>
      <c r="J792" s="7"/>
      <c r="K792" s="4"/>
      <c r="L792" s="4"/>
      <c r="M792" s="80"/>
      <c r="N792" s="80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>
      <c r="A793" s="4"/>
      <c r="B793" s="4"/>
      <c r="C793" s="4"/>
      <c r="D793" s="4"/>
      <c r="E793" s="4"/>
      <c r="F793" s="4"/>
      <c r="G793" s="4"/>
      <c r="H793" s="4"/>
      <c r="I793" s="4"/>
      <c r="J793" s="7"/>
      <c r="K793" s="4"/>
      <c r="L793" s="4"/>
      <c r="M793" s="80"/>
      <c r="N793" s="80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>
      <c r="A794" s="4"/>
      <c r="B794" s="4"/>
      <c r="C794" s="4"/>
      <c r="D794" s="4"/>
      <c r="E794" s="4"/>
      <c r="F794" s="4"/>
      <c r="G794" s="4"/>
      <c r="H794" s="4"/>
      <c r="I794" s="4"/>
      <c r="J794" s="7"/>
      <c r="K794" s="4"/>
      <c r="L794" s="4"/>
      <c r="M794" s="80"/>
      <c r="N794" s="80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>
      <c r="A795" s="4"/>
      <c r="B795" s="4"/>
      <c r="C795" s="4"/>
      <c r="D795" s="4"/>
      <c r="E795" s="4"/>
      <c r="F795" s="4"/>
      <c r="G795" s="4"/>
      <c r="H795" s="4"/>
      <c r="I795" s="4"/>
      <c r="J795" s="7"/>
      <c r="K795" s="4"/>
      <c r="L795" s="4"/>
      <c r="M795" s="80"/>
      <c r="N795" s="80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>
      <c r="A796" s="4"/>
      <c r="B796" s="4"/>
      <c r="C796" s="4"/>
      <c r="D796" s="4"/>
      <c r="E796" s="4"/>
      <c r="F796" s="4"/>
      <c r="G796" s="4"/>
      <c r="H796" s="4"/>
      <c r="I796" s="4"/>
      <c r="J796" s="7"/>
      <c r="K796" s="4"/>
      <c r="L796" s="4"/>
      <c r="M796" s="80"/>
      <c r="N796" s="80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>
      <c r="A797" s="4"/>
      <c r="B797" s="4"/>
      <c r="C797" s="4"/>
      <c r="D797" s="4"/>
      <c r="E797" s="4"/>
      <c r="F797" s="4"/>
      <c r="G797" s="4"/>
      <c r="H797" s="4"/>
      <c r="I797" s="4"/>
      <c r="J797" s="7"/>
      <c r="K797" s="4"/>
      <c r="L797" s="4"/>
      <c r="M797" s="80"/>
      <c r="N797" s="80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>
      <c r="A798" s="4"/>
      <c r="B798" s="4"/>
      <c r="C798" s="4"/>
      <c r="D798" s="4"/>
      <c r="E798" s="4"/>
      <c r="F798" s="4"/>
      <c r="G798" s="4"/>
      <c r="H798" s="4"/>
      <c r="I798" s="4"/>
      <c r="J798" s="7"/>
      <c r="K798" s="4"/>
      <c r="L798" s="4"/>
      <c r="M798" s="80"/>
      <c r="N798" s="80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>
      <c r="A799" s="4"/>
      <c r="B799" s="4"/>
      <c r="C799" s="4"/>
      <c r="D799" s="4"/>
      <c r="E799" s="4"/>
      <c r="F799" s="4"/>
      <c r="G799" s="4"/>
      <c r="H799" s="4"/>
      <c r="I799" s="4"/>
      <c r="J799" s="7"/>
      <c r="K799" s="4"/>
      <c r="L799" s="4"/>
      <c r="M799" s="80"/>
      <c r="N799" s="80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>
      <c r="A800" s="4"/>
      <c r="B800" s="4"/>
      <c r="C800" s="4"/>
      <c r="D800" s="4"/>
      <c r="E800" s="4"/>
      <c r="F800" s="4"/>
      <c r="G800" s="4"/>
      <c r="H800" s="4"/>
      <c r="I800" s="4"/>
      <c r="J800" s="7"/>
      <c r="K800" s="4"/>
      <c r="L800" s="4"/>
      <c r="M800" s="80"/>
      <c r="N800" s="80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>
      <c r="A801" s="4"/>
      <c r="B801" s="4"/>
      <c r="C801" s="4"/>
      <c r="D801" s="4"/>
      <c r="E801" s="4"/>
      <c r="F801" s="4"/>
      <c r="G801" s="4"/>
      <c r="H801" s="4"/>
      <c r="I801" s="4"/>
      <c r="J801" s="7"/>
      <c r="K801" s="4"/>
      <c r="L801" s="4"/>
      <c r="M801" s="80"/>
      <c r="N801" s="80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>
      <c r="A802" s="4"/>
      <c r="B802" s="4"/>
      <c r="C802" s="4"/>
      <c r="D802" s="4"/>
      <c r="E802" s="4"/>
      <c r="F802" s="4"/>
      <c r="G802" s="4"/>
      <c r="H802" s="4"/>
      <c r="I802" s="4"/>
      <c r="J802" s="7"/>
      <c r="K802" s="4"/>
      <c r="L802" s="4"/>
      <c r="M802" s="80"/>
      <c r="N802" s="80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>
      <c r="A803" s="4"/>
      <c r="B803" s="4"/>
      <c r="C803" s="4"/>
      <c r="D803" s="4"/>
      <c r="E803" s="4"/>
      <c r="F803" s="4"/>
      <c r="G803" s="4"/>
      <c r="H803" s="4"/>
      <c r="I803" s="4"/>
      <c r="J803" s="7"/>
      <c r="K803" s="4"/>
      <c r="L803" s="4"/>
      <c r="M803" s="80"/>
      <c r="N803" s="80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>
      <c r="A804" s="4"/>
      <c r="B804" s="4"/>
      <c r="C804" s="4"/>
      <c r="D804" s="4"/>
      <c r="E804" s="4"/>
      <c r="F804" s="4"/>
      <c r="G804" s="4"/>
      <c r="H804" s="4"/>
      <c r="I804" s="4"/>
      <c r="J804" s="7"/>
      <c r="K804" s="4"/>
      <c r="L804" s="4"/>
      <c r="M804" s="80"/>
      <c r="N804" s="80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>
      <c r="A805" s="4"/>
      <c r="B805" s="4"/>
      <c r="C805" s="4"/>
      <c r="D805" s="4"/>
      <c r="E805" s="4"/>
      <c r="F805" s="4"/>
      <c r="G805" s="4"/>
      <c r="H805" s="4"/>
      <c r="I805" s="4"/>
      <c r="J805" s="7"/>
      <c r="K805" s="4"/>
      <c r="L805" s="4"/>
      <c r="M805" s="80"/>
      <c r="N805" s="80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>
      <c r="A806" s="4"/>
      <c r="B806" s="4"/>
      <c r="C806" s="4"/>
      <c r="D806" s="4"/>
      <c r="E806" s="4"/>
      <c r="F806" s="4"/>
      <c r="G806" s="4"/>
      <c r="H806" s="4"/>
      <c r="I806" s="4"/>
      <c r="J806" s="7"/>
      <c r="K806" s="4"/>
      <c r="L806" s="4"/>
      <c r="M806" s="80"/>
      <c r="N806" s="80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>
      <c r="A807" s="4"/>
      <c r="B807" s="4"/>
      <c r="C807" s="4"/>
      <c r="D807" s="4"/>
      <c r="E807" s="4"/>
      <c r="F807" s="4"/>
      <c r="G807" s="4"/>
      <c r="H807" s="4"/>
      <c r="I807" s="4"/>
      <c r="J807" s="7"/>
      <c r="K807" s="4"/>
      <c r="L807" s="4"/>
      <c r="M807" s="80"/>
      <c r="N807" s="80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>
      <c r="A808" s="4"/>
      <c r="B808" s="4"/>
      <c r="C808" s="4"/>
      <c r="D808" s="4"/>
      <c r="E808" s="4"/>
      <c r="F808" s="4"/>
      <c r="G808" s="4"/>
      <c r="H808" s="4"/>
      <c r="I808" s="4"/>
      <c r="J808" s="7"/>
      <c r="K808" s="4"/>
      <c r="L808" s="4"/>
      <c r="M808" s="80"/>
      <c r="N808" s="80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>
      <c r="A809" s="4"/>
      <c r="B809" s="4"/>
      <c r="C809" s="4"/>
      <c r="D809" s="4"/>
      <c r="E809" s="4"/>
      <c r="F809" s="4"/>
      <c r="G809" s="4"/>
      <c r="H809" s="4"/>
      <c r="I809" s="4"/>
      <c r="J809" s="7"/>
      <c r="K809" s="4"/>
      <c r="L809" s="4"/>
      <c r="M809" s="80"/>
      <c r="N809" s="80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>
      <c r="A810" s="4"/>
      <c r="B810" s="4"/>
      <c r="C810" s="4"/>
      <c r="D810" s="4"/>
      <c r="E810" s="4"/>
      <c r="F810" s="4"/>
      <c r="G810" s="4"/>
      <c r="H810" s="4"/>
      <c r="I810" s="4"/>
      <c r="J810" s="7"/>
      <c r="K810" s="4"/>
      <c r="L810" s="4"/>
      <c r="M810" s="80"/>
      <c r="N810" s="80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>
      <c r="A811" s="4"/>
      <c r="B811" s="4"/>
      <c r="C811" s="4"/>
      <c r="D811" s="4"/>
      <c r="E811" s="4"/>
      <c r="F811" s="4"/>
      <c r="G811" s="4"/>
      <c r="H811" s="4"/>
      <c r="I811" s="4"/>
      <c r="J811" s="7"/>
      <c r="K811" s="4"/>
      <c r="L811" s="4"/>
      <c r="M811" s="80"/>
      <c r="N811" s="80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>
      <c r="A812" s="4"/>
      <c r="B812" s="4"/>
      <c r="C812" s="4"/>
      <c r="D812" s="4"/>
      <c r="E812" s="4"/>
      <c r="F812" s="4"/>
      <c r="G812" s="4"/>
      <c r="H812" s="4"/>
      <c r="I812" s="4"/>
      <c r="J812" s="7"/>
      <c r="K812" s="4"/>
      <c r="L812" s="4"/>
      <c r="M812" s="80"/>
      <c r="N812" s="80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>
      <c r="A813" s="4"/>
      <c r="B813" s="4"/>
      <c r="C813" s="4"/>
      <c r="D813" s="4"/>
      <c r="E813" s="4"/>
      <c r="F813" s="4"/>
      <c r="G813" s="4"/>
      <c r="H813" s="4"/>
      <c r="I813" s="4"/>
      <c r="J813" s="7"/>
      <c r="K813" s="4"/>
      <c r="L813" s="4"/>
      <c r="M813" s="80"/>
      <c r="N813" s="80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>
      <c r="A814" s="4"/>
      <c r="B814" s="4"/>
      <c r="C814" s="4"/>
      <c r="D814" s="4"/>
      <c r="E814" s="4"/>
      <c r="F814" s="4"/>
      <c r="G814" s="4"/>
      <c r="H814" s="4"/>
      <c r="I814" s="4"/>
      <c r="J814" s="7"/>
      <c r="K814" s="4"/>
      <c r="L814" s="4"/>
      <c r="M814" s="80"/>
      <c r="N814" s="80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>
      <c r="A815" s="4"/>
      <c r="B815" s="4"/>
      <c r="C815" s="4"/>
      <c r="D815" s="4"/>
      <c r="E815" s="4"/>
      <c r="F815" s="4"/>
      <c r="G815" s="4"/>
      <c r="H815" s="4"/>
      <c r="I815" s="4"/>
      <c r="J815" s="7"/>
      <c r="K815" s="4"/>
      <c r="L815" s="4"/>
      <c r="M815" s="80"/>
      <c r="N815" s="80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>
      <c r="A816" s="4"/>
      <c r="B816" s="4"/>
      <c r="C816" s="4"/>
      <c r="D816" s="4"/>
      <c r="E816" s="4"/>
      <c r="F816" s="4"/>
      <c r="G816" s="4"/>
      <c r="H816" s="4"/>
      <c r="I816" s="4"/>
      <c r="J816" s="7"/>
      <c r="K816" s="4"/>
      <c r="L816" s="4"/>
      <c r="M816" s="80"/>
      <c r="N816" s="80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>
      <c r="A817" s="4"/>
      <c r="B817" s="4"/>
      <c r="C817" s="4"/>
      <c r="D817" s="4"/>
      <c r="E817" s="4"/>
      <c r="F817" s="4"/>
      <c r="G817" s="4"/>
      <c r="H817" s="4"/>
      <c r="I817" s="4"/>
      <c r="J817" s="7"/>
      <c r="K817" s="4"/>
      <c r="L817" s="4"/>
      <c r="M817" s="80"/>
      <c r="N817" s="80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>
      <c r="A818" s="4"/>
      <c r="B818" s="4"/>
      <c r="C818" s="4"/>
      <c r="D818" s="4"/>
      <c r="E818" s="4"/>
      <c r="F818" s="4"/>
      <c r="G818" s="4"/>
      <c r="H818" s="4"/>
      <c r="I818" s="4"/>
      <c r="J818" s="7"/>
      <c r="K818" s="4"/>
      <c r="L818" s="4"/>
      <c r="M818" s="80"/>
      <c r="N818" s="80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>
      <c r="A819" s="4"/>
      <c r="B819" s="4"/>
      <c r="C819" s="4"/>
      <c r="D819" s="4"/>
      <c r="E819" s="4"/>
      <c r="F819" s="4"/>
      <c r="G819" s="4"/>
      <c r="H819" s="4"/>
      <c r="I819" s="4"/>
      <c r="J819" s="7"/>
      <c r="K819" s="4"/>
      <c r="L819" s="4"/>
      <c r="M819" s="80"/>
      <c r="N819" s="80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>
      <c r="A820" s="4"/>
      <c r="B820" s="4"/>
      <c r="C820" s="4"/>
      <c r="D820" s="4"/>
      <c r="E820" s="4"/>
      <c r="F820" s="4"/>
      <c r="G820" s="4"/>
      <c r="H820" s="4"/>
      <c r="I820" s="4"/>
      <c r="J820" s="7"/>
      <c r="K820" s="4"/>
      <c r="L820" s="4"/>
      <c r="M820" s="80"/>
      <c r="N820" s="80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>
      <c r="A821" s="4"/>
      <c r="B821" s="4"/>
      <c r="C821" s="4"/>
      <c r="D821" s="4"/>
      <c r="E821" s="4"/>
      <c r="F821" s="4"/>
      <c r="G821" s="4"/>
      <c r="H821" s="4"/>
      <c r="I821" s="4"/>
      <c r="J821" s="7"/>
      <c r="K821" s="4"/>
      <c r="L821" s="4"/>
      <c r="M821" s="80"/>
      <c r="N821" s="80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>
      <c r="A822" s="4"/>
      <c r="B822" s="4"/>
      <c r="C822" s="4"/>
      <c r="D822" s="4"/>
      <c r="E822" s="4"/>
      <c r="F822" s="4"/>
      <c r="G822" s="4"/>
      <c r="H822" s="4"/>
      <c r="I822" s="4"/>
      <c r="J822" s="7"/>
      <c r="K822" s="4"/>
      <c r="L822" s="4"/>
      <c r="M822" s="80"/>
      <c r="N822" s="80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>
      <c r="A823" s="4"/>
      <c r="B823" s="4"/>
      <c r="C823" s="4"/>
      <c r="D823" s="4"/>
      <c r="E823" s="4"/>
      <c r="F823" s="4"/>
      <c r="G823" s="4"/>
      <c r="H823" s="4"/>
      <c r="I823" s="4"/>
      <c r="J823" s="7"/>
      <c r="K823" s="4"/>
      <c r="L823" s="4"/>
      <c r="M823" s="80"/>
      <c r="N823" s="80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>
      <c r="A824" s="4"/>
      <c r="B824" s="4"/>
      <c r="C824" s="4"/>
      <c r="D824" s="4"/>
      <c r="E824" s="4"/>
      <c r="F824" s="4"/>
      <c r="G824" s="4"/>
      <c r="H824" s="4"/>
      <c r="I824" s="4"/>
      <c r="J824" s="7"/>
      <c r="K824" s="4"/>
      <c r="L824" s="4"/>
      <c r="M824" s="80"/>
      <c r="N824" s="80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>
      <c r="A825" s="4"/>
      <c r="B825" s="4"/>
      <c r="C825" s="4"/>
      <c r="D825" s="4"/>
      <c r="E825" s="4"/>
      <c r="F825" s="4"/>
      <c r="G825" s="4"/>
      <c r="H825" s="4"/>
      <c r="I825" s="4"/>
      <c r="J825" s="7"/>
      <c r="K825" s="4"/>
      <c r="L825" s="4"/>
      <c r="M825" s="80"/>
      <c r="N825" s="80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>
      <c r="A826" s="4"/>
      <c r="B826" s="4"/>
      <c r="C826" s="4"/>
      <c r="D826" s="4"/>
      <c r="E826" s="4"/>
      <c r="F826" s="4"/>
      <c r="G826" s="4"/>
      <c r="H826" s="4"/>
      <c r="I826" s="4"/>
      <c r="J826" s="7"/>
      <c r="K826" s="4"/>
      <c r="L826" s="4"/>
      <c r="M826" s="80"/>
      <c r="N826" s="80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>
      <c r="A827" s="4"/>
      <c r="B827" s="4"/>
      <c r="C827" s="4"/>
      <c r="D827" s="4"/>
      <c r="E827" s="4"/>
      <c r="F827" s="4"/>
      <c r="G827" s="4"/>
      <c r="H827" s="4"/>
      <c r="I827" s="4"/>
      <c r="J827" s="7"/>
      <c r="K827" s="4"/>
      <c r="L827" s="4"/>
      <c r="M827" s="80"/>
      <c r="N827" s="80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>
      <c r="A828" s="4"/>
      <c r="B828" s="4"/>
      <c r="C828" s="4"/>
      <c r="D828" s="4"/>
      <c r="E828" s="4"/>
      <c r="F828" s="4"/>
      <c r="G828" s="4"/>
      <c r="H828" s="4"/>
      <c r="I828" s="4"/>
      <c r="J828" s="7"/>
      <c r="K828" s="4"/>
      <c r="L828" s="4"/>
      <c r="M828" s="80"/>
      <c r="N828" s="80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>
      <c r="A829" s="4"/>
      <c r="B829" s="4"/>
      <c r="C829" s="4"/>
      <c r="D829" s="4"/>
      <c r="E829" s="4"/>
      <c r="F829" s="4"/>
      <c r="G829" s="4"/>
      <c r="H829" s="4"/>
      <c r="I829" s="4"/>
      <c r="J829" s="7"/>
      <c r="K829" s="4"/>
      <c r="L829" s="4"/>
      <c r="M829" s="80"/>
      <c r="N829" s="80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>
      <c r="A830" s="4"/>
      <c r="B830" s="4"/>
      <c r="C830" s="4"/>
      <c r="D830" s="4"/>
      <c r="E830" s="4"/>
      <c r="F830" s="4"/>
      <c r="G830" s="4"/>
      <c r="H830" s="4"/>
      <c r="I830" s="4"/>
      <c r="J830" s="7"/>
      <c r="K830" s="4"/>
      <c r="L830" s="4"/>
      <c r="M830" s="80"/>
      <c r="N830" s="80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>
      <c r="A831" s="4"/>
      <c r="B831" s="4"/>
      <c r="C831" s="4"/>
      <c r="D831" s="4"/>
      <c r="E831" s="4"/>
      <c r="F831" s="4"/>
      <c r="G831" s="4"/>
      <c r="H831" s="4"/>
      <c r="I831" s="4"/>
      <c r="J831" s="7"/>
      <c r="K831" s="4"/>
      <c r="L831" s="4"/>
      <c r="M831" s="80"/>
      <c r="N831" s="80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>
      <c r="A832" s="4"/>
      <c r="B832" s="4"/>
      <c r="C832" s="4"/>
      <c r="D832" s="4"/>
      <c r="E832" s="4"/>
      <c r="F832" s="4"/>
      <c r="G832" s="4"/>
      <c r="H832" s="4"/>
      <c r="I832" s="4"/>
      <c r="J832" s="7"/>
      <c r="K832" s="4"/>
      <c r="L832" s="4"/>
      <c r="M832" s="80"/>
      <c r="N832" s="80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>
      <c r="A833" s="4"/>
      <c r="B833" s="4"/>
      <c r="C833" s="4"/>
      <c r="D833" s="4"/>
      <c r="E833" s="4"/>
      <c r="F833" s="4"/>
      <c r="G833" s="4"/>
      <c r="H833" s="4"/>
      <c r="I833" s="4"/>
      <c r="J833" s="7"/>
      <c r="K833" s="4"/>
      <c r="L833" s="4"/>
      <c r="M833" s="80"/>
      <c r="N833" s="80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>
      <c r="A834" s="4"/>
      <c r="B834" s="4"/>
      <c r="C834" s="4"/>
      <c r="D834" s="4"/>
      <c r="E834" s="4"/>
      <c r="F834" s="4"/>
      <c r="G834" s="4"/>
      <c r="H834" s="4"/>
      <c r="I834" s="4"/>
      <c r="J834" s="7"/>
      <c r="K834" s="4"/>
      <c r="L834" s="4"/>
      <c r="M834" s="80"/>
      <c r="N834" s="80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>
      <c r="A835" s="4"/>
      <c r="B835" s="4"/>
      <c r="C835" s="4"/>
      <c r="D835" s="4"/>
      <c r="E835" s="4"/>
      <c r="F835" s="4"/>
      <c r="G835" s="4"/>
      <c r="H835" s="4"/>
      <c r="I835" s="4"/>
      <c r="J835" s="7"/>
      <c r="K835" s="4"/>
      <c r="L835" s="4"/>
      <c r="M835" s="80"/>
      <c r="N835" s="80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>
      <c r="A836" s="4"/>
      <c r="B836" s="4"/>
      <c r="C836" s="4"/>
      <c r="D836" s="4"/>
      <c r="E836" s="4"/>
      <c r="F836" s="4"/>
      <c r="G836" s="4"/>
      <c r="H836" s="4"/>
      <c r="I836" s="4"/>
      <c r="J836" s="7"/>
      <c r="K836" s="4"/>
      <c r="L836" s="4"/>
      <c r="M836" s="80"/>
      <c r="N836" s="80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>
      <c r="A837" s="4"/>
      <c r="B837" s="4"/>
      <c r="C837" s="4"/>
      <c r="D837" s="4"/>
      <c r="E837" s="4"/>
      <c r="F837" s="4"/>
      <c r="G837" s="4"/>
      <c r="H837" s="4"/>
      <c r="I837" s="4"/>
      <c r="J837" s="7"/>
      <c r="K837" s="4"/>
      <c r="L837" s="4"/>
      <c r="M837" s="80"/>
      <c r="N837" s="80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>
      <c r="A838" s="4"/>
      <c r="B838" s="4"/>
      <c r="C838" s="4"/>
      <c r="D838" s="4"/>
      <c r="E838" s="4"/>
      <c r="F838" s="4"/>
      <c r="G838" s="4"/>
      <c r="H838" s="4"/>
      <c r="I838" s="4"/>
      <c r="J838" s="7"/>
      <c r="K838" s="4"/>
      <c r="L838" s="4"/>
      <c r="M838" s="80"/>
      <c r="N838" s="80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>
      <c r="A839" s="4"/>
      <c r="B839" s="4"/>
      <c r="C839" s="4"/>
      <c r="D839" s="4"/>
      <c r="E839" s="4"/>
      <c r="F839" s="4"/>
      <c r="G839" s="4"/>
      <c r="H839" s="4"/>
      <c r="I839" s="4"/>
      <c r="J839" s="7"/>
      <c r="K839" s="4"/>
      <c r="L839" s="4"/>
      <c r="M839" s="80"/>
      <c r="N839" s="80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>
      <c r="A840" s="4"/>
      <c r="B840" s="4"/>
      <c r="C840" s="4"/>
      <c r="D840" s="4"/>
      <c r="E840" s="4"/>
      <c r="F840" s="4"/>
      <c r="G840" s="4"/>
      <c r="H840" s="4"/>
      <c r="I840" s="4"/>
      <c r="J840" s="7"/>
      <c r="K840" s="4"/>
      <c r="L840" s="4"/>
      <c r="M840" s="80"/>
      <c r="N840" s="80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>
      <c r="A841" s="4"/>
      <c r="B841" s="4"/>
      <c r="C841" s="4"/>
      <c r="D841" s="4"/>
      <c r="E841" s="4"/>
      <c r="F841" s="4"/>
      <c r="G841" s="4"/>
      <c r="H841" s="4"/>
      <c r="I841" s="4"/>
      <c r="J841" s="7"/>
      <c r="K841" s="4"/>
      <c r="L841" s="4"/>
      <c r="M841" s="80"/>
      <c r="N841" s="80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>
      <c r="A842" s="4"/>
      <c r="B842" s="4"/>
      <c r="C842" s="4"/>
      <c r="D842" s="4"/>
      <c r="E842" s="4"/>
      <c r="F842" s="4"/>
      <c r="G842" s="4"/>
      <c r="H842" s="4"/>
      <c r="I842" s="4"/>
      <c r="J842" s="7"/>
      <c r="K842" s="4"/>
      <c r="L842" s="4"/>
      <c r="M842" s="80"/>
      <c r="N842" s="80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>
      <c r="A843" s="4"/>
      <c r="B843" s="4"/>
      <c r="C843" s="4"/>
      <c r="D843" s="4"/>
      <c r="E843" s="4"/>
      <c r="F843" s="4"/>
      <c r="G843" s="4"/>
      <c r="H843" s="4"/>
      <c r="I843" s="4"/>
      <c r="J843" s="7"/>
      <c r="K843" s="4"/>
      <c r="L843" s="4"/>
      <c r="M843" s="80"/>
      <c r="N843" s="80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>
      <c r="A844" s="4"/>
      <c r="B844" s="4"/>
      <c r="C844" s="4"/>
      <c r="D844" s="4"/>
      <c r="E844" s="4"/>
      <c r="F844" s="4"/>
      <c r="G844" s="4"/>
      <c r="H844" s="4"/>
      <c r="I844" s="4"/>
      <c r="J844" s="7"/>
      <c r="K844" s="4"/>
      <c r="L844" s="4"/>
      <c r="M844" s="80"/>
      <c r="N844" s="80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>
      <c r="A845" s="4"/>
      <c r="B845" s="4"/>
      <c r="C845" s="4"/>
      <c r="D845" s="4"/>
      <c r="E845" s="4"/>
      <c r="F845" s="4"/>
      <c r="G845" s="4"/>
      <c r="H845" s="4"/>
      <c r="I845" s="4"/>
      <c r="J845" s="7"/>
      <c r="K845" s="4"/>
      <c r="L845" s="4"/>
      <c r="M845" s="80"/>
      <c r="N845" s="80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>
      <c r="A846" s="4"/>
      <c r="B846" s="4"/>
      <c r="C846" s="4"/>
      <c r="D846" s="4"/>
      <c r="E846" s="4"/>
      <c r="F846" s="4"/>
      <c r="G846" s="4"/>
      <c r="H846" s="4"/>
      <c r="I846" s="4"/>
      <c r="J846" s="7"/>
      <c r="K846" s="4"/>
      <c r="L846" s="4"/>
      <c r="M846" s="80"/>
      <c r="N846" s="80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>
      <c r="A847" s="4"/>
      <c r="B847" s="4"/>
      <c r="C847" s="4"/>
      <c r="D847" s="4"/>
      <c r="E847" s="4"/>
      <c r="F847" s="4"/>
      <c r="G847" s="4"/>
      <c r="H847" s="4"/>
      <c r="I847" s="4"/>
      <c r="J847" s="7"/>
      <c r="K847" s="4"/>
      <c r="L847" s="4"/>
      <c r="M847" s="80"/>
      <c r="N847" s="80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>
      <c r="A848" s="4"/>
      <c r="B848" s="4"/>
      <c r="C848" s="4"/>
      <c r="D848" s="4"/>
      <c r="E848" s="4"/>
      <c r="F848" s="4"/>
      <c r="G848" s="4"/>
      <c r="H848" s="4"/>
      <c r="I848" s="4"/>
      <c r="J848" s="7"/>
      <c r="K848" s="4"/>
      <c r="L848" s="4"/>
      <c r="M848" s="80"/>
      <c r="N848" s="80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>
      <c r="A849" s="4"/>
      <c r="B849" s="4"/>
      <c r="C849" s="4"/>
      <c r="D849" s="4"/>
      <c r="E849" s="4"/>
      <c r="F849" s="4"/>
      <c r="G849" s="4"/>
      <c r="H849" s="4"/>
      <c r="I849" s="4"/>
      <c r="J849" s="7"/>
      <c r="K849" s="4"/>
      <c r="L849" s="4"/>
      <c r="M849" s="80"/>
      <c r="N849" s="80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>
      <c r="A850" s="4"/>
      <c r="B850" s="4"/>
      <c r="C850" s="4"/>
      <c r="D850" s="4"/>
      <c r="E850" s="4"/>
      <c r="F850" s="4"/>
      <c r="G850" s="4"/>
      <c r="H850" s="4"/>
      <c r="I850" s="4"/>
      <c r="J850" s="7"/>
      <c r="K850" s="4"/>
      <c r="L850" s="4"/>
      <c r="M850" s="80"/>
      <c r="N850" s="80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>
      <c r="A851" s="4"/>
      <c r="B851" s="4"/>
      <c r="C851" s="4"/>
      <c r="D851" s="4"/>
      <c r="E851" s="4"/>
      <c r="F851" s="4"/>
      <c r="G851" s="4"/>
      <c r="H851" s="4"/>
      <c r="I851" s="4"/>
      <c r="J851" s="7"/>
      <c r="K851" s="4"/>
      <c r="L851" s="4"/>
      <c r="M851" s="80"/>
      <c r="N851" s="80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>
      <c r="A852" s="4"/>
      <c r="B852" s="4"/>
      <c r="C852" s="4"/>
      <c r="D852" s="4"/>
      <c r="E852" s="4"/>
      <c r="F852" s="4"/>
      <c r="G852" s="4"/>
      <c r="H852" s="4"/>
      <c r="I852" s="4"/>
      <c r="J852" s="7"/>
      <c r="K852" s="4"/>
      <c r="L852" s="4"/>
      <c r="M852" s="80"/>
      <c r="N852" s="80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>
      <c r="A853" s="4"/>
      <c r="B853" s="4"/>
      <c r="C853" s="4"/>
      <c r="D853" s="4"/>
      <c r="E853" s="4"/>
      <c r="F853" s="4"/>
      <c r="G853" s="4"/>
      <c r="H853" s="4"/>
      <c r="I853" s="4"/>
      <c r="J853" s="7"/>
      <c r="K853" s="4"/>
      <c r="L853" s="4"/>
      <c r="M853" s="80"/>
      <c r="N853" s="80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>
      <c r="A854" s="4"/>
      <c r="B854" s="4"/>
      <c r="C854" s="4"/>
      <c r="D854" s="4"/>
      <c r="E854" s="4"/>
      <c r="F854" s="4"/>
      <c r="G854" s="4"/>
      <c r="H854" s="4"/>
      <c r="I854" s="4"/>
      <c r="J854" s="7"/>
      <c r="K854" s="4"/>
      <c r="L854" s="4"/>
      <c r="M854" s="80"/>
      <c r="N854" s="80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>
      <c r="A855" s="4"/>
      <c r="B855" s="4"/>
      <c r="C855" s="4"/>
      <c r="D855" s="4"/>
      <c r="E855" s="4"/>
      <c r="F855" s="4"/>
      <c r="G855" s="4"/>
      <c r="H855" s="4"/>
      <c r="I855" s="4"/>
      <c r="J855" s="7"/>
      <c r="K855" s="4"/>
      <c r="L855" s="4"/>
      <c r="M855" s="80"/>
      <c r="N855" s="80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>
      <c r="A856" s="4"/>
      <c r="B856" s="4"/>
      <c r="C856" s="4"/>
      <c r="D856" s="4"/>
      <c r="E856" s="4"/>
      <c r="F856" s="4"/>
      <c r="G856" s="4"/>
      <c r="H856" s="4"/>
      <c r="I856" s="4"/>
      <c r="J856" s="7"/>
      <c r="K856" s="4"/>
      <c r="L856" s="4"/>
      <c r="M856" s="80"/>
      <c r="N856" s="80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>
      <c r="A857" s="4"/>
      <c r="B857" s="4"/>
      <c r="C857" s="4"/>
      <c r="D857" s="4"/>
      <c r="E857" s="4"/>
      <c r="F857" s="4"/>
      <c r="G857" s="4"/>
      <c r="H857" s="4"/>
      <c r="I857" s="4"/>
      <c r="J857" s="7"/>
      <c r="K857" s="4"/>
      <c r="L857" s="4"/>
      <c r="M857" s="80"/>
      <c r="N857" s="80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>
      <c r="A858" s="4"/>
      <c r="B858" s="4"/>
      <c r="C858" s="4"/>
      <c r="D858" s="4"/>
      <c r="E858" s="4"/>
      <c r="F858" s="4"/>
      <c r="G858" s="4"/>
      <c r="H858" s="4"/>
      <c r="I858" s="4"/>
      <c r="J858" s="7"/>
      <c r="K858" s="4"/>
      <c r="L858" s="4"/>
      <c r="M858" s="80"/>
      <c r="N858" s="80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>
      <c r="A859" s="4"/>
      <c r="B859" s="4"/>
      <c r="C859" s="4"/>
      <c r="D859" s="4"/>
      <c r="E859" s="4"/>
      <c r="F859" s="4"/>
      <c r="G859" s="4"/>
      <c r="H859" s="4"/>
      <c r="I859" s="4"/>
      <c r="J859" s="7"/>
      <c r="K859" s="4"/>
      <c r="L859" s="4"/>
      <c r="M859" s="80"/>
      <c r="N859" s="80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>
      <c r="A860" s="4"/>
      <c r="B860" s="4"/>
      <c r="C860" s="4"/>
      <c r="D860" s="4"/>
      <c r="E860" s="4"/>
      <c r="F860" s="4"/>
      <c r="G860" s="4"/>
      <c r="H860" s="4"/>
      <c r="I860" s="4"/>
      <c r="J860" s="7"/>
      <c r="K860" s="4"/>
      <c r="L860" s="4"/>
      <c r="M860" s="80"/>
      <c r="N860" s="80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>
      <c r="A861" s="4"/>
      <c r="B861" s="4"/>
      <c r="C861" s="4"/>
      <c r="D861" s="4"/>
      <c r="E861" s="4"/>
      <c r="F861" s="4"/>
      <c r="G861" s="4"/>
      <c r="H861" s="4"/>
      <c r="I861" s="4"/>
      <c r="J861" s="7"/>
      <c r="K861" s="4"/>
      <c r="L861" s="4"/>
      <c r="M861" s="80"/>
      <c r="N861" s="80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>
      <c r="A862" s="4"/>
      <c r="B862" s="4"/>
      <c r="C862" s="4"/>
      <c r="D862" s="4"/>
      <c r="E862" s="4"/>
      <c r="F862" s="4"/>
      <c r="G862" s="4"/>
      <c r="H862" s="4"/>
      <c r="I862" s="4"/>
      <c r="J862" s="7"/>
      <c r="K862" s="4"/>
      <c r="L862" s="4"/>
      <c r="M862" s="80"/>
      <c r="N862" s="80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>
      <c r="A863" s="4"/>
      <c r="B863" s="4"/>
      <c r="C863" s="4"/>
      <c r="D863" s="4"/>
      <c r="E863" s="4"/>
      <c r="F863" s="4"/>
      <c r="G863" s="4"/>
      <c r="H863" s="4"/>
      <c r="I863" s="4"/>
      <c r="J863" s="7"/>
      <c r="K863" s="4"/>
      <c r="L863" s="4"/>
      <c r="M863" s="80"/>
      <c r="N863" s="80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>
      <c r="A864" s="4"/>
      <c r="B864" s="4"/>
      <c r="C864" s="4"/>
      <c r="D864" s="4"/>
      <c r="E864" s="4"/>
      <c r="F864" s="4"/>
      <c r="G864" s="4"/>
      <c r="H864" s="4"/>
      <c r="I864" s="4"/>
      <c r="J864" s="7"/>
      <c r="K864" s="4"/>
      <c r="L864" s="4"/>
      <c r="M864" s="80"/>
      <c r="N864" s="80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>
      <c r="A865" s="4"/>
      <c r="B865" s="4"/>
      <c r="C865" s="4"/>
      <c r="D865" s="4"/>
      <c r="E865" s="4"/>
      <c r="F865" s="4"/>
      <c r="G865" s="4"/>
      <c r="H865" s="4"/>
      <c r="I865" s="4"/>
      <c r="J865" s="7"/>
      <c r="K865" s="4"/>
      <c r="L865" s="4"/>
      <c r="M865" s="80"/>
      <c r="N865" s="80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>
      <c r="A866" s="4"/>
      <c r="B866" s="4"/>
      <c r="C866" s="4"/>
      <c r="D866" s="4"/>
      <c r="E866" s="4"/>
      <c r="F866" s="4"/>
      <c r="G866" s="4"/>
      <c r="H866" s="4"/>
      <c r="I866" s="4"/>
      <c r="J866" s="7"/>
      <c r="K866" s="4"/>
      <c r="L866" s="4"/>
      <c r="M866" s="80"/>
      <c r="N866" s="80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>
      <c r="A867" s="4"/>
      <c r="B867" s="4"/>
      <c r="C867" s="4"/>
      <c r="D867" s="4"/>
      <c r="E867" s="4"/>
      <c r="F867" s="4"/>
      <c r="G867" s="4"/>
      <c r="H867" s="4"/>
      <c r="I867" s="4"/>
      <c r="J867" s="7"/>
      <c r="K867" s="4"/>
      <c r="L867" s="4"/>
      <c r="M867" s="80"/>
      <c r="N867" s="80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>
      <c r="A868" s="4"/>
      <c r="B868" s="4"/>
      <c r="C868" s="4"/>
      <c r="D868" s="4"/>
      <c r="E868" s="4"/>
      <c r="F868" s="4"/>
      <c r="G868" s="4"/>
      <c r="H868" s="4"/>
      <c r="I868" s="4"/>
      <c r="J868" s="7"/>
      <c r="K868" s="4"/>
      <c r="L868" s="4"/>
      <c r="M868" s="80"/>
      <c r="N868" s="80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>
      <c r="A869" s="4"/>
      <c r="B869" s="4"/>
      <c r="C869" s="4"/>
      <c r="D869" s="4"/>
      <c r="E869" s="4"/>
      <c r="F869" s="4"/>
      <c r="G869" s="4"/>
      <c r="H869" s="4"/>
      <c r="I869" s="4"/>
      <c r="J869" s="7"/>
      <c r="K869" s="4"/>
      <c r="L869" s="4"/>
      <c r="M869" s="80"/>
      <c r="N869" s="80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>
      <c r="A870" s="4"/>
      <c r="B870" s="4"/>
      <c r="C870" s="4"/>
      <c r="D870" s="4"/>
      <c r="E870" s="4"/>
      <c r="F870" s="4"/>
      <c r="G870" s="4"/>
      <c r="H870" s="4"/>
      <c r="I870" s="4"/>
      <c r="J870" s="7"/>
      <c r="K870" s="4"/>
      <c r="L870" s="4"/>
      <c r="M870" s="80"/>
      <c r="N870" s="80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>
      <c r="A871" s="4"/>
      <c r="B871" s="4"/>
      <c r="C871" s="4"/>
      <c r="D871" s="4"/>
      <c r="E871" s="4"/>
      <c r="F871" s="4"/>
      <c r="G871" s="4"/>
      <c r="H871" s="4"/>
      <c r="I871" s="4"/>
      <c r="J871" s="7"/>
      <c r="K871" s="4"/>
      <c r="L871" s="4"/>
      <c r="M871" s="80"/>
      <c r="N871" s="80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>
      <c r="A872" s="4"/>
      <c r="B872" s="4"/>
      <c r="C872" s="4"/>
      <c r="D872" s="4"/>
      <c r="E872" s="4"/>
      <c r="F872" s="4"/>
      <c r="G872" s="4"/>
      <c r="H872" s="4"/>
      <c r="I872" s="4"/>
      <c r="J872" s="7"/>
      <c r="K872" s="4"/>
      <c r="L872" s="4"/>
      <c r="M872" s="80"/>
      <c r="N872" s="80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>
      <c r="A873" s="4"/>
      <c r="B873" s="4"/>
      <c r="C873" s="4"/>
      <c r="D873" s="4"/>
      <c r="E873" s="4"/>
      <c r="F873" s="4"/>
      <c r="G873" s="4"/>
      <c r="H873" s="4"/>
      <c r="I873" s="4"/>
      <c r="J873" s="7"/>
      <c r="K873" s="4"/>
      <c r="L873" s="4"/>
      <c r="M873" s="80"/>
      <c r="N873" s="80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>
      <c r="A874" s="4"/>
      <c r="B874" s="4"/>
      <c r="C874" s="4"/>
      <c r="D874" s="4"/>
      <c r="E874" s="4"/>
      <c r="F874" s="4"/>
      <c r="G874" s="4"/>
      <c r="H874" s="4"/>
      <c r="I874" s="4"/>
      <c r="J874" s="7"/>
      <c r="K874" s="4"/>
      <c r="L874" s="4"/>
      <c r="M874" s="80"/>
      <c r="N874" s="80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>
      <c r="A875" s="4"/>
      <c r="B875" s="4"/>
      <c r="C875" s="4"/>
      <c r="D875" s="4"/>
      <c r="E875" s="4"/>
      <c r="F875" s="4"/>
      <c r="G875" s="4"/>
      <c r="H875" s="4"/>
      <c r="I875" s="4"/>
      <c r="J875" s="7"/>
      <c r="K875" s="4"/>
      <c r="L875" s="4"/>
      <c r="M875" s="80"/>
      <c r="N875" s="80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>
      <c r="A876" s="4"/>
      <c r="B876" s="4"/>
      <c r="C876" s="4"/>
      <c r="D876" s="4"/>
      <c r="E876" s="4"/>
      <c r="F876" s="4"/>
      <c r="G876" s="4"/>
      <c r="H876" s="4"/>
      <c r="I876" s="4"/>
      <c r="J876" s="7"/>
      <c r="K876" s="4"/>
      <c r="L876" s="4"/>
      <c r="M876" s="80"/>
      <c r="N876" s="80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>
      <c r="A877" s="4"/>
      <c r="B877" s="4"/>
      <c r="C877" s="4"/>
      <c r="D877" s="4"/>
      <c r="E877" s="4"/>
      <c r="F877" s="4"/>
      <c r="G877" s="4"/>
      <c r="H877" s="4"/>
      <c r="I877" s="4"/>
      <c r="J877" s="7"/>
      <c r="K877" s="4"/>
      <c r="L877" s="4"/>
      <c r="M877" s="80"/>
      <c r="N877" s="80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>
      <c r="A878" s="4"/>
      <c r="B878" s="4"/>
      <c r="C878" s="4"/>
      <c r="D878" s="4"/>
      <c r="E878" s="4"/>
      <c r="F878" s="4"/>
      <c r="G878" s="4"/>
      <c r="H878" s="4"/>
      <c r="I878" s="4"/>
      <c r="J878" s="7"/>
      <c r="K878" s="4"/>
      <c r="L878" s="4"/>
      <c r="M878" s="80"/>
      <c r="N878" s="80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>
      <c r="A879" s="4"/>
      <c r="B879" s="4"/>
      <c r="C879" s="4"/>
      <c r="D879" s="4"/>
      <c r="E879" s="4"/>
      <c r="F879" s="4"/>
      <c r="G879" s="4"/>
      <c r="H879" s="4"/>
      <c r="I879" s="4"/>
      <c r="J879" s="7"/>
      <c r="K879" s="4"/>
      <c r="L879" s="4"/>
      <c r="M879" s="80"/>
      <c r="N879" s="80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>
      <c r="A880" s="4"/>
      <c r="B880" s="4"/>
      <c r="C880" s="4"/>
      <c r="D880" s="4"/>
      <c r="E880" s="4"/>
      <c r="F880" s="4"/>
      <c r="G880" s="4"/>
      <c r="H880" s="4"/>
      <c r="I880" s="4"/>
      <c r="J880" s="7"/>
      <c r="K880" s="4"/>
      <c r="L880" s="4"/>
      <c r="M880" s="80"/>
      <c r="N880" s="80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>
      <c r="A881" s="4"/>
      <c r="B881" s="4"/>
      <c r="C881" s="4"/>
      <c r="D881" s="4"/>
      <c r="E881" s="4"/>
      <c r="F881" s="4"/>
      <c r="G881" s="4"/>
      <c r="H881" s="4"/>
      <c r="I881" s="4"/>
      <c r="J881" s="7"/>
      <c r="K881" s="4"/>
      <c r="L881" s="4"/>
      <c r="M881" s="80"/>
      <c r="N881" s="80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>
      <c r="A882" s="4"/>
      <c r="B882" s="4"/>
      <c r="C882" s="4"/>
      <c r="D882" s="4"/>
      <c r="E882" s="4"/>
      <c r="F882" s="4"/>
      <c r="G882" s="4"/>
      <c r="H882" s="4"/>
      <c r="I882" s="4"/>
      <c r="J882" s="7"/>
      <c r="K882" s="4"/>
      <c r="L882" s="4"/>
      <c r="M882" s="80"/>
      <c r="N882" s="80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>
      <c r="A883" s="4"/>
      <c r="B883" s="4"/>
      <c r="C883" s="4"/>
      <c r="D883" s="4"/>
      <c r="E883" s="4"/>
      <c r="F883" s="4"/>
      <c r="G883" s="4"/>
      <c r="H883" s="4"/>
      <c r="I883" s="4"/>
      <c r="J883" s="7"/>
      <c r="K883" s="4"/>
      <c r="L883" s="4"/>
      <c r="M883" s="80"/>
      <c r="N883" s="80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>
      <c r="A884" s="4"/>
      <c r="B884" s="4"/>
      <c r="C884" s="4"/>
      <c r="D884" s="4"/>
      <c r="E884" s="4"/>
      <c r="F884" s="4"/>
      <c r="G884" s="4"/>
      <c r="H884" s="4"/>
      <c r="I884" s="4"/>
      <c r="J884" s="7"/>
      <c r="K884" s="4"/>
      <c r="L884" s="4"/>
      <c r="M884" s="80"/>
      <c r="N884" s="80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>
      <c r="A885" s="4"/>
      <c r="B885" s="4"/>
      <c r="C885" s="4"/>
      <c r="D885" s="4"/>
      <c r="E885" s="4"/>
      <c r="F885" s="4"/>
      <c r="G885" s="4"/>
      <c r="H885" s="4"/>
      <c r="I885" s="4"/>
      <c r="J885" s="7"/>
      <c r="K885" s="4"/>
      <c r="L885" s="4"/>
      <c r="M885" s="80"/>
      <c r="N885" s="80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>
      <c r="A886" s="4"/>
      <c r="B886" s="4"/>
      <c r="C886" s="4"/>
      <c r="D886" s="4"/>
      <c r="E886" s="4"/>
      <c r="F886" s="4"/>
      <c r="G886" s="4"/>
      <c r="H886" s="4"/>
      <c r="I886" s="4"/>
      <c r="J886" s="7"/>
      <c r="K886" s="4"/>
      <c r="L886" s="4"/>
      <c r="M886" s="80"/>
      <c r="N886" s="80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>
      <c r="A887" s="4"/>
      <c r="B887" s="4"/>
      <c r="C887" s="4"/>
      <c r="D887" s="4"/>
      <c r="E887" s="4"/>
      <c r="F887" s="4"/>
      <c r="G887" s="4"/>
      <c r="H887" s="4"/>
      <c r="I887" s="4"/>
      <c r="J887" s="7"/>
      <c r="K887" s="4"/>
      <c r="L887" s="4"/>
      <c r="M887" s="80"/>
      <c r="N887" s="80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>
      <c r="A888" s="4"/>
      <c r="B888" s="4"/>
      <c r="C888" s="4"/>
      <c r="D888" s="4"/>
      <c r="E888" s="4"/>
      <c r="F888" s="4"/>
      <c r="G888" s="4"/>
      <c r="H888" s="4"/>
      <c r="I888" s="4"/>
      <c r="J888" s="7"/>
      <c r="K888" s="4"/>
      <c r="L888" s="4"/>
      <c r="M888" s="80"/>
      <c r="N888" s="80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>
      <c r="A889" s="4"/>
      <c r="B889" s="4"/>
      <c r="C889" s="4"/>
      <c r="D889" s="4"/>
      <c r="E889" s="4"/>
      <c r="F889" s="4"/>
      <c r="G889" s="4"/>
      <c r="H889" s="4"/>
      <c r="I889" s="4"/>
      <c r="J889" s="7"/>
      <c r="K889" s="4"/>
      <c r="L889" s="4"/>
      <c r="M889" s="80"/>
      <c r="N889" s="80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>
      <c r="A890" s="4"/>
      <c r="B890" s="4"/>
      <c r="C890" s="4"/>
      <c r="D890" s="4"/>
      <c r="E890" s="4"/>
      <c r="F890" s="4"/>
      <c r="G890" s="4"/>
      <c r="H890" s="4"/>
      <c r="I890" s="4"/>
      <c r="J890" s="7"/>
      <c r="K890" s="4"/>
      <c r="L890" s="4"/>
      <c r="M890" s="80"/>
      <c r="N890" s="80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>
      <c r="A891" s="4"/>
      <c r="B891" s="4"/>
      <c r="C891" s="4"/>
      <c r="D891" s="4"/>
      <c r="E891" s="4"/>
      <c r="F891" s="4"/>
      <c r="G891" s="4"/>
      <c r="H891" s="4"/>
      <c r="I891" s="4"/>
      <c r="J891" s="7"/>
      <c r="K891" s="4"/>
      <c r="L891" s="4"/>
      <c r="M891" s="80"/>
      <c r="N891" s="80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>
      <c r="A892" s="4"/>
      <c r="B892" s="4"/>
      <c r="C892" s="4"/>
      <c r="D892" s="4"/>
      <c r="E892" s="4"/>
      <c r="F892" s="4"/>
      <c r="G892" s="4"/>
      <c r="H892" s="4"/>
      <c r="I892" s="4"/>
      <c r="J892" s="7"/>
      <c r="K892" s="4"/>
      <c r="L892" s="4"/>
      <c r="M892" s="80"/>
      <c r="N892" s="80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>
      <c r="A893" s="4"/>
      <c r="B893" s="4"/>
      <c r="C893" s="4"/>
      <c r="D893" s="4"/>
      <c r="E893" s="4"/>
      <c r="F893" s="4"/>
      <c r="G893" s="4"/>
      <c r="H893" s="4"/>
      <c r="I893" s="4"/>
      <c r="J893" s="7"/>
      <c r="K893" s="4"/>
      <c r="L893" s="4"/>
      <c r="M893" s="80"/>
      <c r="N893" s="80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>
      <c r="A894" s="4"/>
      <c r="B894" s="4"/>
      <c r="C894" s="4"/>
      <c r="D894" s="4"/>
      <c r="E894" s="4"/>
      <c r="F894" s="4"/>
      <c r="G894" s="4"/>
      <c r="H894" s="4"/>
      <c r="I894" s="4"/>
      <c r="J894" s="7"/>
      <c r="K894" s="4"/>
      <c r="L894" s="4"/>
      <c r="M894" s="80"/>
      <c r="N894" s="80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>
      <c r="A895" s="4"/>
      <c r="B895" s="4"/>
      <c r="C895" s="4"/>
      <c r="D895" s="4"/>
      <c r="E895" s="4"/>
      <c r="F895" s="4"/>
      <c r="G895" s="4"/>
      <c r="H895" s="4"/>
      <c r="I895" s="4"/>
      <c r="J895" s="7"/>
      <c r="K895" s="4"/>
      <c r="L895" s="4"/>
      <c r="M895" s="80"/>
      <c r="N895" s="80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>
      <c r="A896" s="4"/>
      <c r="B896" s="4"/>
      <c r="C896" s="4"/>
      <c r="D896" s="4"/>
      <c r="E896" s="4"/>
      <c r="F896" s="4"/>
      <c r="G896" s="4"/>
      <c r="H896" s="4"/>
      <c r="I896" s="4"/>
      <c r="J896" s="7"/>
      <c r="K896" s="4"/>
      <c r="L896" s="4"/>
      <c r="M896" s="80"/>
      <c r="N896" s="80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>
      <c r="A897" s="4"/>
      <c r="B897" s="4"/>
      <c r="C897" s="4"/>
      <c r="D897" s="4"/>
      <c r="E897" s="4"/>
      <c r="F897" s="4"/>
      <c r="G897" s="4"/>
      <c r="H897" s="4"/>
      <c r="I897" s="4"/>
      <c r="J897" s="7"/>
      <c r="K897" s="4"/>
      <c r="L897" s="4"/>
      <c r="M897" s="80"/>
      <c r="N897" s="80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>
      <c r="A898" s="4"/>
      <c r="B898" s="4"/>
      <c r="C898" s="4"/>
      <c r="D898" s="4"/>
      <c r="E898" s="4"/>
      <c r="F898" s="4"/>
      <c r="G898" s="4"/>
      <c r="H898" s="4"/>
      <c r="I898" s="4"/>
      <c r="J898" s="7"/>
      <c r="K898" s="4"/>
      <c r="L898" s="4"/>
      <c r="M898" s="80"/>
      <c r="N898" s="80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>
      <c r="A899" s="4"/>
      <c r="B899" s="4"/>
      <c r="C899" s="4"/>
      <c r="D899" s="4"/>
      <c r="E899" s="4"/>
      <c r="F899" s="4"/>
      <c r="G899" s="4"/>
      <c r="H899" s="4"/>
      <c r="I899" s="4"/>
      <c r="J899" s="7"/>
      <c r="K899" s="4"/>
      <c r="L899" s="4"/>
      <c r="M899" s="80"/>
      <c r="N899" s="80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>
      <c r="A900" s="4"/>
      <c r="B900" s="4"/>
      <c r="C900" s="4"/>
      <c r="D900" s="4"/>
      <c r="E900" s="4"/>
      <c r="F900" s="4"/>
      <c r="G900" s="4"/>
      <c r="H900" s="4"/>
      <c r="I900" s="4"/>
      <c r="J900" s="7"/>
      <c r="K900" s="4"/>
      <c r="L900" s="4"/>
      <c r="M900" s="80"/>
      <c r="N900" s="80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>
      <c r="A901" s="4"/>
      <c r="B901" s="4"/>
      <c r="C901" s="4"/>
      <c r="D901" s="4"/>
      <c r="E901" s="4"/>
      <c r="F901" s="4"/>
      <c r="G901" s="4"/>
      <c r="H901" s="4"/>
      <c r="I901" s="4"/>
      <c r="J901" s="7"/>
      <c r="K901" s="4"/>
      <c r="L901" s="4"/>
      <c r="M901" s="80"/>
      <c r="N901" s="80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>
      <c r="A902" s="4"/>
      <c r="B902" s="4"/>
      <c r="C902" s="4"/>
      <c r="D902" s="4"/>
      <c r="E902" s="4"/>
      <c r="F902" s="4"/>
      <c r="G902" s="4"/>
      <c r="H902" s="4"/>
      <c r="I902" s="4"/>
      <c r="J902" s="7"/>
      <c r="K902" s="4"/>
      <c r="L902" s="4"/>
      <c r="M902" s="80"/>
      <c r="N902" s="80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>
      <c r="A903" s="4"/>
      <c r="B903" s="4"/>
      <c r="C903" s="4"/>
      <c r="D903" s="4"/>
      <c r="E903" s="4"/>
      <c r="F903" s="4"/>
      <c r="G903" s="4"/>
      <c r="H903" s="4"/>
      <c r="I903" s="4"/>
      <c r="J903" s="7"/>
      <c r="K903" s="4"/>
      <c r="L903" s="4"/>
      <c r="M903" s="80"/>
      <c r="N903" s="80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>
      <c r="A904" s="4"/>
      <c r="B904" s="4"/>
      <c r="C904" s="4"/>
      <c r="D904" s="4"/>
      <c r="E904" s="4"/>
      <c r="F904" s="4"/>
      <c r="G904" s="4"/>
      <c r="H904" s="4"/>
      <c r="I904" s="4"/>
      <c r="J904" s="7"/>
      <c r="K904" s="4"/>
      <c r="L904" s="4"/>
      <c r="M904" s="80"/>
      <c r="N904" s="80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>
      <c r="A905" s="4"/>
      <c r="B905" s="4"/>
      <c r="C905" s="4"/>
      <c r="D905" s="4"/>
      <c r="E905" s="4"/>
      <c r="F905" s="4"/>
      <c r="G905" s="4"/>
      <c r="H905" s="4"/>
      <c r="I905" s="4"/>
      <c r="J905" s="7"/>
      <c r="K905" s="4"/>
      <c r="L905" s="4"/>
      <c r="M905" s="80"/>
      <c r="N905" s="80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>
      <c r="A906" s="4"/>
      <c r="B906" s="4"/>
      <c r="C906" s="4"/>
      <c r="D906" s="4"/>
      <c r="E906" s="4"/>
      <c r="F906" s="4"/>
      <c r="G906" s="4"/>
      <c r="H906" s="4"/>
      <c r="I906" s="4"/>
      <c r="J906" s="7"/>
      <c r="K906" s="4"/>
      <c r="L906" s="4"/>
      <c r="M906" s="80"/>
      <c r="N906" s="80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>
      <c r="A907" s="4"/>
      <c r="B907" s="4"/>
      <c r="C907" s="4"/>
      <c r="D907" s="4"/>
      <c r="E907" s="4"/>
      <c r="F907" s="4"/>
      <c r="G907" s="4"/>
      <c r="H907" s="4"/>
      <c r="I907" s="4"/>
      <c r="J907" s="7"/>
      <c r="K907" s="4"/>
      <c r="L907" s="4"/>
      <c r="M907" s="80"/>
      <c r="N907" s="80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>
      <c r="A908" s="4"/>
      <c r="B908" s="4"/>
      <c r="C908" s="4"/>
      <c r="D908" s="4"/>
      <c r="E908" s="4"/>
      <c r="F908" s="4"/>
      <c r="G908" s="4"/>
      <c r="H908" s="4"/>
      <c r="I908" s="4"/>
      <c r="J908" s="7"/>
      <c r="K908" s="4"/>
      <c r="L908" s="4"/>
      <c r="M908" s="80"/>
      <c r="N908" s="80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>
      <c r="A909" s="4"/>
      <c r="B909" s="4"/>
      <c r="C909" s="4"/>
      <c r="D909" s="4"/>
      <c r="E909" s="4"/>
      <c r="F909" s="4"/>
      <c r="G909" s="4"/>
      <c r="H909" s="4"/>
      <c r="I909" s="4"/>
      <c r="J909" s="7"/>
      <c r="K909" s="4"/>
      <c r="L909" s="4"/>
      <c r="M909" s="80"/>
      <c r="N909" s="80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>
      <c r="A910" s="4"/>
      <c r="B910" s="4"/>
      <c r="C910" s="4"/>
      <c r="D910" s="4"/>
      <c r="E910" s="4"/>
      <c r="F910" s="4"/>
      <c r="G910" s="4"/>
      <c r="H910" s="4"/>
      <c r="I910" s="4"/>
      <c r="J910" s="7"/>
      <c r="K910" s="4"/>
      <c r="L910" s="4"/>
      <c r="M910" s="80"/>
      <c r="N910" s="80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>
      <c r="A911" s="4"/>
      <c r="B911" s="4"/>
      <c r="C911" s="4"/>
      <c r="D911" s="4"/>
      <c r="E911" s="4"/>
      <c r="F911" s="4"/>
      <c r="G911" s="4"/>
      <c r="H911" s="4"/>
      <c r="I911" s="4"/>
      <c r="J911" s="7"/>
      <c r="K911" s="4"/>
      <c r="L911" s="4"/>
      <c r="M911" s="80"/>
      <c r="N911" s="80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>
      <c r="A912" s="4"/>
      <c r="B912" s="4"/>
      <c r="C912" s="4"/>
      <c r="D912" s="4"/>
      <c r="E912" s="4"/>
      <c r="F912" s="4"/>
      <c r="G912" s="4"/>
      <c r="H912" s="4"/>
      <c r="I912" s="4"/>
      <c r="J912" s="7"/>
      <c r="K912" s="4"/>
      <c r="L912" s="4"/>
      <c r="M912" s="80"/>
      <c r="N912" s="80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>
      <c r="A913" s="4"/>
      <c r="B913" s="4"/>
      <c r="C913" s="4"/>
      <c r="D913" s="4"/>
      <c r="E913" s="4"/>
      <c r="F913" s="4"/>
      <c r="G913" s="4"/>
      <c r="H913" s="4"/>
      <c r="I913" s="4"/>
      <c r="J913" s="7"/>
      <c r="K913" s="4"/>
      <c r="L913" s="4"/>
      <c r="M913" s="80"/>
      <c r="N913" s="80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>
      <c r="A914" s="4"/>
      <c r="B914" s="4"/>
      <c r="C914" s="4"/>
      <c r="D914" s="4"/>
      <c r="E914" s="4"/>
      <c r="F914" s="4"/>
      <c r="G914" s="4"/>
      <c r="H914" s="4"/>
      <c r="I914" s="4"/>
      <c r="J914" s="7"/>
      <c r="K914" s="4"/>
      <c r="L914" s="4"/>
      <c r="M914" s="80"/>
      <c r="N914" s="80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>
      <c r="A915" s="4"/>
      <c r="B915" s="4"/>
      <c r="C915" s="4"/>
      <c r="D915" s="4"/>
      <c r="E915" s="4"/>
      <c r="F915" s="4"/>
      <c r="G915" s="4"/>
      <c r="H915" s="4"/>
      <c r="I915" s="4"/>
      <c r="J915" s="7"/>
      <c r="K915" s="4"/>
      <c r="L915" s="4"/>
      <c r="M915" s="80"/>
      <c r="N915" s="80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>
      <c r="A916" s="4"/>
      <c r="B916" s="4"/>
      <c r="C916" s="4"/>
      <c r="D916" s="4"/>
      <c r="E916" s="4"/>
      <c r="F916" s="4"/>
      <c r="G916" s="4"/>
      <c r="H916" s="4"/>
      <c r="I916" s="4"/>
      <c r="J916" s="7"/>
      <c r="K916" s="4"/>
      <c r="L916" s="4"/>
      <c r="M916" s="80"/>
      <c r="N916" s="80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>
      <c r="A917" s="4"/>
      <c r="B917" s="4"/>
      <c r="C917" s="4"/>
      <c r="D917" s="4"/>
      <c r="E917" s="4"/>
      <c r="F917" s="4"/>
      <c r="G917" s="4"/>
      <c r="H917" s="4"/>
      <c r="I917" s="4"/>
      <c r="J917" s="7"/>
      <c r="K917" s="4"/>
      <c r="L917" s="4"/>
      <c r="M917" s="80"/>
      <c r="N917" s="80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>
      <c r="A918" s="4"/>
      <c r="B918" s="4"/>
      <c r="C918" s="4"/>
      <c r="D918" s="4"/>
      <c r="E918" s="4"/>
      <c r="F918" s="4"/>
      <c r="G918" s="4"/>
      <c r="H918" s="4"/>
      <c r="I918" s="4"/>
      <c r="J918" s="7"/>
      <c r="K918" s="4"/>
      <c r="L918" s="4"/>
      <c r="M918" s="80"/>
      <c r="N918" s="80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>
      <c r="A919" s="4"/>
      <c r="B919" s="4"/>
      <c r="C919" s="4"/>
      <c r="D919" s="4"/>
      <c r="E919" s="4"/>
      <c r="F919" s="4"/>
      <c r="G919" s="4"/>
      <c r="H919" s="4"/>
      <c r="I919" s="4"/>
      <c r="J919" s="7"/>
      <c r="K919" s="4"/>
      <c r="L919" s="4"/>
      <c r="M919" s="80"/>
      <c r="N919" s="80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>
      <c r="A920" s="4"/>
      <c r="B920" s="4"/>
      <c r="C920" s="4"/>
      <c r="D920" s="4"/>
      <c r="E920" s="4"/>
      <c r="F920" s="4"/>
      <c r="G920" s="4"/>
      <c r="H920" s="4"/>
      <c r="I920" s="4"/>
      <c r="J920" s="7"/>
      <c r="K920" s="4"/>
      <c r="L920" s="4"/>
      <c r="M920" s="80"/>
      <c r="N920" s="80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>
      <c r="A921" s="4"/>
      <c r="B921" s="4"/>
      <c r="C921" s="4"/>
      <c r="D921" s="4"/>
      <c r="E921" s="4"/>
      <c r="F921" s="4"/>
      <c r="G921" s="4"/>
      <c r="H921" s="4"/>
      <c r="I921" s="4"/>
      <c r="J921" s="7"/>
      <c r="K921" s="4"/>
      <c r="L921" s="4"/>
      <c r="M921" s="80"/>
      <c r="N921" s="80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>
      <c r="A922" s="4"/>
      <c r="B922" s="4"/>
      <c r="C922" s="4"/>
      <c r="D922" s="4"/>
      <c r="E922" s="4"/>
      <c r="F922" s="4"/>
      <c r="G922" s="4"/>
      <c r="H922" s="4"/>
      <c r="I922" s="4"/>
      <c r="J922" s="7"/>
      <c r="K922" s="4"/>
      <c r="L922" s="4"/>
      <c r="M922" s="80"/>
      <c r="N922" s="80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>
      <c r="A923" s="4"/>
      <c r="B923" s="4"/>
      <c r="C923" s="4"/>
      <c r="D923" s="4"/>
      <c r="E923" s="4"/>
      <c r="F923" s="4"/>
      <c r="G923" s="4"/>
      <c r="H923" s="4"/>
      <c r="I923" s="4"/>
      <c r="J923" s="7"/>
      <c r="K923" s="4"/>
      <c r="L923" s="4"/>
      <c r="M923" s="80"/>
      <c r="N923" s="80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>
      <c r="A924" s="4"/>
      <c r="B924" s="4"/>
      <c r="C924" s="4"/>
      <c r="D924" s="4"/>
      <c r="E924" s="4"/>
      <c r="F924" s="4"/>
      <c r="G924" s="4"/>
      <c r="H924" s="4"/>
      <c r="I924" s="4"/>
      <c r="J924" s="7"/>
      <c r="K924" s="4"/>
      <c r="L924" s="4"/>
      <c r="M924" s="80"/>
      <c r="N924" s="80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>
      <c r="A925" s="4"/>
      <c r="B925" s="4"/>
      <c r="C925" s="4"/>
      <c r="D925" s="4"/>
      <c r="E925" s="4"/>
      <c r="F925" s="4"/>
      <c r="G925" s="4"/>
      <c r="H925" s="4"/>
      <c r="I925" s="4"/>
      <c r="J925" s="7"/>
      <c r="K925" s="4"/>
      <c r="L925" s="4"/>
      <c r="M925" s="80"/>
      <c r="N925" s="80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>
      <c r="A926" s="4"/>
      <c r="B926" s="4"/>
      <c r="C926" s="4"/>
      <c r="D926" s="4"/>
      <c r="E926" s="4"/>
      <c r="F926" s="4"/>
      <c r="G926" s="4"/>
      <c r="H926" s="4"/>
      <c r="I926" s="4"/>
      <c r="J926" s="7"/>
      <c r="K926" s="4"/>
      <c r="L926" s="4"/>
      <c r="M926" s="80"/>
      <c r="N926" s="80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>
      <c r="A927" s="4"/>
      <c r="B927" s="4"/>
      <c r="C927" s="4"/>
      <c r="D927" s="4"/>
      <c r="E927" s="4"/>
      <c r="F927" s="4"/>
      <c r="G927" s="4"/>
      <c r="H927" s="4"/>
      <c r="I927" s="4"/>
      <c r="J927" s="7"/>
      <c r="K927" s="4"/>
      <c r="L927" s="4"/>
      <c r="M927" s="80"/>
      <c r="N927" s="80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>
      <c r="A928" s="4"/>
      <c r="B928" s="4"/>
      <c r="C928" s="4"/>
      <c r="D928" s="4"/>
      <c r="E928" s="4"/>
      <c r="F928" s="4"/>
      <c r="G928" s="4"/>
      <c r="H928" s="4"/>
      <c r="I928" s="4"/>
      <c r="J928" s="7"/>
      <c r="K928" s="4"/>
      <c r="L928" s="4"/>
      <c r="M928" s="80"/>
      <c r="N928" s="80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>
      <c r="A929" s="4"/>
      <c r="B929" s="4"/>
      <c r="C929" s="4"/>
      <c r="D929" s="4"/>
      <c r="E929" s="4"/>
      <c r="F929" s="4"/>
      <c r="G929" s="4"/>
      <c r="H929" s="4"/>
      <c r="I929" s="4"/>
      <c r="J929" s="7"/>
      <c r="K929" s="4"/>
      <c r="L929" s="4"/>
      <c r="M929" s="80"/>
      <c r="N929" s="80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>
      <c r="A930" s="4"/>
      <c r="B930" s="4"/>
      <c r="C930" s="4"/>
      <c r="D930" s="4"/>
      <c r="E930" s="4"/>
      <c r="F930" s="4"/>
      <c r="G930" s="4"/>
      <c r="H930" s="4"/>
      <c r="I930" s="4"/>
      <c r="J930" s="7"/>
      <c r="K930" s="4"/>
      <c r="L930" s="4"/>
      <c r="M930" s="80"/>
      <c r="N930" s="80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>
      <c r="A931" s="4"/>
      <c r="B931" s="4"/>
      <c r="C931" s="4"/>
      <c r="D931" s="4"/>
      <c r="E931" s="4"/>
      <c r="F931" s="4"/>
      <c r="G931" s="4"/>
      <c r="H931" s="4"/>
      <c r="I931" s="4"/>
      <c r="J931" s="7"/>
      <c r="K931" s="4"/>
      <c r="L931" s="4"/>
      <c r="M931" s="80"/>
      <c r="N931" s="80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>
      <c r="A932" s="4"/>
      <c r="B932" s="4"/>
      <c r="C932" s="4"/>
      <c r="D932" s="4"/>
      <c r="E932" s="4"/>
      <c r="F932" s="4"/>
      <c r="G932" s="4"/>
      <c r="H932" s="4"/>
      <c r="I932" s="4"/>
      <c r="J932" s="7"/>
      <c r="K932" s="4"/>
      <c r="L932" s="4"/>
      <c r="M932" s="80"/>
      <c r="N932" s="80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>
      <c r="A933" s="4"/>
      <c r="B933" s="4"/>
      <c r="C933" s="4"/>
      <c r="D933" s="4"/>
      <c r="E933" s="4"/>
      <c r="F933" s="4"/>
      <c r="G933" s="4"/>
      <c r="H933" s="4"/>
      <c r="I933" s="4"/>
      <c r="J933" s="7"/>
      <c r="K933" s="4"/>
      <c r="L933" s="4"/>
      <c r="M933" s="80"/>
      <c r="N933" s="80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>
      <c r="A934" s="4"/>
      <c r="B934" s="4"/>
      <c r="C934" s="4"/>
      <c r="D934" s="4"/>
      <c r="E934" s="4"/>
      <c r="F934" s="4"/>
      <c r="G934" s="4"/>
      <c r="H934" s="4"/>
      <c r="I934" s="4"/>
      <c r="J934" s="7"/>
      <c r="K934" s="4"/>
      <c r="L934" s="4"/>
      <c r="M934" s="80"/>
      <c r="N934" s="80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>
      <c r="A935" s="4"/>
      <c r="B935" s="4"/>
      <c r="C935" s="4"/>
      <c r="D935" s="4"/>
      <c r="E935" s="4"/>
      <c r="F935" s="4"/>
      <c r="G935" s="4"/>
      <c r="H935" s="4"/>
      <c r="I935" s="4"/>
      <c r="J935" s="7"/>
      <c r="K935" s="4"/>
      <c r="L935" s="4"/>
      <c r="M935" s="80"/>
      <c r="N935" s="80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>
      <c r="A936" s="4"/>
      <c r="B936" s="4"/>
      <c r="C936" s="4"/>
      <c r="D936" s="4"/>
      <c r="E936" s="4"/>
      <c r="F936" s="4"/>
      <c r="G936" s="4"/>
      <c r="H936" s="4"/>
      <c r="I936" s="4"/>
      <c r="J936" s="7"/>
      <c r="K936" s="4"/>
      <c r="L936" s="4"/>
      <c r="M936" s="80"/>
      <c r="N936" s="80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>
      <c r="A937" s="4"/>
      <c r="B937" s="4"/>
      <c r="C937" s="4"/>
      <c r="D937" s="4"/>
      <c r="E937" s="4"/>
      <c r="F937" s="4"/>
      <c r="G937" s="4"/>
      <c r="H937" s="4"/>
      <c r="I937" s="4"/>
      <c r="J937" s="7"/>
      <c r="K937" s="4"/>
      <c r="L937" s="4"/>
      <c r="M937" s="80"/>
      <c r="N937" s="80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>
      <c r="A938" s="4"/>
      <c r="B938" s="4"/>
      <c r="C938" s="4"/>
      <c r="D938" s="4"/>
      <c r="E938" s="4"/>
      <c r="F938" s="4"/>
      <c r="G938" s="4"/>
      <c r="H938" s="4"/>
      <c r="I938" s="4"/>
      <c r="J938" s="7"/>
      <c r="K938" s="4"/>
      <c r="L938" s="4"/>
      <c r="M938" s="80"/>
      <c r="N938" s="80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>
      <c r="A939" s="4"/>
      <c r="B939" s="4"/>
      <c r="C939" s="4"/>
      <c r="D939" s="4"/>
      <c r="E939" s="4"/>
      <c r="F939" s="4"/>
      <c r="G939" s="4"/>
      <c r="H939" s="4"/>
      <c r="I939" s="4"/>
      <c r="J939" s="7"/>
      <c r="K939" s="4"/>
      <c r="L939" s="4"/>
      <c r="M939" s="80"/>
      <c r="N939" s="80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>
      <c r="A940" s="4"/>
      <c r="B940" s="4"/>
      <c r="C940" s="4"/>
      <c r="D940" s="4"/>
      <c r="E940" s="4"/>
      <c r="F940" s="4"/>
      <c r="G940" s="4"/>
      <c r="H940" s="4"/>
      <c r="I940" s="4"/>
      <c r="J940" s="7"/>
      <c r="K940" s="4"/>
      <c r="L940" s="4"/>
      <c r="M940" s="80"/>
      <c r="N940" s="80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>
      <c r="A941" s="4"/>
      <c r="B941" s="4"/>
      <c r="C941" s="4"/>
      <c r="D941" s="4"/>
      <c r="E941" s="4"/>
      <c r="F941" s="4"/>
      <c r="G941" s="4"/>
      <c r="H941" s="4"/>
      <c r="I941" s="4"/>
      <c r="J941" s="7"/>
      <c r="K941" s="4"/>
      <c r="L941" s="4"/>
      <c r="M941" s="80"/>
      <c r="N941" s="80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>
      <c r="A942" s="4"/>
      <c r="B942" s="4"/>
      <c r="C942" s="4"/>
      <c r="D942" s="4"/>
      <c r="E942" s="4"/>
      <c r="F942" s="4"/>
      <c r="G942" s="4"/>
      <c r="H942" s="4"/>
      <c r="I942" s="4"/>
      <c r="J942" s="7"/>
      <c r="K942" s="4"/>
      <c r="L942" s="4"/>
      <c r="M942" s="80"/>
      <c r="N942" s="80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>
      <c r="A943" s="4"/>
      <c r="B943" s="4"/>
      <c r="C943" s="4"/>
      <c r="D943" s="4"/>
      <c r="E943" s="4"/>
      <c r="F943" s="4"/>
      <c r="G943" s="4"/>
      <c r="H943" s="4"/>
      <c r="I943" s="4"/>
      <c r="J943" s="7"/>
      <c r="K943" s="4"/>
      <c r="L943" s="4"/>
      <c r="M943" s="80"/>
      <c r="N943" s="80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>
      <c r="A944" s="4"/>
      <c r="B944" s="4"/>
      <c r="C944" s="4"/>
      <c r="D944" s="4"/>
      <c r="E944" s="4"/>
      <c r="F944" s="4"/>
      <c r="G944" s="4"/>
      <c r="H944" s="4"/>
      <c r="I944" s="4"/>
      <c r="J944" s="7"/>
      <c r="K944" s="4"/>
      <c r="L944" s="4"/>
      <c r="M944" s="80"/>
      <c r="N944" s="80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>
      <c r="A945" s="4"/>
      <c r="B945" s="4"/>
      <c r="C945" s="4"/>
      <c r="D945" s="4"/>
      <c r="E945" s="4"/>
      <c r="F945" s="4"/>
      <c r="G945" s="4"/>
      <c r="H945" s="4"/>
      <c r="I945" s="4"/>
      <c r="J945" s="7"/>
      <c r="K945" s="4"/>
      <c r="L945" s="4"/>
      <c r="M945" s="80"/>
      <c r="N945" s="80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>
      <c r="A946" s="4"/>
      <c r="B946" s="4"/>
      <c r="C946" s="4"/>
      <c r="D946" s="4"/>
      <c r="E946" s="4"/>
      <c r="F946" s="4"/>
      <c r="G946" s="4"/>
      <c r="H946" s="4"/>
      <c r="I946" s="4"/>
      <c r="J946" s="7"/>
      <c r="K946" s="4"/>
      <c r="L946" s="4"/>
      <c r="M946" s="80"/>
      <c r="N946" s="80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>
      <c r="A947" s="4"/>
      <c r="B947" s="4"/>
      <c r="C947" s="4"/>
      <c r="D947" s="4"/>
      <c r="E947" s="4"/>
      <c r="F947" s="4"/>
      <c r="G947" s="4"/>
      <c r="H947" s="4"/>
      <c r="I947" s="4"/>
      <c r="J947" s="7"/>
      <c r="K947" s="4"/>
      <c r="L947" s="4"/>
      <c r="M947" s="80"/>
      <c r="N947" s="80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>
      <c r="A948" s="4"/>
      <c r="B948" s="4"/>
      <c r="C948" s="4"/>
      <c r="D948" s="4"/>
      <c r="E948" s="4"/>
      <c r="F948" s="4"/>
      <c r="G948" s="4"/>
      <c r="H948" s="4"/>
      <c r="I948" s="4"/>
      <c r="J948" s="7"/>
      <c r="K948" s="4"/>
      <c r="L948" s="4"/>
      <c r="M948" s="80"/>
      <c r="N948" s="80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>
      <c r="A949" s="4"/>
      <c r="B949" s="4"/>
      <c r="C949" s="4"/>
      <c r="D949" s="4"/>
      <c r="E949" s="4"/>
      <c r="F949" s="4"/>
      <c r="G949" s="4"/>
      <c r="H949" s="4"/>
      <c r="I949" s="4"/>
      <c r="J949" s="7"/>
      <c r="K949" s="4"/>
      <c r="L949" s="4"/>
      <c r="M949" s="80"/>
      <c r="N949" s="80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>
      <c r="A950" s="4"/>
      <c r="B950" s="4"/>
      <c r="C950" s="4"/>
      <c r="D950" s="4"/>
      <c r="E950" s="4"/>
      <c r="F950" s="4"/>
      <c r="G950" s="4"/>
      <c r="H950" s="4"/>
      <c r="I950" s="4"/>
      <c r="J950" s="7"/>
      <c r="K950" s="4"/>
      <c r="L950" s="4"/>
      <c r="M950" s="80"/>
      <c r="N950" s="80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>
      <c r="A951" s="4"/>
      <c r="B951" s="4"/>
      <c r="C951" s="4"/>
      <c r="D951" s="4"/>
      <c r="E951" s="4"/>
      <c r="F951" s="4"/>
      <c r="G951" s="4"/>
      <c r="H951" s="4"/>
      <c r="I951" s="4"/>
      <c r="J951" s="7"/>
      <c r="K951" s="4"/>
      <c r="L951" s="4"/>
      <c r="M951" s="80"/>
      <c r="N951" s="80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>
      <c r="A952" s="4"/>
      <c r="B952" s="4"/>
      <c r="C952" s="4"/>
      <c r="D952" s="4"/>
      <c r="E952" s="4"/>
      <c r="F952" s="4"/>
      <c r="G952" s="4"/>
      <c r="H952" s="4"/>
      <c r="I952" s="4"/>
      <c r="J952" s="7"/>
      <c r="K952" s="4"/>
      <c r="L952" s="4"/>
      <c r="M952" s="80"/>
      <c r="N952" s="80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>
      <c r="A953" s="4"/>
      <c r="B953" s="4"/>
      <c r="C953" s="4"/>
      <c r="D953" s="4"/>
      <c r="E953" s="4"/>
      <c r="F953" s="4"/>
      <c r="G953" s="4"/>
      <c r="H953" s="4"/>
      <c r="I953" s="4"/>
      <c r="J953" s="7"/>
      <c r="K953" s="4"/>
      <c r="L953" s="4"/>
      <c r="M953" s="80"/>
      <c r="N953" s="80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>
      <c r="A954" s="4"/>
      <c r="B954" s="4"/>
      <c r="C954" s="4"/>
      <c r="D954" s="4"/>
      <c r="E954" s="4"/>
      <c r="F954" s="4"/>
      <c r="G954" s="4"/>
      <c r="H954" s="4"/>
      <c r="I954" s="4"/>
      <c r="J954" s="7"/>
      <c r="K954" s="4"/>
      <c r="L954" s="4"/>
      <c r="M954" s="80"/>
      <c r="N954" s="80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>
      <c r="A955" s="4"/>
      <c r="B955" s="4"/>
      <c r="C955" s="4"/>
      <c r="D955" s="4"/>
      <c r="E955" s="4"/>
      <c r="F955" s="4"/>
      <c r="G955" s="4"/>
      <c r="H955" s="4"/>
      <c r="I955" s="4"/>
      <c r="J955" s="7"/>
      <c r="K955" s="4"/>
      <c r="L955" s="4"/>
      <c r="M955" s="80"/>
      <c r="N955" s="80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>
      <c r="A956" s="4"/>
      <c r="B956" s="4"/>
      <c r="C956" s="4"/>
      <c r="D956" s="4"/>
      <c r="E956" s="4"/>
      <c r="F956" s="4"/>
      <c r="G956" s="4"/>
      <c r="H956" s="4"/>
      <c r="I956" s="4"/>
      <c r="J956" s="7"/>
      <c r="K956" s="4"/>
      <c r="L956" s="4"/>
      <c r="M956" s="80"/>
      <c r="N956" s="80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>
      <c r="A957" s="4"/>
      <c r="B957" s="4"/>
      <c r="C957" s="4"/>
      <c r="D957" s="4"/>
      <c r="E957" s="4"/>
      <c r="F957" s="4"/>
      <c r="G957" s="4"/>
      <c r="H957" s="4"/>
      <c r="I957" s="4"/>
      <c r="J957" s="7"/>
      <c r="K957" s="4"/>
      <c r="L957" s="4"/>
      <c r="M957" s="80"/>
      <c r="N957" s="80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>
      <c r="A958" s="4"/>
      <c r="B958" s="4"/>
      <c r="C958" s="4"/>
      <c r="D958" s="4"/>
      <c r="E958" s="4"/>
      <c r="F958" s="4"/>
      <c r="G958" s="4"/>
      <c r="H958" s="4"/>
      <c r="I958" s="4"/>
      <c r="J958" s="7"/>
      <c r="K958" s="4"/>
      <c r="L958" s="4"/>
      <c r="M958" s="80"/>
      <c r="N958" s="80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>
      <c r="A959" s="4"/>
      <c r="B959" s="4"/>
      <c r="C959" s="4"/>
      <c r="D959" s="4"/>
      <c r="E959" s="4"/>
      <c r="F959" s="4"/>
      <c r="G959" s="4"/>
      <c r="H959" s="4"/>
      <c r="I959" s="4"/>
      <c r="J959" s="7"/>
      <c r="K959" s="4"/>
      <c r="L959" s="4"/>
      <c r="M959" s="80"/>
      <c r="N959" s="80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>
      <c r="A960" s="4"/>
      <c r="B960" s="4"/>
      <c r="C960" s="4"/>
      <c r="D960" s="4"/>
      <c r="E960" s="4"/>
      <c r="F960" s="4"/>
      <c r="G960" s="4"/>
      <c r="H960" s="4"/>
      <c r="I960" s="4"/>
      <c r="J960" s="7"/>
      <c r="K960" s="4"/>
      <c r="L960" s="4"/>
      <c r="M960" s="80"/>
      <c r="N960" s="80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>
      <c r="A961" s="4"/>
      <c r="B961" s="4"/>
      <c r="C961" s="4"/>
      <c r="D961" s="4"/>
      <c r="E961" s="4"/>
      <c r="F961" s="4"/>
      <c r="G961" s="4"/>
      <c r="H961" s="4"/>
      <c r="I961" s="4"/>
      <c r="J961" s="7"/>
      <c r="K961" s="4"/>
      <c r="L961" s="4"/>
      <c r="M961" s="80"/>
      <c r="N961" s="80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>
      <c r="A962" s="4"/>
      <c r="B962" s="4"/>
      <c r="C962" s="4"/>
      <c r="D962" s="4"/>
      <c r="E962" s="4"/>
      <c r="F962" s="4"/>
      <c r="G962" s="4"/>
      <c r="H962" s="4"/>
      <c r="I962" s="4"/>
      <c r="J962" s="7"/>
      <c r="K962" s="4"/>
      <c r="L962" s="4"/>
      <c r="M962" s="80"/>
      <c r="N962" s="80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>
      <c r="A963" s="4"/>
      <c r="B963" s="4"/>
      <c r="C963" s="4"/>
      <c r="D963" s="4"/>
      <c r="E963" s="4"/>
      <c r="F963" s="4"/>
      <c r="G963" s="4"/>
      <c r="H963" s="4"/>
      <c r="I963" s="4"/>
      <c r="J963" s="7"/>
      <c r="K963" s="4"/>
      <c r="L963" s="4"/>
      <c r="M963" s="80"/>
      <c r="N963" s="80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>
      <c r="A964" s="4"/>
      <c r="B964" s="4"/>
      <c r="C964" s="4"/>
      <c r="D964" s="4"/>
      <c r="E964" s="4"/>
      <c r="F964" s="4"/>
      <c r="G964" s="4"/>
      <c r="H964" s="4"/>
      <c r="I964" s="4"/>
      <c r="J964" s="7"/>
      <c r="K964" s="4"/>
      <c r="L964" s="4"/>
      <c r="M964" s="80"/>
      <c r="N964" s="80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>
      <c r="A965" s="4"/>
      <c r="B965" s="4"/>
      <c r="C965" s="4"/>
      <c r="D965" s="4"/>
      <c r="E965" s="4"/>
      <c r="F965" s="4"/>
      <c r="G965" s="4"/>
      <c r="H965" s="4"/>
      <c r="I965" s="4"/>
      <c r="J965" s="7"/>
      <c r="K965" s="4"/>
      <c r="L965" s="4"/>
      <c r="M965" s="80"/>
      <c r="N965" s="80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>
      <c r="A966" s="4"/>
      <c r="B966" s="4"/>
      <c r="C966" s="4"/>
      <c r="D966" s="4"/>
      <c r="E966" s="4"/>
      <c r="F966" s="4"/>
      <c r="G966" s="4"/>
      <c r="H966" s="4"/>
      <c r="I966" s="4"/>
      <c r="J966" s="7"/>
      <c r="K966" s="4"/>
      <c r="L966" s="4"/>
      <c r="M966" s="80"/>
      <c r="N966" s="80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>
      <c r="A967" s="4"/>
      <c r="B967" s="4"/>
      <c r="C967" s="4"/>
      <c r="D967" s="4"/>
      <c r="E967" s="4"/>
      <c r="F967" s="4"/>
      <c r="G967" s="4"/>
      <c r="H967" s="4"/>
      <c r="I967" s="4"/>
      <c r="J967" s="7"/>
      <c r="K967" s="4"/>
      <c r="L967" s="4"/>
      <c r="M967" s="80"/>
      <c r="N967" s="80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>
      <c r="A968" s="4"/>
      <c r="B968" s="4"/>
      <c r="C968" s="4"/>
      <c r="D968" s="4"/>
      <c r="E968" s="4"/>
      <c r="F968" s="4"/>
      <c r="G968" s="4"/>
      <c r="H968" s="4"/>
      <c r="I968" s="4"/>
      <c r="J968" s="7"/>
      <c r="K968" s="4"/>
      <c r="L968" s="4"/>
      <c r="M968" s="80"/>
      <c r="N968" s="80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>
      <c r="A969" s="4"/>
      <c r="B969" s="4"/>
      <c r="C969" s="4"/>
      <c r="D969" s="4"/>
      <c r="E969" s="4"/>
      <c r="F969" s="4"/>
      <c r="G969" s="4"/>
      <c r="H969" s="4"/>
      <c r="I969" s="4"/>
      <c r="J969" s="7"/>
      <c r="K969" s="4"/>
      <c r="L969" s="4"/>
      <c r="M969" s="80"/>
      <c r="N969" s="80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>
      <c r="A970" s="4"/>
      <c r="B970" s="4"/>
      <c r="C970" s="4"/>
      <c r="D970" s="4"/>
      <c r="E970" s="4"/>
      <c r="F970" s="4"/>
      <c r="G970" s="4"/>
      <c r="H970" s="4"/>
      <c r="I970" s="4"/>
      <c r="J970" s="7"/>
      <c r="K970" s="4"/>
      <c r="L970" s="4"/>
      <c r="M970" s="80"/>
      <c r="N970" s="80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>
      <c r="A971" s="4"/>
      <c r="B971" s="4"/>
      <c r="C971" s="4"/>
      <c r="D971" s="4"/>
      <c r="E971" s="4"/>
      <c r="F971" s="4"/>
      <c r="G971" s="4"/>
      <c r="H971" s="4"/>
      <c r="I971" s="4"/>
      <c r="J971" s="7"/>
      <c r="K971" s="4"/>
      <c r="L971" s="4"/>
      <c r="M971" s="80"/>
      <c r="N971" s="80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>
      <c r="A972" s="4"/>
      <c r="B972" s="4"/>
      <c r="C972" s="4"/>
      <c r="D972" s="4"/>
      <c r="E972" s="4"/>
      <c r="F972" s="4"/>
      <c r="G972" s="4"/>
      <c r="H972" s="4"/>
      <c r="I972" s="4"/>
      <c r="J972" s="7"/>
      <c r="K972" s="4"/>
      <c r="L972" s="4"/>
      <c r="M972" s="80"/>
      <c r="N972" s="80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>
      <c r="A973" s="4"/>
      <c r="B973" s="4"/>
      <c r="C973" s="4"/>
      <c r="D973" s="4"/>
      <c r="E973" s="4"/>
      <c r="F973" s="4"/>
      <c r="G973" s="4"/>
      <c r="H973" s="4"/>
      <c r="I973" s="4"/>
      <c r="J973" s="7"/>
      <c r="K973" s="4"/>
      <c r="L973" s="4"/>
      <c r="M973" s="80"/>
      <c r="N973" s="80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>
      <c r="A974" s="4"/>
      <c r="B974" s="4"/>
      <c r="C974" s="4"/>
      <c r="D974" s="4"/>
      <c r="E974" s="4"/>
      <c r="F974" s="4"/>
      <c r="G974" s="4"/>
      <c r="H974" s="4"/>
      <c r="I974" s="4"/>
      <c r="J974" s="7"/>
      <c r="K974" s="4"/>
      <c r="L974" s="4"/>
      <c r="M974" s="80"/>
      <c r="N974" s="80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>
      <c r="A975" s="4"/>
      <c r="B975" s="4"/>
      <c r="C975" s="4"/>
      <c r="D975" s="4"/>
      <c r="E975" s="4"/>
      <c r="F975" s="4"/>
      <c r="G975" s="4"/>
      <c r="H975" s="4"/>
      <c r="I975" s="4"/>
      <c r="J975" s="7"/>
      <c r="K975" s="4"/>
      <c r="L975" s="4"/>
      <c r="M975" s="80"/>
      <c r="N975" s="80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>
      <c r="A976" s="4"/>
      <c r="B976" s="4"/>
      <c r="C976" s="4"/>
      <c r="D976" s="4"/>
      <c r="E976" s="4"/>
      <c r="F976" s="4"/>
      <c r="G976" s="4"/>
      <c r="H976" s="4"/>
      <c r="I976" s="4"/>
      <c r="J976" s="7"/>
      <c r="K976" s="4"/>
      <c r="L976" s="4"/>
      <c r="M976" s="80"/>
      <c r="N976" s="80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>
      <c r="A977" s="4"/>
      <c r="B977" s="4"/>
      <c r="C977" s="4"/>
      <c r="D977" s="4"/>
      <c r="E977" s="4"/>
      <c r="F977" s="4"/>
      <c r="G977" s="4"/>
      <c r="H977" s="4"/>
      <c r="I977" s="4"/>
      <c r="J977" s="7"/>
      <c r="K977" s="4"/>
      <c r="L977" s="4"/>
      <c r="M977" s="80"/>
      <c r="N977" s="80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>
      <c r="A978" s="4"/>
      <c r="B978" s="4"/>
      <c r="C978" s="4"/>
      <c r="D978" s="4"/>
      <c r="E978" s="4"/>
      <c r="F978" s="4"/>
      <c r="G978" s="4"/>
      <c r="H978" s="4"/>
      <c r="I978" s="4"/>
      <c r="J978" s="7"/>
      <c r="K978" s="4"/>
      <c r="L978" s="4"/>
      <c r="M978" s="80"/>
      <c r="N978" s="80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>
      <c r="A979" s="4"/>
      <c r="B979" s="4"/>
      <c r="C979" s="4"/>
      <c r="D979" s="4"/>
      <c r="E979" s="4"/>
      <c r="F979" s="4"/>
      <c r="G979" s="4"/>
      <c r="H979" s="4"/>
      <c r="I979" s="4"/>
      <c r="J979" s="7"/>
      <c r="K979" s="4"/>
      <c r="L979" s="4"/>
      <c r="M979" s="80"/>
      <c r="N979" s="80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>
      <c r="A980" s="4"/>
      <c r="B980" s="4"/>
      <c r="C980" s="4"/>
      <c r="D980" s="4"/>
      <c r="E980" s="4"/>
      <c r="F980" s="4"/>
      <c r="G980" s="4"/>
      <c r="H980" s="4"/>
      <c r="I980" s="4"/>
      <c r="J980" s="7"/>
      <c r="K980" s="4"/>
      <c r="L980" s="4"/>
      <c r="M980" s="80"/>
      <c r="N980" s="80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>
      <c r="A981" s="4"/>
      <c r="B981" s="4"/>
      <c r="C981" s="4"/>
      <c r="D981" s="4"/>
      <c r="E981" s="4"/>
      <c r="F981" s="4"/>
      <c r="G981" s="4"/>
      <c r="H981" s="4"/>
      <c r="I981" s="4"/>
      <c r="J981" s="7"/>
      <c r="K981" s="4"/>
      <c r="L981" s="4"/>
      <c r="M981" s="80"/>
      <c r="N981" s="80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>
      <c r="A982" s="4"/>
      <c r="B982" s="4"/>
      <c r="C982" s="4"/>
      <c r="D982" s="4"/>
      <c r="E982" s="4"/>
      <c r="F982" s="4"/>
      <c r="G982" s="4"/>
      <c r="H982" s="4"/>
      <c r="I982" s="4"/>
      <c r="J982" s="7"/>
      <c r="K982" s="4"/>
      <c r="L982" s="4"/>
      <c r="M982" s="80"/>
      <c r="N982" s="80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>
      <c r="A983" s="4"/>
      <c r="B983" s="4"/>
      <c r="C983" s="4"/>
      <c r="D983" s="4"/>
      <c r="E983" s="4"/>
      <c r="F983" s="4"/>
      <c r="G983" s="4"/>
      <c r="H983" s="4"/>
      <c r="I983" s="4"/>
      <c r="J983" s="7"/>
      <c r="K983" s="4"/>
      <c r="L983" s="4"/>
      <c r="M983" s="80"/>
      <c r="N983" s="80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>
      <c r="A984" s="4"/>
      <c r="B984" s="4"/>
      <c r="C984" s="4"/>
      <c r="D984" s="4"/>
      <c r="E984" s="4"/>
      <c r="F984" s="4"/>
      <c r="G984" s="4"/>
      <c r="H984" s="4"/>
      <c r="I984" s="4"/>
      <c r="J984" s="7"/>
      <c r="K984" s="4"/>
      <c r="L984" s="4"/>
      <c r="M984" s="80"/>
      <c r="N984" s="80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>
      <c r="A985" s="4"/>
      <c r="B985" s="4"/>
      <c r="C985" s="4"/>
      <c r="D985" s="4"/>
      <c r="E985" s="4"/>
      <c r="F985" s="4"/>
      <c r="G985" s="4"/>
      <c r="H985" s="4"/>
      <c r="I985" s="4"/>
      <c r="J985" s="7"/>
      <c r="K985" s="4"/>
      <c r="L985" s="4"/>
      <c r="M985" s="80"/>
      <c r="N985" s="80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>
      <c r="A986" s="4"/>
      <c r="B986" s="4"/>
      <c r="C986" s="4"/>
      <c r="D986" s="4"/>
      <c r="E986" s="4"/>
      <c r="F986" s="4"/>
      <c r="G986" s="4"/>
      <c r="H986" s="4"/>
      <c r="I986" s="4"/>
      <c r="J986" s="7"/>
      <c r="K986" s="4"/>
      <c r="L986" s="4"/>
      <c r="M986" s="80"/>
      <c r="N986" s="80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>
      <c r="A987" s="4"/>
      <c r="B987" s="4"/>
      <c r="C987" s="4"/>
      <c r="D987" s="4"/>
      <c r="E987" s="4"/>
      <c r="F987" s="4"/>
      <c r="G987" s="4"/>
      <c r="H987" s="4"/>
      <c r="I987" s="4"/>
      <c r="J987" s="7"/>
      <c r="K987" s="4"/>
      <c r="L987" s="4"/>
      <c r="M987" s="80"/>
      <c r="N987" s="80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>
      <c r="A988" s="4"/>
      <c r="B988" s="4"/>
      <c r="C988" s="4"/>
      <c r="D988" s="4"/>
      <c r="E988" s="4"/>
      <c r="F988" s="4"/>
      <c r="G988" s="4"/>
      <c r="H988" s="4"/>
      <c r="I988" s="4"/>
      <c r="J988" s="7"/>
      <c r="K988" s="4"/>
      <c r="L988" s="4"/>
      <c r="M988" s="80"/>
      <c r="N988" s="80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>
      <c r="A989" s="4"/>
      <c r="B989" s="4"/>
      <c r="C989" s="4"/>
      <c r="D989" s="4"/>
      <c r="E989" s="4"/>
      <c r="F989" s="4"/>
      <c r="G989" s="4"/>
      <c r="H989" s="4"/>
      <c r="I989" s="4"/>
      <c r="J989" s="7"/>
      <c r="K989" s="4"/>
      <c r="L989" s="4"/>
      <c r="M989" s="80"/>
      <c r="N989" s="80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>
      <c r="A990" s="4"/>
      <c r="B990" s="4"/>
      <c r="C990" s="4"/>
      <c r="D990" s="4"/>
      <c r="E990" s="4"/>
      <c r="F990" s="4"/>
      <c r="G990" s="4"/>
      <c r="H990" s="4"/>
      <c r="I990" s="4"/>
      <c r="J990" s="7"/>
      <c r="K990" s="4"/>
      <c r="L990" s="4"/>
      <c r="M990" s="80"/>
      <c r="N990" s="80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>
      <c r="A991" s="4"/>
      <c r="B991" s="4"/>
      <c r="C991" s="4"/>
      <c r="D991" s="4"/>
      <c r="E991" s="4"/>
      <c r="F991" s="4"/>
      <c r="G991" s="4"/>
      <c r="H991" s="4"/>
      <c r="I991" s="4"/>
      <c r="J991" s="7"/>
      <c r="K991" s="4"/>
      <c r="L991" s="4"/>
      <c r="M991" s="80"/>
      <c r="N991" s="80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>
      <c r="A992" s="4"/>
      <c r="B992" s="4"/>
      <c r="C992" s="4"/>
      <c r="D992" s="4"/>
      <c r="E992" s="4"/>
      <c r="F992" s="4"/>
      <c r="G992" s="4"/>
      <c r="H992" s="4"/>
      <c r="I992" s="4"/>
      <c r="J992" s="7"/>
      <c r="K992" s="4"/>
      <c r="L992" s="4"/>
      <c r="M992" s="80"/>
      <c r="N992" s="80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>
      <c r="A993" s="4"/>
      <c r="B993" s="4"/>
      <c r="C993" s="4"/>
      <c r="D993" s="4"/>
      <c r="E993" s="4"/>
      <c r="F993" s="4"/>
      <c r="G993" s="4"/>
      <c r="H993" s="4"/>
      <c r="I993" s="4"/>
      <c r="J993" s="7"/>
      <c r="K993" s="4"/>
      <c r="L993" s="4"/>
      <c r="M993" s="80"/>
      <c r="N993" s="80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>
      <c r="A994" s="4"/>
      <c r="B994" s="4"/>
      <c r="C994" s="4"/>
      <c r="D994" s="4"/>
      <c r="E994" s="4"/>
      <c r="F994" s="4"/>
      <c r="G994" s="4"/>
      <c r="H994" s="4"/>
      <c r="I994" s="4"/>
      <c r="J994" s="7"/>
      <c r="K994" s="4"/>
      <c r="L994" s="4"/>
      <c r="M994" s="80"/>
      <c r="N994" s="80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>
      <c r="A995" s="4"/>
      <c r="B995" s="4"/>
      <c r="C995" s="4"/>
      <c r="D995" s="4"/>
      <c r="E995" s="4"/>
      <c r="F995" s="4"/>
      <c r="G995" s="4"/>
      <c r="H995" s="4"/>
      <c r="I995" s="4"/>
      <c r="J995" s="7"/>
      <c r="K995" s="4"/>
      <c r="L995" s="4"/>
      <c r="M995" s="80"/>
      <c r="N995" s="80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>
      <c r="A996" s="4"/>
      <c r="B996" s="4"/>
      <c r="C996" s="4"/>
      <c r="D996" s="4"/>
      <c r="E996" s="4"/>
      <c r="F996" s="4"/>
      <c r="G996" s="4"/>
      <c r="H996" s="4"/>
      <c r="I996" s="4"/>
      <c r="J996" s="7"/>
      <c r="K996" s="4"/>
      <c r="L996" s="4"/>
      <c r="M996" s="80"/>
      <c r="N996" s="80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80"/>
      <c r="N997" s="80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80"/>
      <c r="N998" s="80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>
      <c r="A999" s="4"/>
      <c r="B999" s="4"/>
      <c r="C999" s="4"/>
      <c r="D999" s="4"/>
      <c r="E999" s="4"/>
      <c r="F999" s="4"/>
      <c r="G999" s="4"/>
      <c r="H999" s="4"/>
      <c r="I999" s="4"/>
      <c r="K999" s="4"/>
      <c r="L999" s="4"/>
      <c r="M999" s="80"/>
      <c r="N999" s="80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>
      <c r="A1000" s="4"/>
      <c r="B1000" s="4"/>
      <c r="C1000" s="4"/>
      <c r="D1000" s="4"/>
      <c r="E1000" s="4"/>
      <c r="F1000" s="4"/>
      <c r="G1000" s="4"/>
      <c r="H1000" s="4"/>
      <c r="I1000" s="4"/>
      <c r="K1000" s="4"/>
      <c r="L1000" s="4"/>
      <c r="M1000" s="80"/>
      <c r="N1000" s="80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>
      <c r="A1001" s="4"/>
      <c r="B1001" s="4"/>
      <c r="C1001" s="4"/>
      <c r="D1001" s="4"/>
      <c r="E1001" s="4"/>
      <c r="F1001" s="4"/>
      <c r="G1001" s="4"/>
      <c r="H1001" s="4"/>
      <c r="I1001" s="4"/>
      <c r="K1001" s="4"/>
      <c r="L1001" s="4"/>
      <c r="M1001" s="80"/>
      <c r="N1001" s="80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>
      <c r="A1002" s="4"/>
      <c r="B1002" s="4"/>
      <c r="C1002" s="4"/>
      <c r="D1002" s="4"/>
      <c r="E1002" s="4"/>
      <c r="F1002" s="4"/>
      <c r="G1002" s="4"/>
      <c r="H1002" s="4"/>
      <c r="I1002" s="4"/>
      <c r="K1002" s="4"/>
      <c r="L1002" s="4"/>
      <c r="M1002" s="80"/>
      <c r="N1002" s="80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spans="1:30" ht="15.75">
      <c r="A1003" s="4"/>
      <c r="B1003" s="4"/>
      <c r="C1003" s="4"/>
      <c r="D1003" s="4"/>
      <c r="E1003" s="4"/>
      <c r="F1003" s="4"/>
      <c r="G1003" s="4"/>
      <c r="H1003" s="4"/>
      <c r="I1003" s="4"/>
      <c r="K1003" s="4"/>
      <c r="L1003" s="4"/>
      <c r="M1003" s="80"/>
      <c r="N1003" s="80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spans="1:30" ht="15.75">
      <c r="A1004" s="4"/>
      <c r="B1004" s="4"/>
      <c r="C1004" s="4"/>
      <c r="D1004" s="4"/>
      <c r="E1004" s="4"/>
      <c r="F1004" s="4"/>
      <c r="G1004" s="4"/>
      <c r="H1004" s="4"/>
      <c r="I1004" s="4"/>
      <c r="K1004" s="4"/>
      <c r="L1004" s="4"/>
      <c r="M1004" s="80"/>
      <c r="N1004" s="80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spans="1:30" ht="15.75">
      <c r="A1005" s="4"/>
      <c r="B1005" s="4"/>
      <c r="C1005" s="4"/>
      <c r="D1005" s="4"/>
      <c r="E1005" s="4"/>
      <c r="F1005" s="4"/>
      <c r="G1005" s="4"/>
      <c r="H1005" s="4"/>
      <c r="I1005" s="4"/>
      <c r="K1005" s="4"/>
      <c r="L1005" s="4"/>
      <c r="M1005" s="80"/>
      <c r="N1005" s="80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spans="1:30" ht="15.75">
      <c r="A1006" s="4"/>
      <c r="B1006" s="4"/>
      <c r="C1006" s="4"/>
      <c r="D1006" s="4"/>
      <c r="E1006" s="4"/>
      <c r="F1006" s="4"/>
      <c r="G1006" s="4"/>
      <c r="H1006" s="4"/>
      <c r="I1006" s="4"/>
      <c r="K1006" s="4"/>
      <c r="L1006" s="4"/>
      <c r="M1006" s="80"/>
      <c r="N1006" s="80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spans="1:30" ht="15.75">
      <c r="A1007" s="4"/>
      <c r="B1007" s="4"/>
      <c r="C1007" s="4"/>
      <c r="D1007" s="4"/>
      <c r="E1007" s="4"/>
      <c r="F1007" s="4"/>
      <c r="G1007" s="4"/>
      <c r="H1007" s="4"/>
      <c r="I1007" s="4"/>
      <c r="K1007" s="4"/>
      <c r="L1007" s="4"/>
      <c r="M1007" s="80"/>
      <c r="N1007" s="80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spans="1:30" ht="15.75">
      <c r="A1008" s="4"/>
      <c r="B1008" s="4"/>
      <c r="C1008" s="4"/>
      <c r="D1008" s="4"/>
      <c r="E1008" s="4"/>
      <c r="F1008" s="4"/>
      <c r="G1008" s="4"/>
      <c r="H1008" s="4"/>
      <c r="I1008" s="4"/>
      <c r="K1008" s="4"/>
      <c r="L1008" s="4"/>
      <c r="M1008" s="80"/>
      <c r="N1008" s="80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spans="1:30" ht="15.75">
      <c r="A1009" s="4"/>
      <c r="B1009" s="4"/>
      <c r="C1009" s="4"/>
      <c r="D1009" s="4"/>
      <c r="E1009" s="4"/>
      <c r="F1009" s="4"/>
      <c r="G1009" s="4"/>
      <c r="H1009" s="4"/>
      <c r="I1009" s="4"/>
      <c r="K1009" s="4"/>
      <c r="L1009" s="4"/>
      <c r="M1009" s="80"/>
      <c r="N1009" s="80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spans="1:30" ht="15.75">
      <c r="A1010" s="4"/>
      <c r="B1010" s="4"/>
      <c r="C1010" s="4"/>
      <c r="D1010" s="4"/>
      <c r="E1010" s="4"/>
      <c r="F1010" s="4"/>
      <c r="G1010" s="4"/>
      <c r="H1010" s="4"/>
      <c r="I1010" s="4"/>
      <c r="K1010" s="4"/>
      <c r="L1010" s="4"/>
      <c r="M1010" s="80"/>
      <c r="N1010" s="80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spans="1:30" ht="15.75">
      <c r="A1011" s="4"/>
      <c r="B1011" s="4"/>
      <c r="C1011" s="4"/>
      <c r="D1011" s="4"/>
      <c r="E1011" s="4"/>
      <c r="F1011" s="4"/>
      <c r="G1011" s="4"/>
      <c r="H1011" s="4"/>
      <c r="I1011" s="4"/>
      <c r="K1011" s="4"/>
      <c r="L1011" s="4"/>
      <c r="M1011" s="80"/>
      <c r="N1011" s="80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spans="1:30" ht="15.75">
      <c r="A1012" s="4"/>
      <c r="B1012" s="4"/>
      <c r="C1012" s="4"/>
      <c r="D1012" s="4"/>
      <c r="E1012" s="4"/>
      <c r="F1012" s="4"/>
      <c r="G1012" s="4"/>
      <c r="H1012" s="4"/>
      <c r="I1012" s="4"/>
      <c r="K1012" s="4"/>
      <c r="L1012" s="4"/>
      <c r="M1012" s="80"/>
      <c r="N1012" s="80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spans="1:30" ht="15.75">
      <c r="A1013" s="4"/>
      <c r="B1013" s="4"/>
      <c r="C1013" s="4"/>
      <c r="D1013" s="4"/>
      <c r="E1013" s="4"/>
      <c r="F1013" s="4"/>
      <c r="G1013" s="4"/>
      <c r="H1013" s="4"/>
      <c r="I1013" s="4"/>
      <c r="K1013" s="4"/>
      <c r="L1013" s="4"/>
      <c r="M1013" s="80"/>
      <c r="N1013" s="80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spans="1:30" ht="15.75">
      <c r="A1014" s="4"/>
      <c r="B1014" s="4"/>
      <c r="C1014" s="4"/>
      <c r="D1014" s="4"/>
      <c r="E1014" s="4"/>
      <c r="F1014" s="4"/>
      <c r="G1014" s="4"/>
      <c r="H1014" s="4"/>
      <c r="I1014" s="4"/>
      <c r="K1014" s="4"/>
      <c r="L1014" s="4"/>
      <c r="M1014" s="80"/>
      <c r="N1014" s="80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spans="1:30" ht="15.75">
      <c r="A1015" s="4"/>
      <c r="B1015" s="4"/>
      <c r="C1015" s="4"/>
      <c r="D1015" s="4"/>
      <c r="E1015" s="4"/>
      <c r="F1015" s="4"/>
      <c r="G1015" s="4"/>
      <c r="H1015" s="4"/>
      <c r="I1015" s="4"/>
      <c r="K1015" s="4"/>
      <c r="L1015" s="4"/>
      <c r="M1015" s="80"/>
      <c r="N1015" s="80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spans="1:30" ht="15.75">
      <c r="A1016" s="4"/>
      <c r="B1016" s="4"/>
      <c r="C1016" s="4"/>
      <c r="D1016" s="4"/>
      <c r="E1016" s="4"/>
      <c r="F1016" s="4"/>
      <c r="G1016" s="4"/>
      <c r="H1016" s="4"/>
      <c r="I1016" s="4"/>
      <c r="K1016" s="4"/>
      <c r="L1016" s="4"/>
      <c r="M1016" s="80"/>
      <c r="N1016" s="80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spans="1:30" ht="15.75">
      <c r="A1017" s="4"/>
      <c r="B1017" s="4"/>
      <c r="C1017" s="4"/>
      <c r="D1017" s="4"/>
      <c r="E1017" s="4"/>
      <c r="F1017" s="4"/>
      <c r="G1017" s="4"/>
      <c r="H1017" s="4"/>
      <c r="I1017" s="4"/>
      <c r="K1017" s="4"/>
      <c r="L1017" s="4"/>
      <c r="M1017" s="80"/>
      <c r="N1017" s="80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spans="1:30" ht="15.75">
      <c r="A1018" s="4"/>
      <c r="B1018" s="4"/>
      <c r="C1018" s="4"/>
      <c r="D1018" s="4"/>
      <c r="E1018" s="4"/>
      <c r="F1018" s="4"/>
      <c r="G1018" s="4"/>
      <c r="H1018" s="4"/>
      <c r="I1018" s="4"/>
      <c r="K1018" s="4"/>
      <c r="L1018" s="4"/>
      <c r="M1018" s="80"/>
      <c r="N1018" s="80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spans="1:30" ht="15.75">
      <c r="A1019" s="4"/>
      <c r="B1019" s="4"/>
      <c r="C1019" s="4"/>
      <c r="D1019" s="4"/>
      <c r="E1019" s="4"/>
      <c r="F1019" s="4"/>
      <c r="G1019" s="4"/>
      <c r="H1019" s="4"/>
      <c r="I1019" s="4"/>
      <c r="K1019" s="4"/>
      <c r="L1019" s="4"/>
      <c r="M1019" s="80"/>
      <c r="N1019" s="80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spans="1:30" ht="15.75">
      <c r="A1020" s="4"/>
      <c r="B1020" s="4"/>
      <c r="C1020" s="4"/>
      <c r="D1020" s="4"/>
      <c r="E1020" s="4"/>
      <c r="F1020" s="4"/>
      <c r="G1020" s="4"/>
      <c r="H1020" s="4"/>
      <c r="I1020" s="4"/>
      <c r="K1020" s="4"/>
      <c r="L1020" s="4"/>
      <c r="M1020" s="80"/>
      <c r="N1020" s="80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spans="1:30" ht="15.75">
      <c r="A1021" s="4"/>
      <c r="B1021" s="4"/>
      <c r="C1021" s="4"/>
      <c r="D1021" s="4"/>
      <c r="E1021" s="4"/>
      <c r="F1021" s="4"/>
      <c r="G1021" s="4"/>
      <c r="H1021" s="4"/>
      <c r="I1021" s="4"/>
      <c r="K1021" s="4"/>
      <c r="L1021" s="4"/>
      <c r="M1021" s="80"/>
      <c r="N1021" s="80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spans="1:30" ht="15.75">
      <c r="A1022" s="4"/>
      <c r="B1022" s="4"/>
      <c r="C1022" s="4"/>
      <c r="D1022" s="4"/>
      <c r="E1022" s="4"/>
      <c r="F1022" s="4"/>
      <c r="G1022" s="4"/>
      <c r="H1022" s="4"/>
      <c r="I1022" s="4"/>
      <c r="K1022" s="4"/>
      <c r="L1022" s="4"/>
      <c r="M1022" s="80"/>
      <c r="N1022" s="80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spans="1:30" ht="15.75">
      <c r="A1023" s="4"/>
      <c r="B1023" s="4"/>
      <c r="C1023" s="4"/>
      <c r="D1023" s="4"/>
      <c r="E1023" s="4"/>
      <c r="F1023" s="4"/>
      <c r="G1023" s="4"/>
      <c r="H1023" s="4"/>
      <c r="I1023" s="4"/>
      <c r="K1023" s="4"/>
      <c r="L1023" s="4"/>
      <c r="M1023" s="80"/>
      <c r="N1023" s="80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spans="1:30" ht="15.75">
      <c r="A1024" s="4"/>
      <c r="B1024" s="4"/>
      <c r="C1024" s="4"/>
      <c r="D1024" s="4"/>
      <c r="E1024" s="4"/>
      <c r="F1024" s="4"/>
      <c r="G1024" s="4"/>
      <c r="H1024" s="4"/>
      <c r="I1024" s="4"/>
      <c r="K1024" s="4"/>
      <c r="L1024" s="4"/>
      <c r="M1024" s="80"/>
      <c r="N1024" s="80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spans="1:30" ht="15.75">
      <c r="A1025" s="4"/>
      <c r="B1025" s="4"/>
      <c r="C1025" s="4"/>
      <c r="D1025" s="4"/>
      <c r="E1025" s="4"/>
      <c r="F1025" s="4"/>
      <c r="G1025" s="4"/>
      <c r="H1025" s="4"/>
      <c r="I1025" s="4"/>
      <c r="K1025" s="4"/>
      <c r="L1025" s="4"/>
      <c r="M1025" s="80"/>
      <c r="N1025" s="80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spans="1:30" ht="15.75">
      <c r="A1026" s="4"/>
      <c r="B1026" s="4"/>
      <c r="C1026" s="4"/>
      <c r="D1026" s="4"/>
      <c r="E1026" s="4"/>
      <c r="F1026" s="4"/>
      <c r="G1026" s="4"/>
      <c r="H1026" s="4"/>
      <c r="I1026" s="4"/>
      <c r="K1026" s="4"/>
      <c r="L1026" s="4"/>
      <c r="M1026" s="80"/>
      <c r="N1026" s="80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spans="1:30" ht="15.75">
      <c r="A1027" s="4"/>
      <c r="B1027" s="4"/>
      <c r="C1027" s="4"/>
      <c r="D1027" s="4"/>
      <c r="E1027" s="4"/>
      <c r="F1027" s="4"/>
      <c r="G1027" s="4"/>
      <c r="H1027" s="4"/>
      <c r="I1027" s="4"/>
      <c r="K1027" s="4"/>
      <c r="L1027" s="4"/>
      <c r="M1027" s="80"/>
      <c r="N1027" s="80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spans="1:30" ht="15.75">
      <c r="A1028" s="4"/>
      <c r="B1028" s="4"/>
      <c r="C1028" s="4"/>
      <c r="D1028" s="4"/>
      <c r="E1028" s="4"/>
      <c r="F1028" s="4"/>
      <c r="G1028" s="4"/>
      <c r="H1028" s="4"/>
      <c r="I1028" s="4"/>
      <c r="K1028" s="4"/>
      <c r="L1028" s="4"/>
      <c r="M1028" s="80"/>
      <c r="N1028" s="80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spans="1:30" ht="15.75">
      <c r="A1029" s="4"/>
      <c r="B1029" s="4"/>
      <c r="C1029" s="4"/>
      <c r="D1029" s="4"/>
      <c r="E1029" s="4"/>
      <c r="F1029" s="4"/>
      <c r="G1029" s="4"/>
      <c r="H1029" s="4"/>
      <c r="I1029" s="4"/>
      <c r="K1029" s="4"/>
      <c r="L1029" s="4"/>
      <c r="M1029" s="80"/>
      <c r="N1029" s="80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spans="1:30" ht="15.75">
      <c r="A1030" s="4"/>
      <c r="B1030" s="4"/>
      <c r="C1030" s="4"/>
      <c r="D1030" s="4"/>
      <c r="E1030" s="4"/>
      <c r="F1030" s="4"/>
      <c r="G1030" s="4"/>
      <c r="H1030" s="4"/>
      <c r="I1030" s="4"/>
      <c r="K1030" s="4"/>
      <c r="L1030" s="4"/>
      <c r="M1030" s="80"/>
      <c r="N1030" s="80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spans="1:30" ht="15.75">
      <c r="A1031" s="4"/>
      <c r="B1031" s="4"/>
      <c r="C1031" s="4"/>
      <c r="D1031" s="4"/>
      <c r="E1031" s="4"/>
      <c r="F1031" s="4"/>
      <c r="G1031" s="4"/>
      <c r="H1031" s="4"/>
      <c r="I1031" s="4"/>
      <c r="K1031" s="4"/>
      <c r="L1031" s="4"/>
      <c r="M1031" s="80"/>
      <c r="N1031" s="80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spans="1:30" ht="15.75">
      <c r="A1032" s="4"/>
      <c r="B1032" s="4"/>
      <c r="C1032" s="4"/>
      <c r="D1032" s="4"/>
      <c r="E1032" s="4"/>
      <c r="F1032" s="4"/>
      <c r="G1032" s="4"/>
      <c r="H1032" s="4"/>
      <c r="I1032" s="4"/>
      <c r="K1032" s="4"/>
      <c r="L1032" s="4"/>
      <c r="M1032" s="80"/>
      <c r="N1032" s="80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spans="1:30" ht="15.75">
      <c r="A1033" s="4"/>
      <c r="B1033" s="4"/>
      <c r="C1033" s="4"/>
      <c r="D1033" s="4"/>
      <c r="E1033" s="4"/>
      <c r="F1033" s="4"/>
      <c r="G1033" s="4"/>
      <c r="H1033" s="4"/>
      <c r="I1033" s="4"/>
      <c r="K1033" s="4"/>
      <c r="L1033" s="4"/>
      <c r="M1033" s="80"/>
      <c r="N1033" s="80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spans="1:30" ht="15.75">
      <c r="A1034" s="4"/>
      <c r="B1034" s="4"/>
      <c r="C1034" s="4"/>
      <c r="D1034" s="4"/>
      <c r="E1034" s="4"/>
      <c r="F1034" s="4"/>
      <c r="G1034" s="4"/>
      <c r="H1034" s="4"/>
      <c r="I1034" s="4"/>
      <c r="K1034" s="4"/>
      <c r="L1034" s="4"/>
      <c r="M1034" s="80"/>
      <c r="N1034" s="80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spans="1:30" ht="15.75">
      <c r="A1035" s="4"/>
      <c r="B1035" s="4"/>
      <c r="C1035" s="4"/>
      <c r="D1035" s="4"/>
      <c r="E1035" s="4"/>
      <c r="F1035" s="4"/>
      <c r="G1035" s="4"/>
      <c r="H1035" s="4"/>
      <c r="I1035" s="4"/>
      <c r="K1035" s="4"/>
      <c r="L1035" s="4"/>
      <c r="M1035" s="80"/>
      <c r="N1035" s="80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spans="1:30" ht="15.75">
      <c r="A1036" s="4"/>
      <c r="B1036" s="4"/>
      <c r="C1036" s="4"/>
      <c r="D1036" s="4"/>
      <c r="E1036" s="4"/>
      <c r="F1036" s="4"/>
      <c r="G1036" s="4"/>
      <c r="H1036" s="4"/>
      <c r="I1036" s="4"/>
      <c r="K1036" s="4"/>
      <c r="L1036" s="4"/>
      <c r="M1036" s="80"/>
      <c r="N1036" s="80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spans="1:30" ht="15.75">
      <c r="A1037" s="4"/>
      <c r="B1037" s="4"/>
      <c r="C1037" s="4"/>
      <c r="D1037" s="4"/>
      <c r="E1037" s="4"/>
      <c r="F1037" s="4"/>
      <c r="G1037" s="4"/>
      <c r="H1037" s="4"/>
      <c r="I1037" s="4"/>
      <c r="K1037" s="4"/>
      <c r="L1037" s="4"/>
      <c r="M1037" s="80"/>
      <c r="N1037" s="80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spans="1:30" ht="15.75">
      <c r="A1038" s="4"/>
      <c r="B1038" s="4"/>
      <c r="C1038" s="4"/>
      <c r="D1038" s="4"/>
      <c r="E1038" s="4"/>
      <c r="F1038" s="4"/>
      <c r="G1038" s="4"/>
      <c r="H1038" s="4"/>
      <c r="I1038" s="4"/>
      <c r="K1038" s="4"/>
      <c r="L1038" s="4"/>
      <c r="M1038" s="80"/>
      <c r="N1038" s="80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spans="1:30" ht="15.75">
      <c r="A1039" s="4"/>
      <c r="B1039" s="4"/>
      <c r="C1039" s="4"/>
      <c r="D1039" s="4"/>
      <c r="E1039" s="4"/>
      <c r="F1039" s="4"/>
      <c r="G1039" s="4"/>
      <c r="H1039" s="4"/>
      <c r="I1039" s="4"/>
      <c r="K1039" s="4"/>
      <c r="L1039" s="4"/>
      <c r="M1039" s="80"/>
      <c r="N1039" s="80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spans="1:30" ht="15.75">
      <c r="A1040" s="4"/>
      <c r="B1040" s="4"/>
      <c r="C1040" s="4"/>
      <c r="D1040" s="4"/>
      <c r="E1040" s="4"/>
      <c r="F1040" s="4"/>
      <c r="G1040" s="4"/>
      <c r="H1040" s="4"/>
      <c r="I1040" s="4"/>
      <c r="K1040" s="4"/>
      <c r="L1040" s="4"/>
      <c r="M1040" s="80"/>
      <c r="N1040" s="80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spans="1:30" ht="15.75">
      <c r="A1041" s="4"/>
      <c r="B1041" s="4"/>
      <c r="C1041" s="4"/>
      <c r="D1041" s="4"/>
      <c r="E1041" s="4"/>
      <c r="F1041" s="4"/>
      <c r="G1041" s="4"/>
      <c r="H1041" s="4"/>
      <c r="I1041" s="4"/>
      <c r="K1041" s="4"/>
      <c r="L1041" s="4"/>
      <c r="M1041" s="80"/>
      <c r="N1041" s="80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spans="1:30" ht="15.75">
      <c r="A1042" s="4"/>
      <c r="B1042" s="4"/>
      <c r="C1042" s="4"/>
      <c r="D1042" s="4"/>
      <c r="E1042" s="4"/>
      <c r="F1042" s="4"/>
      <c r="G1042" s="4"/>
      <c r="H1042" s="4"/>
      <c r="I1042" s="4"/>
      <c r="K1042" s="4"/>
      <c r="L1042" s="4"/>
      <c r="M1042" s="80"/>
      <c r="N1042" s="80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spans="1:30" ht="15.75">
      <c r="A1043" s="4"/>
      <c r="B1043" s="4"/>
      <c r="C1043" s="4"/>
      <c r="D1043" s="4"/>
      <c r="E1043" s="4"/>
      <c r="F1043" s="4"/>
      <c r="G1043" s="4"/>
      <c r="H1043" s="4"/>
      <c r="I1043" s="4"/>
      <c r="K1043" s="4"/>
      <c r="L1043" s="4"/>
      <c r="M1043" s="80"/>
      <c r="N1043" s="80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spans="1:30" ht="15.75">
      <c r="A1044" s="4"/>
      <c r="B1044" s="4"/>
      <c r="C1044" s="4"/>
      <c r="D1044" s="4"/>
      <c r="E1044" s="4"/>
      <c r="F1044" s="4"/>
      <c r="G1044" s="4"/>
      <c r="H1044" s="4"/>
      <c r="I1044" s="4"/>
      <c r="K1044" s="4"/>
      <c r="L1044" s="4"/>
      <c r="M1044" s="80"/>
      <c r="N1044" s="80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spans="1:30" ht="15.75">
      <c r="A1045" s="4"/>
      <c r="B1045" s="4"/>
      <c r="C1045" s="4"/>
      <c r="D1045" s="4"/>
      <c r="E1045" s="4"/>
      <c r="F1045" s="4"/>
      <c r="G1045" s="4"/>
      <c r="H1045" s="4"/>
      <c r="I1045" s="4"/>
      <c r="K1045" s="4"/>
      <c r="L1045" s="4"/>
      <c r="M1045" s="80"/>
      <c r="N1045" s="80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spans="1:30" ht="15.75">
      <c r="A1046" s="4"/>
      <c r="B1046" s="4"/>
      <c r="C1046" s="4"/>
      <c r="D1046" s="4"/>
      <c r="E1046" s="4"/>
      <c r="F1046" s="4"/>
      <c r="G1046" s="4"/>
      <c r="H1046" s="4"/>
      <c r="I1046" s="4"/>
      <c r="K1046" s="4"/>
      <c r="L1046" s="4"/>
      <c r="M1046" s="80"/>
      <c r="N1046" s="80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spans="1:30" ht="15.75">
      <c r="A1047" s="4"/>
      <c r="B1047" s="4"/>
      <c r="C1047" s="4"/>
      <c r="D1047" s="4"/>
      <c r="E1047" s="4"/>
      <c r="F1047" s="4"/>
      <c r="G1047" s="4"/>
      <c r="H1047" s="4"/>
      <c r="I1047" s="4"/>
      <c r="K1047" s="4"/>
      <c r="L1047" s="4"/>
      <c r="M1047" s="80"/>
      <c r="N1047" s="80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spans="1:30" ht="15.75">
      <c r="A1048" s="4"/>
      <c r="B1048" s="4"/>
      <c r="C1048" s="4"/>
      <c r="D1048" s="4"/>
      <c r="E1048" s="4"/>
      <c r="F1048" s="4"/>
      <c r="G1048" s="4"/>
      <c r="H1048" s="4"/>
      <c r="I1048" s="4"/>
      <c r="K1048" s="4"/>
      <c r="L1048" s="4"/>
      <c r="M1048" s="80"/>
      <c r="N1048" s="80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spans="1:30" ht="15.75">
      <c r="A1049" s="4"/>
      <c r="B1049" s="4"/>
      <c r="C1049" s="4"/>
      <c r="D1049" s="4"/>
      <c r="E1049" s="4"/>
      <c r="F1049" s="4"/>
      <c r="G1049" s="4"/>
      <c r="H1049" s="4"/>
      <c r="I1049" s="4"/>
      <c r="K1049" s="4"/>
      <c r="L1049" s="4"/>
      <c r="M1049" s="80"/>
      <c r="N1049" s="80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spans="1:30" ht="15.75">
      <c r="A1050" s="4"/>
      <c r="B1050" s="4"/>
      <c r="C1050" s="4"/>
      <c r="D1050" s="4"/>
      <c r="E1050" s="4"/>
      <c r="F1050" s="4"/>
      <c r="G1050" s="4"/>
      <c r="H1050" s="4"/>
      <c r="I1050" s="4"/>
      <c r="K1050" s="4"/>
      <c r="L1050" s="4"/>
      <c r="M1050" s="80"/>
      <c r="N1050" s="80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spans="1:30" ht="15.75">
      <c r="A1051" s="4"/>
      <c r="B1051" s="4"/>
      <c r="C1051" s="4"/>
      <c r="D1051" s="4"/>
      <c r="E1051" s="4"/>
      <c r="F1051" s="4"/>
      <c r="G1051" s="4"/>
      <c r="H1051" s="4"/>
      <c r="I1051" s="4"/>
      <c r="K1051" s="4"/>
      <c r="L1051" s="4"/>
      <c r="M1051" s="80"/>
      <c r="N1051" s="80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spans="1:30" ht="15.75">
      <c r="A1052" s="4"/>
      <c r="B1052" s="4"/>
      <c r="C1052" s="4"/>
      <c r="D1052" s="4"/>
      <c r="E1052" s="4"/>
      <c r="F1052" s="4"/>
      <c r="G1052" s="4"/>
      <c r="H1052" s="4"/>
      <c r="I1052" s="4"/>
      <c r="K1052" s="4"/>
      <c r="L1052" s="4"/>
      <c r="M1052" s="80"/>
      <c r="N1052" s="80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spans="1:30" ht="15.75">
      <c r="A1053" s="4"/>
      <c r="B1053" s="4"/>
      <c r="C1053" s="4"/>
      <c r="D1053" s="4"/>
      <c r="E1053" s="4"/>
      <c r="F1053" s="4"/>
      <c r="G1053" s="4"/>
      <c r="H1053" s="4"/>
      <c r="I1053" s="4"/>
      <c r="K1053" s="4"/>
      <c r="L1053" s="4"/>
      <c r="M1053" s="80"/>
      <c r="N1053" s="80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spans="1:30" ht="15.75">
      <c r="A1054" s="4"/>
      <c r="B1054" s="4"/>
      <c r="C1054" s="4"/>
      <c r="D1054" s="4"/>
      <c r="E1054" s="4"/>
      <c r="F1054" s="4"/>
      <c r="G1054" s="4"/>
      <c r="H1054" s="4"/>
      <c r="I1054" s="4"/>
      <c r="K1054" s="4"/>
      <c r="L1054" s="4"/>
      <c r="M1054" s="80"/>
      <c r="N1054" s="80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spans="1:30" ht="15.75">
      <c r="A1055" s="4"/>
      <c r="B1055" s="4"/>
      <c r="C1055" s="4"/>
      <c r="D1055" s="4"/>
      <c r="E1055" s="4"/>
      <c r="F1055" s="4"/>
      <c r="G1055" s="4"/>
      <c r="H1055" s="4"/>
      <c r="I1055" s="4"/>
      <c r="K1055" s="4"/>
      <c r="L1055" s="4"/>
      <c r="M1055" s="80"/>
      <c r="N1055" s="80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spans="1:30" ht="15.75">
      <c r="A1056" s="4"/>
      <c r="B1056" s="4"/>
      <c r="C1056" s="4"/>
      <c r="D1056" s="4"/>
      <c r="E1056" s="4"/>
      <c r="F1056" s="4"/>
      <c r="G1056" s="4"/>
      <c r="H1056" s="4"/>
      <c r="I1056" s="4"/>
      <c r="K1056" s="4"/>
      <c r="L1056" s="4"/>
      <c r="M1056" s="80"/>
      <c r="N1056" s="80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spans="1:30" ht="15.75">
      <c r="A1057" s="4"/>
      <c r="B1057" s="4"/>
      <c r="C1057" s="4"/>
      <c r="D1057" s="4"/>
      <c r="E1057" s="4"/>
      <c r="F1057" s="4"/>
      <c r="G1057" s="4"/>
      <c r="H1057" s="4"/>
      <c r="I1057" s="4"/>
      <c r="K1057" s="4"/>
      <c r="L1057" s="4"/>
      <c r="M1057" s="80"/>
      <c r="N1057" s="80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spans="1:30" ht="15.75">
      <c r="A1058" s="4"/>
      <c r="B1058" s="4"/>
      <c r="C1058" s="4"/>
      <c r="D1058" s="4"/>
      <c r="E1058" s="4"/>
      <c r="F1058" s="4"/>
      <c r="G1058" s="4"/>
      <c r="H1058" s="4"/>
      <c r="I1058" s="4"/>
      <c r="K1058" s="4"/>
      <c r="L1058" s="4"/>
      <c r="M1058" s="80"/>
      <c r="N1058" s="80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spans="1:30" ht="15.75">
      <c r="A1059" s="4"/>
      <c r="B1059" s="4"/>
      <c r="C1059" s="4"/>
      <c r="D1059" s="4"/>
      <c r="E1059" s="4"/>
      <c r="F1059" s="4"/>
      <c r="G1059" s="4"/>
      <c r="H1059" s="4"/>
      <c r="I1059" s="4"/>
      <c r="K1059" s="4"/>
      <c r="L1059" s="4"/>
      <c r="M1059" s="80"/>
      <c r="N1059" s="80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spans="1:30" ht="15.75">
      <c r="A1060" s="4"/>
      <c r="B1060" s="4"/>
      <c r="C1060" s="4"/>
      <c r="D1060" s="4"/>
      <c r="E1060" s="4"/>
      <c r="F1060" s="4"/>
      <c r="G1060" s="4"/>
      <c r="H1060" s="4"/>
      <c r="I1060" s="4"/>
      <c r="K1060" s="4"/>
      <c r="L1060" s="4"/>
      <c r="M1060" s="80"/>
      <c r="N1060" s="80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spans="1:30" ht="15.75">
      <c r="A1061" s="4"/>
      <c r="B1061" s="4"/>
      <c r="C1061" s="4"/>
      <c r="D1061" s="4"/>
      <c r="E1061" s="4"/>
      <c r="F1061" s="4"/>
      <c r="G1061" s="4"/>
      <c r="H1061" s="4"/>
      <c r="I1061" s="4"/>
      <c r="K1061" s="4"/>
      <c r="L1061" s="4"/>
      <c r="M1061" s="80"/>
      <c r="N1061" s="80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spans="1:30" ht="15.75">
      <c r="A1062" s="4"/>
      <c r="B1062" s="4"/>
      <c r="C1062" s="4"/>
      <c r="D1062" s="4"/>
      <c r="E1062" s="4"/>
      <c r="F1062" s="4"/>
      <c r="G1062" s="4"/>
      <c r="H1062" s="4"/>
      <c r="I1062" s="4"/>
      <c r="K1062" s="4"/>
      <c r="L1062" s="4"/>
      <c r="M1062" s="80"/>
      <c r="N1062" s="80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spans="1:30" ht="15.75">
      <c r="A1063" s="4"/>
      <c r="B1063" s="4"/>
      <c r="C1063" s="4"/>
      <c r="D1063" s="4"/>
      <c r="E1063" s="4"/>
      <c r="F1063" s="4"/>
      <c r="G1063" s="4"/>
      <c r="H1063" s="4"/>
      <c r="I1063" s="4"/>
      <c r="K1063" s="4"/>
      <c r="L1063" s="4"/>
      <c r="M1063" s="80"/>
      <c r="N1063" s="80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spans="1:30" ht="15.75">
      <c r="A1064" s="4"/>
      <c r="B1064" s="4"/>
      <c r="C1064" s="4"/>
      <c r="D1064" s="4"/>
      <c r="E1064" s="4"/>
      <c r="F1064" s="4"/>
      <c r="G1064" s="4"/>
      <c r="H1064" s="4"/>
      <c r="I1064" s="4"/>
      <c r="K1064" s="4"/>
      <c r="L1064" s="4"/>
      <c r="M1064" s="80"/>
      <c r="N1064" s="80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spans="1:30" ht="15.75">
      <c r="A1065" s="4"/>
      <c r="B1065" s="4"/>
      <c r="C1065" s="4"/>
      <c r="D1065" s="4"/>
      <c r="E1065" s="4"/>
      <c r="F1065" s="4"/>
      <c r="G1065" s="4"/>
      <c r="H1065" s="4"/>
      <c r="I1065" s="4"/>
      <c r="K1065" s="4"/>
      <c r="L1065" s="4"/>
      <c r="M1065" s="80"/>
      <c r="N1065" s="80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spans="1:30" ht="15.75">
      <c r="A1066" s="4"/>
      <c r="B1066" s="4"/>
      <c r="C1066" s="4"/>
      <c r="D1066" s="4"/>
      <c r="E1066" s="4"/>
      <c r="F1066" s="4"/>
      <c r="G1066" s="4"/>
      <c r="H1066" s="4"/>
      <c r="I1066" s="4"/>
      <c r="K1066" s="4"/>
      <c r="L1066" s="4"/>
      <c r="M1066" s="80"/>
      <c r="N1066" s="80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spans="1:30" ht="15.75">
      <c r="A1067" s="4"/>
      <c r="B1067" s="4"/>
      <c r="C1067" s="4"/>
      <c r="D1067" s="4"/>
      <c r="E1067" s="4"/>
      <c r="F1067" s="4"/>
      <c r="G1067" s="4"/>
      <c r="H1067" s="4"/>
      <c r="I1067" s="4"/>
      <c r="K1067" s="4"/>
      <c r="L1067" s="4"/>
      <c r="M1067" s="80"/>
      <c r="N1067" s="80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spans="1:30" ht="15.75">
      <c r="A1068" s="4"/>
      <c r="B1068" s="4"/>
      <c r="C1068" s="4"/>
      <c r="D1068" s="4"/>
      <c r="E1068" s="4"/>
      <c r="F1068" s="4"/>
      <c r="G1068" s="4"/>
      <c r="H1068" s="4"/>
      <c r="I1068" s="4"/>
      <c r="K1068" s="4"/>
      <c r="L1068" s="4"/>
      <c r="M1068" s="80"/>
      <c r="N1068" s="80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spans="1:30" ht="15.75">
      <c r="A1069" s="4"/>
      <c r="B1069" s="4"/>
      <c r="C1069" s="4"/>
      <c r="D1069" s="4"/>
      <c r="E1069" s="4"/>
      <c r="F1069" s="4"/>
      <c r="G1069" s="4"/>
      <c r="H1069" s="4"/>
      <c r="I1069" s="4"/>
      <c r="K1069" s="4"/>
      <c r="L1069" s="4"/>
      <c r="M1069" s="80"/>
      <c r="N1069" s="80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spans="1:30" ht="15.75">
      <c r="A1070" s="4"/>
      <c r="B1070" s="4"/>
      <c r="C1070" s="4"/>
      <c r="D1070" s="4"/>
      <c r="E1070" s="4"/>
      <c r="F1070" s="4"/>
      <c r="G1070" s="4"/>
      <c r="H1070" s="4"/>
      <c r="I1070" s="4"/>
      <c r="K1070" s="4"/>
      <c r="L1070" s="4"/>
      <c r="M1070" s="80"/>
      <c r="N1070" s="80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 spans="1:30" ht="15.75">
      <c r="A1071" s="4"/>
      <c r="B1071" s="4"/>
      <c r="C1071" s="4"/>
      <c r="D1071" s="4"/>
      <c r="E1071" s="4"/>
      <c r="F1071" s="4"/>
      <c r="G1071" s="4"/>
      <c r="H1071" s="4"/>
      <c r="I1071" s="4"/>
      <c r="K1071" s="4"/>
      <c r="L1071" s="4"/>
      <c r="M1071" s="80"/>
      <c r="N1071" s="80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 spans="1:30" ht="15.75">
      <c r="A1072" s="4"/>
      <c r="B1072" s="4"/>
      <c r="C1072" s="4"/>
      <c r="D1072" s="4"/>
      <c r="E1072" s="4"/>
      <c r="F1072" s="4"/>
      <c r="G1072" s="4"/>
      <c r="H1072" s="4"/>
      <c r="I1072" s="4"/>
      <c r="K1072" s="4"/>
      <c r="L1072" s="4"/>
      <c r="M1072" s="80"/>
      <c r="N1072" s="80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 spans="1:30" ht="15.75">
      <c r="A1073" s="4"/>
      <c r="B1073" s="4"/>
      <c r="C1073" s="4"/>
      <c r="D1073" s="4"/>
      <c r="E1073" s="4"/>
      <c r="F1073" s="4"/>
      <c r="G1073" s="4"/>
      <c r="H1073" s="4"/>
      <c r="I1073" s="4"/>
      <c r="K1073" s="4"/>
      <c r="L1073" s="4"/>
      <c r="M1073" s="80"/>
      <c r="N1073" s="80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spans="1:30" ht="15.75">
      <c r="A1074" s="4"/>
      <c r="B1074" s="4"/>
      <c r="C1074" s="4"/>
      <c r="D1074" s="4"/>
      <c r="E1074" s="4"/>
      <c r="F1074" s="4"/>
      <c r="G1074" s="4"/>
      <c r="H1074" s="4"/>
      <c r="I1074" s="4"/>
      <c r="K1074" s="4"/>
      <c r="L1074" s="4"/>
      <c r="M1074" s="80"/>
      <c r="N1074" s="80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 spans="1:30" ht="15.75">
      <c r="A1075" s="4"/>
      <c r="B1075" s="4"/>
      <c r="C1075" s="4"/>
      <c r="D1075" s="4"/>
      <c r="E1075" s="4"/>
      <c r="F1075" s="4"/>
      <c r="G1075" s="4"/>
      <c r="H1075" s="4"/>
      <c r="I1075" s="4"/>
      <c r="K1075" s="4"/>
      <c r="L1075" s="4"/>
      <c r="M1075" s="80"/>
      <c r="N1075" s="80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 spans="1:30" ht="15.75">
      <c r="A1076" s="4"/>
      <c r="B1076" s="4"/>
      <c r="C1076" s="4"/>
      <c r="D1076" s="4"/>
      <c r="E1076" s="4"/>
      <c r="F1076" s="4"/>
      <c r="G1076" s="4"/>
      <c r="H1076" s="4"/>
      <c r="I1076" s="4"/>
      <c r="K1076" s="4"/>
      <c r="L1076" s="4"/>
      <c r="M1076" s="80"/>
      <c r="N1076" s="80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 spans="1:30" ht="15.75">
      <c r="A1077" s="4"/>
      <c r="B1077" s="4"/>
      <c r="C1077" s="4"/>
      <c r="D1077" s="4"/>
      <c r="E1077" s="4"/>
      <c r="F1077" s="4"/>
      <c r="G1077" s="4"/>
      <c r="H1077" s="4"/>
      <c r="I1077" s="4"/>
      <c r="K1077" s="4"/>
      <c r="L1077" s="4"/>
      <c r="M1077" s="80"/>
      <c r="N1077" s="80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 spans="1:30" ht="15.75">
      <c r="A1078" s="4"/>
      <c r="B1078" s="4"/>
      <c r="C1078" s="4"/>
      <c r="D1078" s="4"/>
      <c r="E1078" s="4"/>
      <c r="F1078" s="4"/>
      <c r="G1078" s="4"/>
      <c r="H1078" s="4"/>
      <c r="I1078" s="4"/>
      <c r="K1078" s="4"/>
      <c r="L1078" s="4"/>
      <c r="M1078" s="80"/>
      <c r="N1078" s="80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 spans="1:30" ht="15.75">
      <c r="A1079" s="4"/>
      <c r="B1079" s="4"/>
      <c r="C1079" s="4"/>
      <c r="D1079" s="4"/>
      <c r="E1079" s="4"/>
      <c r="F1079" s="4"/>
      <c r="G1079" s="4"/>
      <c r="H1079" s="4"/>
      <c r="I1079" s="4"/>
      <c r="K1079" s="4"/>
      <c r="L1079" s="4"/>
      <c r="M1079" s="80"/>
      <c r="N1079" s="80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 spans="1:30" ht="15.75">
      <c r="A1080" s="4"/>
      <c r="B1080" s="4"/>
      <c r="C1080" s="4"/>
      <c r="D1080" s="4"/>
      <c r="E1080" s="4"/>
      <c r="F1080" s="4"/>
      <c r="G1080" s="4"/>
      <c r="H1080" s="4"/>
      <c r="I1080" s="4"/>
      <c r="K1080" s="4"/>
      <c r="L1080" s="4"/>
      <c r="M1080" s="80"/>
      <c r="N1080" s="80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 spans="1:30" ht="15.75">
      <c r="A1081" s="4"/>
      <c r="B1081" s="4"/>
      <c r="C1081" s="4"/>
      <c r="D1081" s="4"/>
      <c r="E1081" s="4"/>
      <c r="F1081" s="4"/>
      <c r="G1081" s="4"/>
      <c r="H1081" s="4"/>
      <c r="I1081" s="4"/>
      <c r="K1081" s="4"/>
      <c r="L1081" s="4"/>
      <c r="M1081" s="80"/>
      <c r="N1081" s="80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 spans="1:30" ht="15.75">
      <c r="A1082" s="4"/>
      <c r="B1082" s="4"/>
      <c r="C1082" s="4"/>
      <c r="D1082" s="4"/>
      <c r="E1082" s="4"/>
      <c r="F1082" s="4"/>
      <c r="G1082" s="4"/>
      <c r="H1082" s="4"/>
      <c r="I1082" s="4"/>
      <c r="K1082" s="4"/>
      <c r="L1082" s="4"/>
      <c r="M1082" s="80"/>
      <c r="N1082" s="80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 spans="1:30" ht="15.75">
      <c r="A1083" s="4"/>
      <c r="B1083" s="4"/>
      <c r="C1083" s="4"/>
      <c r="D1083" s="4"/>
      <c r="E1083" s="4"/>
      <c r="F1083" s="4"/>
      <c r="G1083" s="4"/>
      <c r="H1083" s="4"/>
      <c r="I1083" s="4"/>
      <c r="K1083" s="4"/>
      <c r="L1083" s="4"/>
      <c r="M1083" s="80"/>
      <c r="N1083" s="80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 spans="1:30" ht="15.75">
      <c r="A1084" s="4"/>
      <c r="B1084" s="4"/>
      <c r="C1084" s="4"/>
      <c r="D1084" s="4"/>
      <c r="E1084" s="4"/>
      <c r="F1084" s="4"/>
      <c r="G1084" s="4"/>
      <c r="H1084" s="4"/>
      <c r="I1084" s="4"/>
      <c r="K1084" s="4"/>
      <c r="L1084" s="4"/>
      <c r="M1084" s="80"/>
      <c r="N1084" s="80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spans="1:30" ht="15.75">
      <c r="A1085" s="4"/>
      <c r="B1085" s="4"/>
      <c r="C1085" s="4"/>
      <c r="D1085" s="4"/>
      <c r="E1085" s="4"/>
      <c r="F1085" s="4"/>
      <c r="G1085" s="4"/>
      <c r="H1085" s="4"/>
      <c r="I1085" s="4"/>
      <c r="K1085" s="4"/>
      <c r="L1085" s="4"/>
      <c r="M1085" s="80"/>
      <c r="N1085" s="80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 spans="1:30" ht="15.75">
      <c r="A1086" s="4"/>
      <c r="B1086" s="4"/>
      <c r="C1086" s="4"/>
      <c r="D1086" s="4"/>
      <c r="E1086" s="4"/>
      <c r="F1086" s="4"/>
      <c r="G1086" s="4"/>
      <c r="H1086" s="4"/>
      <c r="I1086" s="4"/>
      <c r="K1086" s="4"/>
      <c r="L1086" s="4"/>
      <c r="M1086" s="80"/>
      <c r="N1086" s="80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 spans="1:30" ht="15.75">
      <c r="A1087" s="4"/>
      <c r="B1087" s="4"/>
      <c r="C1087" s="4"/>
      <c r="D1087" s="4"/>
      <c r="E1087" s="4"/>
      <c r="F1087" s="4"/>
      <c r="G1087" s="4"/>
      <c r="H1087" s="4"/>
      <c r="I1087" s="4"/>
      <c r="K1087" s="4"/>
      <c r="L1087" s="4"/>
      <c r="M1087" s="80"/>
      <c r="N1087" s="80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 spans="1:30" ht="15.75">
      <c r="A1088" s="4"/>
      <c r="B1088" s="4"/>
      <c r="C1088" s="4"/>
      <c r="D1088" s="4"/>
      <c r="E1088" s="4"/>
      <c r="F1088" s="4"/>
      <c r="G1088" s="4"/>
      <c r="H1088" s="4"/>
      <c r="I1088" s="4"/>
      <c r="K1088" s="4"/>
      <c r="L1088" s="4"/>
      <c r="M1088" s="80"/>
      <c r="N1088" s="80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 spans="1:30" ht="15.75">
      <c r="A1089" s="4"/>
      <c r="B1089" s="4"/>
      <c r="C1089" s="4"/>
      <c r="D1089" s="4"/>
      <c r="E1089" s="4"/>
      <c r="F1089" s="4"/>
      <c r="G1089" s="4"/>
      <c r="H1089" s="4"/>
      <c r="I1089" s="4"/>
      <c r="K1089" s="4"/>
      <c r="L1089" s="4"/>
      <c r="M1089" s="80"/>
      <c r="N1089" s="80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 spans="1:30" ht="15.75">
      <c r="A1090" s="4"/>
      <c r="B1090" s="4"/>
      <c r="C1090" s="4"/>
      <c r="D1090" s="4"/>
      <c r="E1090" s="4"/>
      <c r="F1090" s="4"/>
      <c r="G1090" s="4"/>
      <c r="H1090" s="4"/>
      <c r="I1090" s="4"/>
      <c r="K1090" s="4"/>
      <c r="L1090" s="4"/>
      <c r="M1090" s="80"/>
      <c r="N1090" s="80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 spans="1:30" ht="15.75">
      <c r="A1091" s="4"/>
      <c r="B1091" s="4"/>
      <c r="C1091" s="4"/>
      <c r="D1091" s="4"/>
      <c r="E1091" s="4"/>
      <c r="F1091" s="4"/>
      <c r="G1091" s="4"/>
      <c r="H1091" s="4"/>
      <c r="I1091" s="4"/>
      <c r="K1091" s="4"/>
      <c r="L1091" s="4"/>
      <c r="M1091" s="80"/>
      <c r="N1091" s="80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spans="1:30" ht="15.75">
      <c r="A1092" s="4"/>
      <c r="B1092" s="4"/>
      <c r="C1092" s="4"/>
      <c r="D1092" s="4"/>
      <c r="E1092" s="4"/>
      <c r="F1092" s="4"/>
      <c r="G1092" s="4"/>
      <c r="H1092" s="4"/>
      <c r="I1092" s="4"/>
      <c r="K1092" s="4"/>
      <c r="L1092" s="4"/>
      <c r="M1092" s="80"/>
      <c r="N1092" s="80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 spans="1:30" ht="15.75">
      <c r="A1093" s="4"/>
      <c r="B1093" s="4"/>
      <c r="C1093" s="4"/>
      <c r="D1093" s="4"/>
      <c r="E1093" s="4"/>
      <c r="F1093" s="4"/>
      <c r="G1093" s="4"/>
      <c r="H1093" s="4"/>
      <c r="I1093" s="4"/>
      <c r="K1093" s="4"/>
      <c r="L1093" s="4"/>
      <c r="M1093" s="80"/>
      <c r="N1093" s="80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 spans="1:30" ht="15.75">
      <c r="A1094" s="4"/>
      <c r="B1094" s="4"/>
      <c r="C1094" s="4"/>
      <c r="D1094" s="4"/>
      <c r="E1094" s="4"/>
      <c r="F1094" s="4"/>
      <c r="G1094" s="4"/>
      <c r="H1094" s="4"/>
      <c r="I1094" s="4"/>
      <c r="K1094" s="4"/>
      <c r="L1094" s="4"/>
      <c r="M1094" s="80"/>
      <c r="N1094" s="80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 spans="1:30" ht="15.75">
      <c r="A1095" s="4"/>
      <c r="B1095" s="4"/>
      <c r="C1095" s="4"/>
      <c r="D1095" s="4"/>
      <c r="E1095" s="4"/>
      <c r="F1095" s="4"/>
      <c r="G1095" s="4"/>
      <c r="H1095" s="4"/>
      <c r="I1095" s="4"/>
      <c r="K1095" s="4"/>
      <c r="L1095" s="4"/>
      <c r="M1095" s="80"/>
      <c r="N1095" s="80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 spans="1:30" ht="15.75">
      <c r="A1096" s="4"/>
      <c r="B1096" s="4"/>
      <c r="C1096" s="4"/>
      <c r="D1096" s="4"/>
      <c r="E1096" s="4"/>
      <c r="F1096" s="4"/>
      <c r="G1096" s="4"/>
      <c r="H1096" s="4"/>
      <c r="I1096" s="4"/>
      <c r="K1096" s="4"/>
      <c r="L1096" s="4"/>
      <c r="M1096" s="80"/>
      <c r="N1096" s="80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 spans="1:30" ht="15.75">
      <c r="A1097" s="4"/>
      <c r="B1097" s="4"/>
      <c r="C1097" s="4"/>
      <c r="D1097" s="4"/>
      <c r="E1097" s="4"/>
      <c r="F1097" s="4"/>
      <c r="G1097" s="4"/>
      <c r="H1097" s="4"/>
      <c r="I1097" s="4"/>
      <c r="K1097" s="4"/>
      <c r="L1097" s="4"/>
      <c r="M1097" s="80"/>
      <c r="N1097" s="80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 spans="1:30" ht="15.75">
      <c r="A1098" s="4"/>
      <c r="B1098" s="4"/>
      <c r="C1098" s="4"/>
      <c r="D1098" s="4"/>
      <c r="E1098" s="4"/>
      <c r="F1098" s="4"/>
      <c r="G1098" s="4"/>
      <c r="H1098" s="4"/>
      <c r="I1098" s="4"/>
      <c r="K1098" s="4"/>
      <c r="L1098" s="4"/>
      <c r="M1098" s="80"/>
      <c r="N1098" s="80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 spans="1:30" ht="15.75">
      <c r="A1099" s="4"/>
      <c r="B1099" s="4"/>
      <c r="C1099" s="4"/>
      <c r="D1099" s="4"/>
      <c r="E1099" s="4"/>
      <c r="F1099" s="4"/>
      <c r="G1099" s="4"/>
      <c r="H1099" s="4"/>
      <c r="I1099" s="4"/>
      <c r="K1099" s="4"/>
      <c r="L1099" s="4"/>
      <c r="M1099" s="80"/>
      <c r="N1099" s="80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spans="1:30" ht="15.75">
      <c r="A1100" s="4"/>
      <c r="B1100" s="4"/>
      <c r="C1100" s="4"/>
      <c r="D1100" s="4"/>
      <c r="E1100" s="4"/>
      <c r="F1100" s="4"/>
      <c r="G1100" s="4"/>
      <c r="H1100" s="4"/>
      <c r="I1100" s="4"/>
      <c r="K1100" s="4"/>
      <c r="L1100" s="4"/>
      <c r="M1100" s="80"/>
      <c r="N1100" s="80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 spans="1:30" ht="15.75">
      <c r="A1101" s="4"/>
      <c r="B1101" s="4"/>
      <c r="C1101" s="4"/>
      <c r="D1101" s="4"/>
      <c r="E1101" s="4"/>
      <c r="F1101" s="4"/>
      <c r="G1101" s="4"/>
      <c r="H1101" s="4"/>
      <c r="I1101" s="4"/>
      <c r="K1101" s="4"/>
      <c r="L1101" s="4"/>
      <c r="M1101" s="80"/>
      <c r="N1101" s="80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 spans="1:30" ht="15.75">
      <c r="A1102" s="4"/>
      <c r="B1102" s="4"/>
      <c r="C1102" s="4"/>
      <c r="D1102" s="4"/>
      <c r="E1102" s="4"/>
      <c r="F1102" s="4"/>
      <c r="G1102" s="4"/>
      <c r="H1102" s="4"/>
      <c r="I1102" s="4"/>
      <c r="K1102" s="4"/>
      <c r="L1102" s="4"/>
      <c r="M1102" s="80"/>
      <c r="N1102" s="80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 spans="1:30" ht="15.75">
      <c r="A1103" s="4"/>
      <c r="B1103" s="4"/>
      <c r="C1103" s="4"/>
      <c r="D1103" s="4"/>
      <c r="E1103" s="4"/>
      <c r="F1103" s="4"/>
      <c r="G1103" s="4"/>
      <c r="H1103" s="4"/>
      <c r="I1103" s="4"/>
      <c r="K1103" s="4"/>
      <c r="L1103" s="4"/>
      <c r="M1103" s="80"/>
      <c r="N1103" s="80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 spans="1:30" ht="15.75">
      <c r="A1104" s="4"/>
      <c r="B1104" s="4"/>
      <c r="C1104" s="4"/>
      <c r="D1104" s="4"/>
      <c r="E1104" s="4"/>
      <c r="F1104" s="4"/>
      <c r="G1104" s="4"/>
      <c r="H1104" s="4"/>
      <c r="I1104" s="4"/>
      <c r="K1104" s="4"/>
      <c r="L1104" s="4"/>
      <c r="M1104" s="80"/>
      <c r="N1104" s="80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 spans="1:30" ht="15.75">
      <c r="A1105" s="4"/>
      <c r="B1105" s="4"/>
      <c r="C1105" s="4"/>
      <c r="D1105" s="4"/>
      <c r="E1105" s="4"/>
      <c r="F1105" s="4"/>
      <c r="G1105" s="4"/>
      <c r="H1105" s="4"/>
      <c r="I1105" s="4"/>
      <c r="K1105" s="4"/>
      <c r="L1105" s="4"/>
      <c r="M1105" s="80"/>
      <c r="N1105" s="80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 spans="1:30" ht="15.75">
      <c r="A1106" s="4"/>
      <c r="B1106" s="4"/>
      <c r="C1106" s="4"/>
      <c r="D1106" s="4"/>
      <c r="E1106" s="4"/>
      <c r="F1106" s="4"/>
      <c r="G1106" s="4"/>
      <c r="H1106" s="4"/>
      <c r="I1106" s="4"/>
      <c r="K1106" s="4"/>
      <c r="L1106" s="4"/>
      <c r="M1106" s="80"/>
      <c r="N1106" s="80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 spans="1:30" ht="15.75">
      <c r="A1107" s="4"/>
      <c r="B1107" s="4"/>
      <c r="C1107" s="4"/>
      <c r="D1107" s="4"/>
      <c r="E1107" s="4"/>
      <c r="F1107" s="4"/>
      <c r="G1107" s="4"/>
      <c r="H1107" s="4"/>
      <c r="I1107" s="4"/>
      <c r="K1107" s="4"/>
      <c r="L1107" s="4"/>
      <c r="M1107" s="80"/>
      <c r="N1107" s="80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spans="1:30" ht="15.75">
      <c r="A1108" s="4"/>
      <c r="B1108" s="4"/>
      <c r="C1108" s="4"/>
      <c r="D1108" s="4"/>
      <c r="E1108" s="4"/>
      <c r="F1108" s="4"/>
      <c r="G1108" s="4"/>
      <c r="H1108" s="4"/>
      <c r="I1108" s="4"/>
      <c r="K1108" s="4"/>
      <c r="L1108" s="4"/>
      <c r="M1108" s="80"/>
      <c r="N1108" s="80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 spans="1:30" ht="15.75">
      <c r="A1109" s="4"/>
      <c r="B1109" s="4"/>
      <c r="C1109" s="4"/>
      <c r="D1109" s="4"/>
      <c r="E1109" s="4"/>
      <c r="F1109" s="4"/>
      <c r="G1109" s="4"/>
      <c r="H1109" s="4"/>
      <c r="I1109" s="4"/>
      <c r="K1109" s="4"/>
      <c r="L1109" s="4"/>
      <c r="M1109" s="80"/>
      <c r="N1109" s="80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 spans="1:30" ht="15.75">
      <c r="A1110" s="4"/>
      <c r="B1110" s="4"/>
      <c r="C1110" s="4"/>
      <c r="D1110" s="4"/>
      <c r="E1110" s="4"/>
      <c r="F1110" s="4"/>
      <c r="G1110" s="4"/>
      <c r="H1110" s="4"/>
      <c r="I1110" s="4"/>
      <c r="K1110" s="4"/>
      <c r="L1110" s="4"/>
      <c r="M1110" s="80"/>
      <c r="N1110" s="80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 spans="1:30" ht="15.75">
      <c r="A1111" s="4"/>
      <c r="B1111" s="4"/>
      <c r="C1111" s="4"/>
      <c r="D1111" s="4"/>
      <c r="E1111" s="4"/>
      <c r="F1111" s="4"/>
      <c r="G1111" s="4"/>
      <c r="H1111" s="4"/>
      <c r="I1111" s="4"/>
      <c r="K1111" s="4"/>
      <c r="L1111" s="4"/>
      <c r="M1111" s="80"/>
      <c r="N1111" s="80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spans="1:30" ht="15.75">
      <c r="A1112" s="4"/>
      <c r="B1112" s="4"/>
      <c r="C1112" s="4"/>
      <c r="D1112" s="4"/>
      <c r="E1112" s="4"/>
      <c r="F1112" s="4"/>
      <c r="G1112" s="4"/>
      <c r="H1112" s="4"/>
      <c r="I1112" s="4"/>
      <c r="K1112" s="4"/>
      <c r="L1112" s="4"/>
      <c r="M1112" s="80"/>
      <c r="N1112" s="80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  <row r="1113" spans="1:30" ht="15.75">
      <c r="A1113" s="4"/>
      <c r="B1113" s="4"/>
      <c r="C1113" s="4"/>
      <c r="D1113" s="4"/>
      <c r="E1113" s="4"/>
      <c r="F1113" s="4"/>
      <c r="G1113" s="4"/>
      <c r="H1113" s="4"/>
      <c r="I1113" s="4"/>
      <c r="K1113" s="4"/>
      <c r="L1113" s="4"/>
      <c r="M1113" s="80"/>
      <c r="N1113" s="80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</row>
    <row r="1114" spans="1:30" ht="15.75">
      <c r="A1114" s="4"/>
      <c r="B1114" s="4"/>
      <c r="C1114" s="4"/>
      <c r="D1114" s="4"/>
      <c r="E1114" s="4"/>
      <c r="F1114" s="4"/>
      <c r="G1114" s="4"/>
      <c r="H1114" s="4"/>
      <c r="I1114" s="4"/>
      <c r="K1114" s="4"/>
      <c r="L1114" s="4"/>
      <c r="M1114" s="80"/>
      <c r="N1114" s="80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</row>
    <row r="1115" spans="1:30" ht="15.75">
      <c r="A1115" s="4"/>
      <c r="B1115" s="4"/>
      <c r="C1115" s="4"/>
      <c r="D1115" s="4"/>
      <c r="E1115" s="4"/>
      <c r="F1115" s="4"/>
      <c r="G1115" s="4"/>
      <c r="H1115" s="4"/>
      <c r="I1115" s="4"/>
      <c r="K1115" s="4"/>
      <c r="L1115" s="4"/>
      <c r="M1115" s="80"/>
      <c r="N1115" s="80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spans="1:30" ht="15.75">
      <c r="A1116" s="4"/>
      <c r="B1116" s="4"/>
      <c r="C1116" s="4"/>
      <c r="D1116" s="4"/>
      <c r="E1116" s="4"/>
      <c r="F1116" s="4"/>
      <c r="G1116" s="4"/>
      <c r="H1116" s="4"/>
      <c r="I1116" s="4"/>
      <c r="K1116" s="4"/>
      <c r="L1116" s="4"/>
      <c r="M1116" s="80"/>
      <c r="N1116" s="80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</row>
    <row r="1117" spans="1:30" ht="15.75">
      <c r="A1117" s="4"/>
      <c r="B1117" s="4"/>
      <c r="C1117" s="4"/>
      <c r="D1117" s="4"/>
      <c r="E1117" s="4"/>
      <c r="F1117" s="4"/>
      <c r="G1117" s="4"/>
      <c r="H1117" s="4"/>
      <c r="I1117" s="4"/>
      <c r="K1117" s="4"/>
      <c r="L1117" s="4"/>
      <c r="M1117" s="80"/>
      <c r="N1117" s="80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</row>
    <row r="1118" spans="1:30" ht="15.75">
      <c r="A1118" s="4"/>
      <c r="B1118" s="4"/>
      <c r="C1118" s="4"/>
      <c r="D1118" s="4"/>
      <c r="E1118" s="4"/>
      <c r="F1118" s="4"/>
      <c r="G1118" s="4"/>
      <c r="H1118" s="4"/>
      <c r="I1118" s="4"/>
      <c r="K1118" s="4"/>
      <c r="L1118" s="4"/>
      <c r="M1118" s="80"/>
      <c r="N1118" s="80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</row>
    <row r="1119" spans="1:30" ht="15.75">
      <c r="A1119" s="4"/>
      <c r="B1119" s="4"/>
      <c r="C1119" s="4"/>
      <c r="D1119" s="4"/>
      <c r="E1119" s="4"/>
      <c r="F1119" s="4"/>
      <c r="G1119" s="4"/>
      <c r="H1119" s="4"/>
      <c r="I1119" s="4"/>
      <c r="K1119" s="4"/>
      <c r="L1119" s="4"/>
      <c r="M1119" s="80"/>
      <c r="N1119" s="80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</row>
    <row r="1120" spans="1:30" ht="15.75">
      <c r="A1120" s="4"/>
      <c r="B1120" s="4"/>
      <c r="C1120" s="4"/>
      <c r="D1120" s="4"/>
      <c r="E1120" s="4"/>
      <c r="F1120" s="4"/>
      <c r="G1120" s="4"/>
      <c r="H1120" s="4"/>
      <c r="I1120" s="4"/>
      <c r="K1120" s="4"/>
      <c r="L1120" s="4"/>
      <c r="M1120" s="80"/>
      <c r="N1120" s="80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</row>
    <row r="1121" spans="1:30" ht="15.75">
      <c r="A1121" s="4"/>
      <c r="B1121" s="4"/>
      <c r="C1121" s="4"/>
      <c r="D1121" s="4"/>
      <c r="E1121" s="4"/>
      <c r="F1121" s="4"/>
      <c r="G1121" s="4"/>
      <c r="H1121" s="4"/>
      <c r="I1121" s="4"/>
      <c r="K1121" s="4"/>
      <c r="L1121" s="4"/>
      <c r="M1121" s="80"/>
      <c r="N1121" s="80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</row>
    <row r="1122" spans="1:30" ht="15.75">
      <c r="A1122" s="4"/>
      <c r="B1122" s="4"/>
      <c r="C1122" s="4"/>
      <c r="D1122" s="4"/>
      <c r="E1122" s="4"/>
      <c r="F1122" s="4"/>
      <c r="G1122" s="4"/>
      <c r="H1122" s="4"/>
      <c r="I1122" s="4"/>
      <c r="K1122" s="4"/>
      <c r="L1122" s="4"/>
      <c r="M1122" s="80"/>
      <c r="N1122" s="80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</row>
    <row r="1123" spans="1:30" ht="15.75">
      <c r="A1123" s="4"/>
      <c r="B1123" s="4"/>
      <c r="C1123" s="4"/>
      <c r="D1123" s="4"/>
      <c r="E1123" s="4"/>
      <c r="F1123" s="4"/>
      <c r="G1123" s="4"/>
      <c r="H1123" s="4"/>
      <c r="I1123" s="4"/>
      <c r="K1123" s="4"/>
      <c r="L1123" s="4"/>
      <c r="M1123" s="80"/>
      <c r="N1123" s="80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</row>
    <row r="1124" spans="1:30" ht="15.75">
      <c r="A1124" s="4"/>
      <c r="B1124" s="4"/>
      <c r="C1124" s="4"/>
      <c r="D1124" s="4"/>
      <c r="E1124" s="4"/>
      <c r="F1124" s="4"/>
      <c r="G1124" s="4"/>
      <c r="H1124" s="4"/>
      <c r="I1124" s="4"/>
      <c r="K1124" s="4"/>
      <c r="L1124" s="4"/>
      <c r="M1124" s="80"/>
      <c r="N1124" s="80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</row>
    <row r="1125" spans="1:30" ht="15.75">
      <c r="A1125" s="4"/>
      <c r="B1125" s="4"/>
      <c r="C1125" s="4"/>
      <c r="D1125" s="4"/>
      <c r="E1125" s="4"/>
      <c r="F1125" s="4"/>
      <c r="G1125" s="4"/>
      <c r="H1125" s="4"/>
      <c r="I1125" s="4"/>
      <c r="K1125" s="4"/>
      <c r="L1125" s="4"/>
      <c r="M1125" s="80"/>
      <c r="N1125" s="80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 spans="1:30" ht="15.75">
      <c r="A1126" s="4"/>
      <c r="B1126" s="4"/>
      <c r="C1126" s="4"/>
      <c r="D1126" s="4"/>
      <c r="E1126" s="4"/>
      <c r="F1126" s="4"/>
      <c r="G1126" s="4"/>
      <c r="H1126" s="4"/>
      <c r="I1126" s="4"/>
      <c r="K1126" s="4"/>
      <c r="L1126" s="4"/>
      <c r="M1126" s="80"/>
      <c r="N1126" s="80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</row>
    <row r="1127" spans="1:30" ht="15.75">
      <c r="A1127" s="4"/>
      <c r="B1127" s="4"/>
      <c r="C1127" s="4"/>
      <c r="D1127" s="4"/>
      <c r="E1127" s="4"/>
      <c r="F1127" s="4"/>
      <c r="G1127" s="4"/>
      <c r="H1127" s="4"/>
      <c r="I1127" s="4"/>
      <c r="K1127" s="4"/>
      <c r="L1127" s="4"/>
      <c r="M1127" s="80"/>
      <c r="N1127" s="80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</row>
    <row r="1128" spans="1:30" ht="15.75">
      <c r="A1128" s="4"/>
      <c r="B1128" s="4"/>
      <c r="C1128" s="4"/>
      <c r="D1128" s="4"/>
      <c r="E1128" s="4"/>
      <c r="F1128" s="4"/>
      <c r="G1128" s="4"/>
      <c r="H1128" s="4"/>
      <c r="I1128" s="4"/>
      <c r="K1128" s="4"/>
      <c r="L1128" s="4"/>
      <c r="M1128" s="80"/>
      <c r="N1128" s="80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</row>
    <row r="1129" spans="1:30" ht="15.75">
      <c r="A1129" s="4"/>
      <c r="B1129" s="4"/>
      <c r="C1129" s="4"/>
      <c r="D1129" s="4"/>
      <c r="E1129" s="4"/>
      <c r="F1129" s="4"/>
      <c r="G1129" s="4"/>
      <c r="H1129" s="4"/>
      <c r="I1129" s="4"/>
      <c r="K1129" s="4"/>
      <c r="L1129" s="4"/>
      <c r="M1129" s="80"/>
      <c r="N1129" s="80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</row>
    <row r="1130" spans="1:30" ht="15.75">
      <c r="A1130" s="4"/>
      <c r="B1130" s="4"/>
      <c r="C1130" s="4"/>
      <c r="D1130" s="4"/>
      <c r="E1130" s="4"/>
      <c r="F1130" s="4"/>
      <c r="G1130" s="4"/>
      <c r="H1130" s="4"/>
      <c r="I1130" s="4"/>
      <c r="K1130" s="4"/>
      <c r="L1130" s="4"/>
      <c r="M1130" s="80"/>
      <c r="N1130" s="80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</row>
    <row r="1131" spans="1:30" ht="15.75">
      <c r="A1131" s="4"/>
      <c r="B1131" s="4"/>
      <c r="C1131" s="4"/>
      <c r="D1131" s="4"/>
      <c r="E1131" s="4"/>
      <c r="F1131" s="4"/>
      <c r="G1131" s="4"/>
      <c r="H1131" s="4"/>
      <c r="I1131" s="4"/>
      <c r="K1131" s="4"/>
      <c r="L1131" s="4"/>
      <c r="M1131" s="80"/>
      <c r="N1131" s="80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</row>
    <row r="1132" spans="1:30" ht="15.75">
      <c r="A1132" s="4"/>
      <c r="B1132" s="4"/>
      <c r="C1132" s="4"/>
      <c r="D1132" s="4"/>
      <c r="E1132" s="4"/>
      <c r="F1132" s="4"/>
      <c r="G1132" s="4"/>
      <c r="H1132" s="4"/>
      <c r="I1132" s="4"/>
      <c r="K1132" s="4"/>
      <c r="L1132" s="4"/>
      <c r="M1132" s="80"/>
      <c r="N1132" s="80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</row>
    <row r="1133" spans="1:30" ht="15.75">
      <c r="A1133" s="4"/>
      <c r="B1133" s="4"/>
      <c r="C1133" s="4"/>
      <c r="D1133" s="4"/>
      <c r="E1133" s="4"/>
      <c r="F1133" s="4"/>
      <c r="G1133" s="4"/>
      <c r="H1133" s="4"/>
      <c r="I1133" s="4"/>
      <c r="K1133" s="4"/>
      <c r="L1133" s="4"/>
      <c r="M1133" s="80"/>
      <c r="N1133" s="80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</row>
    <row r="1134" spans="1:30" ht="15.75">
      <c r="A1134" s="4"/>
      <c r="B1134" s="4"/>
      <c r="C1134" s="4"/>
      <c r="D1134" s="4"/>
      <c r="E1134" s="4"/>
      <c r="F1134" s="4"/>
      <c r="G1134" s="4"/>
      <c r="H1134" s="4"/>
      <c r="I1134" s="4"/>
      <c r="K1134" s="4"/>
      <c r="L1134" s="4"/>
      <c r="M1134" s="80"/>
      <c r="N1134" s="80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</row>
    <row r="1135" spans="1:30" ht="15.75">
      <c r="A1135" s="4"/>
      <c r="B1135" s="4"/>
      <c r="C1135" s="4"/>
      <c r="D1135" s="4"/>
      <c r="E1135" s="4"/>
      <c r="F1135" s="4"/>
      <c r="G1135" s="4"/>
      <c r="H1135" s="4"/>
      <c r="I1135" s="4"/>
      <c r="K1135" s="4"/>
      <c r="L1135" s="4"/>
      <c r="M1135" s="80"/>
      <c r="N1135" s="80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</row>
    <row r="1136" spans="1:30" ht="15.75">
      <c r="A1136" s="4"/>
      <c r="B1136" s="4"/>
      <c r="C1136" s="4"/>
      <c r="D1136" s="4"/>
      <c r="E1136" s="4"/>
      <c r="F1136" s="4"/>
      <c r="G1136" s="4"/>
      <c r="H1136" s="4"/>
      <c r="I1136" s="4"/>
      <c r="K1136" s="4"/>
      <c r="L1136" s="4"/>
      <c r="M1136" s="80"/>
      <c r="N1136" s="80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 spans="1:30" ht="15.75">
      <c r="A1137" s="4"/>
      <c r="B1137" s="4"/>
      <c r="C1137" s="4"/>
      <c r="D1137" s="4"/>
      <c r="E1137" s="4"/>
      <c r="F1137" s="4"/>
      <c r="G1137" s="4"/>
      <c r="H1137" s="4"/>
      <c r="I1137" s="4"/>
      <c r="K1137" s="4"/>
      <c r="L1137" s="4"/>
      <c r="M1137" s="80"/>
      <c r="N1137" s="80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</row>
    <row r="1138" spans="1:30" ht="15.75">
      <c r="A1138" s="4"/>
      <c r="B1138" s="4"/>
      <c r="C1138" s="4"/>
      <c r="D1138" s="4"/>
      <c r="E1138" s="4"/>
      <c r="F1138" s="4"/>
      <c r="G1138" s="4"/>
      <c r="H1138" s="4"/>
      <c r="I1138" s="4"/>
      <c r="K1138" s="4"/>
      <c r="L1138" s="4"/>
      <c r="M1138" s="80"/>
      <c r="N1138" s="80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</row>
    <row r="1139" spans="1:30" ht="15.75">
      <c r="A1139" s="4"/>
      <c r="B1139" s="4"/>
      <c r="C1139" s="4"/>
      <c r="D1139" s="4"/>
      <c r="E1139" s="4"/>
      <c r="F1139" s="4"/>
      <c r="G1139" s="4"/>
      <c r="H1139" s="4"/>
      <c r="I1139" s="4"/>
      <c r="K1139" s="4"/>
      <c r="L1139" s="4"/>
      <c r="M1139" s="80"/>
      <c r="N1139" s="80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</row>
    <row r="1140" spans="1:30" ht="15.75">
      <c r="A1140" s="4"/>
      <c r="B1140" s="4"/>
      <c r="C1140" s="4"/>
      <c r="D1140" s="4"/>
      <c r="E1140" s="4"/>
      <c r="F1140" s="4"/>
      <c r="G1140" s="4"/>
      <c r="H1140" s="4"/>
      <c r="I1140" s="4"/>
      <c r="K1140" s="4"/>
      <c r="L1140" s="4"/>
      <c r="M1140" s="80"/>
      <c r="N1140" s="80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 spans="1:30" ht="15.75">
      <c r="A1141" s="4"/>
      <c r="B1141" s="4"/>
      <c r="C1141" s="4"/>
      <c r="D1141" s="4"/>
      <c r="E1141" s="4"/>
      <c r="F1141" s="4"/>
      <c r="G1141" s="4"/>
      <c r="H1141" s="4"/>
      <c r="I1141" s="4"/>
      <c r="K1141" s="4"/>
      <c r="L1141" s="4"/>
      <c r="M1141" s="80"/>
      <c r="N1141" s="80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</row>
    <row r="1142" spans="1:30" ht="15.75">
      <c r="A1142" s="4"/>
      <c r="B1142" s="4"/>
      <c r="C1142" s="4"/>
      <c r="D1142" s="4"/>
      <c r="E1142" s="4"/>
      <c r="F1142" s="4"/>
      <c r="G1142" s="4"/>
      <c r="H1142" s="4"/>
      <c r="I1142" s="4"/>
      <c r="K1142" s="4"/>
      <c r="L1142" s="4"/>
      <c r="M1142" s="80"/>
      <c r="N1142" s="80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</row>
    <row r="1143" spans="1:30" ht="15.75">
      <c r="A1143" s="4"/>
      <c r="B1143" s="4"/>
      <c r="C1143" s="4"/>
      <c r="D1143" s="4"/>
      <c r="E1143" s="4"/>
      <c r="F1143" s="4"/>
      <c r="G1143" s="4"/>
      <c r="H1143" s="4"/>
      <c r="I1143" s="4"/>
      <c r="K1143" s="4"/>
      <c r="L1143" s="4"/>
      <c r="M1143" s="80"/>
      <c r="N1143" s="80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</row>
    <row r="1144" spans="1:30" ht="15.75">
      <c r="A1144" s="4"/>
      <c r="B1144" s="4"/>
      <c r="C1144" s="4"/>
      <c r="D1144" s="4"/>
      <c r="E1144" s="4"/>
      <c r="F1144" s="4"/>
      <c r="G1144" s="4"/>
      <c r="H1144" s="4"/>
      <c r="I1144" s="4"/>
      <c r="K1144" s="4"/>
      <c r="L1144" s="4"/>
      <c r="M1144" s="80"/>
      <c r="N1144" s="80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 spans="1:30" ht="15.75">
      <c r="A1145" s="4"/>
      <c r="B1145" s="4"/>
      <c r="C1145" s="4"/>
      <c r="D1145" s="4"/>
      <c r="E1145" s="4"/>
      <c r="F1145" s="4"/>
      <c r="G1145" s="4"/>
      <c r="H1145" s="4"/>
      <c r="I1145" s="4"/>
      <c r="K1145" s="4"/>
      <c r="L1145" s="4"/>
      <c r="M1145" s="80"/>
      <c r="N1145" s="80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</row>
    <row r="1146" spans="1:30" ht="15.75">
      <c r="A1146" s="4"/>
      <c r="B1146" s="4"/>
      <c r="C1146" s="4"/>
      <c r="D1146" s="4"/>
      <c r="E1146" s="4"/>
      <c r="F1146" s="4"/>
      <c r="G1146" s="4"/>
      <c r="H1146" s="4"/>
      <c r="I1146" s="4"/>
      <c r="K1146" s="4"/>
      <c r="L1146" s="4"/>
      <c r="M1146" s="80"/>
      <c r="N1146" s="80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</row>
    <row r="1147" spans="1:30" ht="15.75">
      <c r="A1147" s="4"/>
      <c r="B1147" s="4"/>
      <c r="C1147" s="4"/>
      <c r="D1147" s="4"/>
      <c r="E1147" s="4"/>
      <c r="F1147" s="4"/>
      <c r="G1147" s="4"/>
      <c r="H1147" s="4"/>
      <c r="I1147" s="4"/>
      <c r="K1147" s="4"/>
      <c r="L1147" s="4"/>
      <c r="M1147" s="80"/>
      <c r="N1147" s="80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</row>
    <row r="1148" spans="1:30" ht="15.75">
      <c r="A1148" s="4"/>
      <c r="B1148" s="4"/>
      <c r="C1148" s="4"/>
      <c r="D1148" s="4"/>
      <c r="E1148" s="4"/>
      <c r="F1148" s="4"/>
      <c r="G1148" s="4"/>
      <c r="H1148" s="4"/>
      <c r="I1148" s="4"/>
      <c r="K1148" s="4"/>
      <c r="L1148" s="4"/>
      <c r="M1148" s="80"/>
      <c r="N1148" s="80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</row>
    <row r="1149" spans="1:30" ht="15.75">
      <c r="A1149" s="4"/>
      <c r="B1149" s="4"/>
      <c r="C1149" s="4"/>
      <c r="D1149" s="4"/>
      <c r="E1149" s="4"/>
      <c r="F1149" s="4"/>
      <c r="G1149" s="4"/>
      <c r="H1149" s="4"/>
      <c r="I1149" s="4"/>
      <c r="K1149" s="4"/>
      <c r="L1149" s="4"/>
      <c r="M1149" s="80"/>
      <c r="N1149" s="80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</row>
    <row r="1150" spans="1:30" ht="15.75">
      <c r="A1150" s="4"/>
      <c r="B1150" s="4"/>
      <c r="C1150" s="4"/>
      <c r="D1150" s="4"/>
      <c r="E1150" s="4"/>
      <c r="F1150" s="4"/>
      <c r="G1150" s="4"/>
      <c r="H1150" s="4"/>
      <c r="I1150" s="4"/>
      <c r="K1150" s="4"/>
      <c r="L1150" s="4"/>
      <c r="M1150" s="80"/>
      <c r="N1150" s="80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</row>
    <row r="1151" spans="1:30" ht="15.75">
      <c r="A1151" s="4"/>
      <c r="B1151" s="4"/>
      <c r="C1151" s="4"/>
      <c r="D1151" s="4"/>
      <c r="E1151" s="4"/>
      <c r="F1151" s="4"/>
      <c r="G1151" s="4"/>
      <c r="H1151" s="4"/>
      <c r="I1151" s="4"/>
      <c r="K1151" s="4"/>
      <c r="L1151" s="4"/>
      <c r="M1151" s="80"/>
      <c r="N1151" s="80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</row>
    <row r="1152" spans="1:30" ht="15.75">
      <c r="A1152" s="4"/>
      <c r="B1152" s="4"/>
      <c r="C1152" s="4"/>
      <c r="D1152" s="4"/>
      <c r="E1152" s="4"/>
      <c r="F1152" s="4"/>
      <c r="G1152" s="4"/>
      <c r="H1152" s="4"/>
      <c r="I1152" s="4"/>
      <c r="K1152" s="4"/>
      <c r="L1152" s="4"/>
      <c r="M1152" s="80"/>
      <c r="N1152" s="80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 spans="1:30" ht="15.75">
      <c r="A1153" s="4"/>
      <c r="B1153" s="4"/>
      <c r="C1153" s="4"/>
      <c r="D1153" s="4"/>
      <c r="E1153" s="4"/>
      <c r="F1153" s="4"/>
      <c r="G1153" s="4"/>
      <c r="H1153" s="4"/>
      <c r="I1153" s="4"/>
      <c r="K1153" s="4"/>
      <c r="L1153" s="4"/>
      <c r="M1153" s="80"/>
      <c r="N1153" s="80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</row>
    <row r="1154" spans="1:30" ht="15.75">
      <c r="A1154" s="4"/>
      <c r="B1154" s="4"/>
      <c r="C1154" s="4"/>
      <c r="D1154" s="4"/>
      <c r="E1154" s="4"/>
      <c r="F1154" s="4"/>
      <c r="G1154" s="4"/>
      <c r="H1154" s="4"/>
      <c r="I1154" s="4"/>
      <c r="K1154" s="4"/>
      <c r="L1154" s="4"/>
      <c r="M1154" s="80"/>
      <c r="N1154" s="80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</row>
    <row r="1155" spans="1:30" ht="15.75">
      <c r="A1155" s="4"/>
      <c r="B1155" s="4"/>
      <c r="C1155" s="4"/>
      <c r="D1155" s="4"/>
      <c r="E1155" s="4"/>
      <c r="F1155" s="4"/>
      <c r="G1155" s="4"/>
      <c r="H1155" s="4"/>
      <c r="I1155" s="4"/>
      <c r="K1155" s="4"/>
      <c r="L1155" s="4"/>
      <c r="M1155" s="80"/>
      <c r="N1155" s="80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</row>
    <row r="1156" spans="1:30" ht="15.75">
      <c r="A1156" s="4"/>
      <c r="B1156" s="4"/>
      <c r="C1156" s="4"/>
      <c r="D1156" s="4"/>
      <c r="E1156" s="4"/>
      <c r="F1156" s="4"/>
      <c r="G1156" s="4"/>
      <c r="H1156" s="4"/>
      <c r="I1156" s="4"/>
      <c r="K1156" s="4"/>
      <c r="L1156" s="4"/>
      <c r="M1156" s="80"/>
      <c r="N1156" s="80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</row>
    <row r="1157" spans="1:30" ht="15.75">
      <c r="A1157" s="4"/>
      <c r="B1157" s="4"/>
      <c r="C1157" s="4"/>
      <c r="D1157" s="4"/>
      <c r="E1157" s="4"/>
      <c r="F1157" s="4"/>
      <c r="G1157" s="4"/>
      <c r="H1157" s="4"/>
      <c r="I1157" s="4"/>
      <c r="K1157" s="4"/>
      <c r="L1157" s="4"/>
      <c r="M1157" s="80"/>
      <c r="N1157" s="80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 spans="1:30" ht="15.75">
      <c r="A1158" s="4"/>
      <c r="B1158" s="4"/>
      <c r="C1158" s="4"/>
      <c r="D1158" s="4"/>
      <c r="E1158" s="4"/>
      <c r="F1158" s="4"/>
      <c r="G1158" s="4"/>
      <c r="H1158" s="4"/>
      <c r="I1158" s="4"/>
      <c r="K1158" s="4"/>
      <c r="L1158" s="4"/>
      <c r="M1158" s="80"/>
      <c r="N1158" s="80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spans="1:30" ht="15.75">
      <c r="A1159" s="4"/>
      <c r="B1159" s="4"/>
      <c r="C1159" s="4"/>
      <c r="D1159" s="4"/>
      <c r="E1159" s="4"/>
      <c r="F1159" s="4"/>
      <c r="G1159" s="4"/>
      <c r="H1159" s="4"/>
      <c r="I1159" s="4"/>
      <c r="K1159" s="4"/>
      <c r="L1159" s="4"/>
      <c r="M1159" s="80"/>
      <c r="N1159" s="80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 spans="1:30" ht="15.75">
      <c r="A1160" s="4"/>
      <c r="B1160" s="4"/>
      <c r="C1160" s="4"/>
      <c r="D1160" s="4"/>
      <c r="E1160" s="4"/>
      <c r="F1160" s="4"/>
      <c r="G1160" s="4"/>
      <c r="H1160" s="4"/>
      <c r="I1160" s="4"/>
      <c r="K1160" s="4"/>
      <c r="L1160" s="4"/>
      <c r="M1160" s="80"/>
      <c r="N1160" s="80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spans="1:30" ht="15.75">
      <c r="A1161" s="4"/>
      <c r="B1161" s="4"/>
      <c r="C1161" s="4"/>
      <c r="D1161" s="4"/>
      <c r="E1161" s="4"/>
      <c r="F1161" s="4"/>
      <c r="G1161" s="4"/>
      <c r="H1161" s="4"/>
      <c r="I1161" s="4"/>
      <c r="K1161" s="4"/>
      <c r="L1161" s="4"/>
      <c r="M1161" s="80"/>
      <c r="N1161" s="80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</row>
    <row r="1162" spans="1:30" ht="15.75">
      <c r="A1162" s="4"/>
      <c r="B1162" s="4"/>
      <c r="C1162" s="4"/>
      <c r="D1162" s="4"/>
      <c r="E1162" s="4"/>
      <c r="F1162" s="4"/>
      <c r="G1162" s="4"/>
      <c r="H1162" s="4"/>
      <c r="I1162" s="4"/>
      <c r="K1162" s="4"/>
      <c r="L1162" s="4"/>
      <c r="M1162" s="80"/>
      <c r="N1162" s="80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</row>
    <row r="1163" spans="1:30" ht="15.75">
      <c r="A1163" s="4"/>
      <c r="B1163" s="4"/>
      <c r="C1163" s="4"/>
      <c r="D1163" s="4"/>
      <c r="E1163" s="4"/>
      <c r="F1163" s="4"/>
      <c r="G1163" s="4"/>
      <c r="H1163" s="4"/>
      <c r="I1163" s="4"/>
      <c r="K1163" s="4"/>
      <c r="L1163" s="4"/>
      <c r="M1163" s="80"/>
      <c r="N1163" s="80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</row>
    <row r="1164" spans="1:30" ht="15.75">
      <c r="A1164" s="4"/>
      <c r="B1164" s="4"/>
      <c r="C1164" s="4"/>
      <c r="D1164" s="4"/>
      <c r="E1164" s="4"/>
      <c r="F1164" s="4"/>
      <c r="G1164" s="4"/>
      <c r="H1164" s="4"/>
      <c r="I1164" s="4"/>
      <c r="K1164" s="4"/>
      <c r="L1164" s="4"/>
      <c r="M1164" s="80"/>
      <c r="N1164" s="80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 spans="1:30" ht="15.75">
      <c r="A1165" s="4"/>
      <c r="B1165" s="4"/>
      <c r="C1165" s="4"/>
      <c r="D1165" s="4"/>
      <c r="E1165" s="4"/>
      <c r="F1165" s="4"/>
      <c r="G1165" s="4"/>
      <c r="H1165" s="4"/>
      <c r="I1165" s="4"/>
      <c r="K1165" s="4"/>
      <c r="L1165" s="4"/>
      <c r="M1165" s="80"/>
      <c r="N1165" s="80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</row>
    <row r="1166" spans="1:30" ht="15.75">
      <c r="A1166" s="4"/>
      <c r="B1166" s="4"/>
      <c r="C1166" s="4"/>
      <c r="D1166" s="4"/>
      <c r="E1166" s="4"/>
      <c r="F1166" s="4"/>
      <c r="G1166" s="4"/>
      <c r="H1166" s="4"/>
      <c r="I1166" s="4"/>
      <c r="K1166" s="4"/>
      <c r="L1166" s="4"/>
      <c r="M1166" s="80"/>
      <c r="N1166" s="80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 spans="1:30" ht="15.75">
      <c r="A1167" s="4"/>
      <c r="B1167" s="4"/>
      <c r="C1167" s="4"/>
      <c r="D1167" s="4"/>
      <c r="E1167" s="4"/>
      <c r="F1167" s="4"/>
      <c r="G1167" s="4"/>
      <c r="H1167" s="4"/>
      <c r="I1167" s="4"/>
      <c r="K1167" s="4"/>
      <c r="L1167" s="4"/>
      <c r="M1167" s="80"/>
      <c r="N1167" s="80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</row>
    <row r="1168" spans="1:30" ht="15.75">
      <c r="A1168" s="4"/>
      <c r="B1168" s="4"/>
      <c r="C1168" s="4"/>
      <c r="D1168" s="4"/>
      <c r="E1168" s="4"/>
      <c r="F1168" s="4"/>
      <c r="G1168" s="4"/>
      <c r="H1168" s="4"/>
      <c r="I1168" s="4"/>
      <c r="K1168" s="4"/>
      <c r="L1168" s="4"/>
      <c r="M1168" s="80"/>
      <c r="N1168" s="80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 spans="1:30" ht="15.75">
      <c r="A1169" s="4"/>
      <c r="B1169" s="4"/>
      <c r="C1169" s="4"/>
      <c r="D1169" s="4"/>
      <c r="E1169" s="4"/>
      <c r="F1169" s="4"/>
      <c r="G1169" s="4"/>
      <c r="H1169" s="4"/>
      <c r="I1169" s="4"/>
      <c r="K1169" s="4"/>
      <c r="L1169" s="4"/>
      <c r="M1169" s="80"/>
      <c r="N1169" s="80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</row>
    <row r="1170" spans="1:30" ht="15.75">
      <c r="A1170" s="4"/>
      <c r="B1170" s="4"/>
      <c r="C1170" s="4"/>
      <c r="D1170" s="4"/>
      <c r="E1170" s="4"/>
      <c r="F1170" s="4"/>
      <c r="G1170" s="4"/>
      <c r="H1170" s="4"/>
      <c r="I1170" s="4"/>
      <c r="K1170" s="4"/>
      <c r="L1170" s="4"/>
      <c r="M1170" s="80"/>
      <c r="N1170" s="80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</row>
    <row r="1171" spans="1:30" ht="15.75">
      <c r="A1171" s="4"/>
      <c r="B1171" s="4"/>
      <c r="C1171" s="4"/>
      <c r="D1171" s="4"/>
      <c r="E1171" s="4"/>
      <c r="F1171" s="4"/>
      <c r="G1171" s="4"/>
      <c r="H1171" s="4"/>
      <c r="I1171" s="4"/>
      <c r="K1171" s="4"/>
      <c r="L1171" s="4"/>
      <c r="M1171" s="80"/>
      <c r="N1171" s="80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</row>
    <row r="1172" spans="1:30" ht="15.75">
      <c r="A1172" s="4"/>
      <c r="B1172" s="4"/>
      <c r="C1172" s="4"/>
      <c r="D1172" s="4"/>
      <c r="E1172" s="4"/>
      <c r="F1172" s="4"/>
      <c r="G1172" s="4"/>
      <c r="H1172" s="4"/>
      <c r="I1172" s="4"/>
      <c r="K1172" s="4"/>
      <c r="L1172" s="4"/>
      <c r="M1172" s="80"/>
      <c r="N1172" s="80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</row>
    <row r="1173" spans="1:30" ht="15.75">
      <c r="A1173" s="4"/>
      <c r="B1173" s="4"/>
      <c r="C1173" s="4"/>
      <c r="D1173" s="4"/>
      <c r="E1173" s="4"/>
      <c r="F1173" s="4"/>
      <c r="G1173" s="4"/>
      <c r="H1173" s="4"/>
      <c r="I1173" s="4"/>
      <c r="K1173" s="4"/>
      <c r="L1173" s="4"/>
      <c r="M1173" s="80"/>
      <c r="N1173" s="80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</row>
    <row r="1174" spans="1:30" ht="15.75">
      <c r="A1174" s="4"/>
      <c r="B1174" s="4"/>
      <c r="C1174" s="4"/>
      <c r="D1174" s="4"/>
      <c r="E1174" s="4"/>
      <c r="F1174" s="4"/>
      <c r="G1174" s="4"/>
      <c r="H1174" s="4"/>
      <c r="I1174" s="4"/>
      <c r="K1174" s="4"/>
      <c r="L1174" s="4"/>
      <c r="M1174" s="80"/>
      <c r="N1174" s="80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</row>
    <row r="1175" spans="1:30" ht="15.75">
      <c r="A1175" s="4"/>
      <c r="B1175" s="4"/>
      <c r="C1175" s="4"/>
      <c r="D1175" s="4"/>
      <c r="E1175" s="4"/>
      <c r="F1175" s="4"/>
      <c r="G1175" s="4"/>
      <c r="H1175" s="4"/>
      <c r="I1175" s="4"/>
      <c r="K1175" s="4"/>
      <c r="L1175" s="4"/>
      <c r="M1175" s="80"/>
      <c r="N1175" s="80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</row>
    <row r="1176" spans="1:30" ht="15.75">
      <c r="A1176" s="4"/>
      <c r="B1176" s="4"/>
      <c r="C1176" s="4"/>
      <c r="D1176" s="4"/>
      <c r="E1176" s="4"/>
      <c r="F1176" s="4"/>
      <c r="G1176" s="4"/>
      <c r="H1176" s="4"/>
      <c r="I1176" s="4"/>
      <c r="K1176" s="4"/>
      <c r="L1176" s="4"/>
      <c r="M1176" s="80"/>
      <c r="N1176" s="80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</row>
    <row r="1177" spans="1:30" ht="15.75">
      <c r="A1177" s="4"/>
      <c r="B1177" s="4"/>
      <c r="C1177" s="4"/>
      <c r="D1177" s="4"/>
      <c r="E1177" s="4"/>
      <c r="F1177" s="4"/>
      <c r="G1177" s="4"/>
      <c r="H1177" s="4"/>
      <c r="I1177" s="4"/>
      <c r="K1177" s="4"/>
      <c r="L1177" s="4"/>
      <c r="M1177" s="80"/>
      <c r="N1177" s="80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</row>
    <row r="1178" spans="1:30" ht="15.75">
      <c r="A1178" s="4"/>
      <c r="B1178" s="4"/>
      <c r="C1178" s="4"/>
      <c r="D1178" s="4"/>
      <c r="E1178" s="4"/>
      <c r="F1178" s="4"/>
      <c r="G1178" s="4"/>
      <c r="H1178" s="4"/>
      <c r="I1178" s="4"/>
      <c r="K1178" s="4"/>
      <c r="L1178" s="4"/>
      <c r="M1178" s="80"/>
      <c r="N1178" s="80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</row>
    <row r="1179" spans="1:30" ht="15.75">
      <c r="A1179" s="4"/>
      <c r="B1179" s="4"/>
      <c r="C1179" s="4"/>
      <c r="D1179" s="4"/>
      <c r="E1179" s="4"/>
      <c r="F1179" s="4"/>
      <c r="G1179" s="4"/>
      <c r="H1179" s="4"/>
      <c r="I1179" s="4"/>
      <c r="K1179" s="4"/>
      <c r="L1179" s="4"/>
      <c r="M1179" s="80"/>
      <c r="N1179" s="80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</row>
    <row r="1180" spans="1:30" ht="15.75">
      <c r="A1180" s="4"/>
      <c r="B1180" s="4"/>
      <c r="C1180" s="4"/>
      <c r="D1180" s="4"/>
      <c r="E1180" s="4"/>
      <c r="F1180" s="4"/>
      <c r="G1180" s="4"/>
      <c r="H1180" s="4"/>
      <c r="I1180" s="4"/>
      <c r="K1180" s="4"/>
      <c r="L1180" s="4"/>
      <c r="M1180" s="80"/>
      <c r="N1180" s="80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</row>
    <row r="1181" spans="1:30" ht="15.75">
      <c r="A1181" s="4"/>
      <c r="B1181" s="4"/>
      <c r="C1181" s="4"/>
      <c r="D1181" s="4"/>
      <c r="E1181" s="4"/>
      <c r="F1181" s="4"/>
      <c r="G1181" s="4"/>
      <c r="H1181" s="4"/>
      <c r="I1181" s="4"/>
      <c r="K1181" s="4"/>
      <c r="L1181" s="4"/>
      <c r="M1181" s="80"/>
      <c r="N1181" s="80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</row>
    <row r="1182" spans="1:30" ht="15.75">
      <c r="A1182" s="4"/>
      <c r="B1182" s="4"/>
      <c r="C1182" s="4"/>
      <c r="D1182" s="4"/>
      <c r="E1182" s="4"/>
      <c r="F1182" s="4"/>
      <c r="G1182" s="4"/>
      <c r="H1182" s="4"/>
      <c r="I1182" s="4"/>
      <c r="K1182" s="4"/>
      <c r="L1182" s="4"/>
      <c r="M1182" s="80"/>
      <c r="N1182" s="80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</row>
    <row r="1183" spans="1:30" ht="15.75">
      <c r="A1183" s="4"/>
      <c r="B1183" s="4"/>
      <c r="C1183" s="4"/>
      <c r="D1183" s="4"/>
      <c r="E1183" s="4"/>
      <c r="F1183" s="4"/>
      <c r="G1183" s="4"/>
      <c r="H1183" s="4"/>
      <c r="I1183" s="4"/>
      <c r="K1183" s="4"/>
      <c r="L1183" s="4"/>
      <c r="M1183" s="80"/>
      <c r="N1183" s="80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</row>
    <row r="1184" spans="1:30" ht="15.75">
      <c r="A1184" s="4"/>
      <c r="B1184" s="4"/>
      <c r="C1184" s="4"/>
      <c r="D1184" s="4"/>
      <c r="E1184" s="4"/>
      <c r="F1184" s="4"/>
      <c r="G1184" s="4"/>
      <c r="H1184" s="4"/>
      <c r="I1184" s="4"/>
      <c r="K1184" s="4"/>
      <c r="L1184" s="4"/>
      <c r="M1184" s="80"/>
      <c r="N1184" s="80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 spans="1:30" ht="15.75">
      <c r="A1185" s="4"/>
      <c r="B1185" s="4"/>
      <c r="C1185" s="4"/>
      <c r="D1185" s="4"/>
      <c r="E1185" s="4"/>
      <c r="F1185" s="4"/>
      <c r="G1185" s="4"/>
      <c r="H1185" s="4"/>
      <c r="I1185" s="4"/>
      <c r="K1185" s="4"/>
      <c r="L1185" s="4"/>
      <c r="M1185" s="80"/>
      <c r="N1185" s="80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 spans="1:30" ht="15.75">
      <c r="A1186" s="4"/>
      <c r="B1186" s="4"/>
      <c r="C1186" s="4"/>
      <c r="D1186" s="4"/>
      <c r="E1186" s="4"/>
      <c r="F1186" s="4"/>
      <c r="G1186" s="4"/>
      <c r="H1186" s="4"/>
      <c r="I1186" s="4"/>
      <c r="K1186" s="4"/>
      <c r="L1186" s="4"/>
      <c r="M1186" s="80"/>
      <c r="N1186" s="80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</row>
    <row r="1187" spans="1:30" ht="15.75">
      <c r="A1187" s="4"/>
      <c r="B1187" s="4"/>
      <c r="C1187" s="4"/>
      <c r="D1187" s="4"/>
      <c r="E1187" s="4"/>
      <c r="F1187" s="4"/>
      <c r="G1187" s="4"/>
      <c r="H1187" s="4"/>
      <c r="I1187" s="4"/>
      <c r="K1187" s="4"/>
      <c r="L1187" s="4"/>
      <c r="M1187" s="80"/>
      <c r="N1187" s="80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 spans="1:30" ht="15.75">
      <c r="A1188" s="4"/>
      <c r="B1188" s="4"/>
      <c r="C1188" s="4"/>
      <c r="D1188" s="4"/>
      <c r="E1188" s="4"/>
      <c r="F1188" s="4"/>
      <c r="G1188" s="4"/>
      <c r="H1188" s="4"/>
      <c r="I1188" s="4"/>
      <c r="K1188" s="4"/>
      <c r="L1188" s="4"/>
      <c r="M1188" s="80"/>
      <c r="N1188" s="80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</row>
    <row r="1189" spans="1:30" ht="15.75">
      <c r="A1189" s="4"/>
      <c r="B1189" s="4"/>
      <c r="C1189" s="4"/>
      <c r="D1189" s="4"/>
      <c r="E1189" s="4"/>
      <c r="F1189" s="4"/>
      <c r="G1189" s="4"/>
      <c r="H1189" s="4"/>
      <c r="I1189" s="4"/>
      <c r="K1189" s="4"/>
      <c r="L1189" s="4"/>
      <c r="M1189" s="80"/>
      <c r="N1189" s="80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</row>
    <row r="1190" spans="1:30" ht="15.75">
      <c r="A1190" s="4"/>
      <c r="B1190" s="4"/>
      <c r="C1190" s="4"/>
      <c r="D1190" s="4"/>
      <c r="E1190" s="4"/>
      <c r="F1190" s="4"/>
      <c r="G1190" s="4"/>
      <c r="H1190" s="4"/>
      <c r="I1190" s="4"/>
      <c r="K1190" s="4"/>
      <c r="L1190" s="4"/>
      <c r="M1190" s="80"/>
      <c r="N1190" s="80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</row>
    <row r="1191" spans="1:30" ht="15.75">
      <c r="A1191" s="4"/>
      <c r="B1191" s="4"/>
      <c r="C1191" s="4"/>
      <c r="D1191" s="4"/>
      <c r="E1191" s="4"/>
      <c r="F1191" s="4"/>
      <c r="G1191" s="4"/>
      <c r="H1191" s="4"/>
      <c r="I1191" s="4"/>
      <c r="K1191" s="4"/>
      <c r="L1191" s="4"/>
      <c r="M1191" s="80"/>
      <c r="N1191" s="80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 spans="1:30" ht="15.75">
      <c r="A1192" s="4"/>
      <c r="B1192" s="4"/>
      <c r="C1192" s="4"/>
      <c r="D1192" s="4"/>
      <c r="E1192" s="4"/>
      <c r="F1192" s="4"/>
      <c r="G1192" s="4"/>
      <c r="H1192" s="4"/>
      <c r="I1192" s="4"/>
      <c r="K1192" s="4"/>
      <c r="L1192" s="4"/>
      <c r="M1192" s="80"/>
      <c r="N1192" s="80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</row>
    <row r="1193" spans="1:30" ht="15.75">
      <c r="A1193" s="4"/>
      <c r="B1193" s="4"/>
      <c r="C1193" s="4"/>
      <c r="D1193" s="4"/>
      <c r="E1193" s="4"/>
      <c r="F1193" s="4"/>
      <c r="G1193" s="4"/>
      <c r="H1193" s="4"/>
      <c r="I1193" s="4"/>
      <c r="K1193" s="4"/>
      <c r="L1193" s="4"/>
      <c r="M1193" s="80"/>
      <c r="N1193" s="80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 spans="1:30" ht="15.75">
      <c r="A1194" s="4"/>
      <c r="B1194" s="4"/>
      <c r="C1194" s="4"/>
      <c r="D1194" s="4"/>
      <c r="E1194" s="4"/>
      <c r="F1194" s="4"/>
      <c r="G1194" s="4"/>
      <c r="H1194" s="4"/>
      <c r="I1194" s="4"/>
      <c r="K1194" s="4"/>
      <c r="L1194" s="4"/>
      <c r="M1194" s="80"/>
      <c r="N1194" s="80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</row>
    <row r="1195" spans="1:30" ht="15.75">
      <c r="A1195" s="4"/>
      <c r="B1195" s="4"/>
      <c r="C1195" s="4"/>
      <c r="D1195" s="4"/>
      <c r="E1195" s="4"/>
      <c r="F1195" s="4"/>
      <c r="G1195" s="4"/>
      <c r="H1195" s="4"/>
      <c r="I1195" s="4"/>
      <c r="K1195" s="4"/>
      <c r="L1195" s="4"/>
      <c r="M1195" s="80"/>
      <c r="N1195" s="80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</row>
    <row r="1196" spans="1:30" ht="15.75">
      <c r="A1196" s="4"/>
      <c r="B1196" s="4"/>
      <c r="C1196" s="4"/>
      <c r="D1196" s="4"/>
      <c r="E1196" s="4"/>
      <c r="F1196" s="4"/>
      <c r="G1196" s="4"/>
      <c r="H1196" s="4"/>
      <c r="I1196" s="4"/>
      <c r="K1196" s="4"/>
      <c r="L1196" s="4"/>
      <c r="M1196" s="80"/>
      <c r="N1196" s="80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 spans="1:30" ht="15.75">
      <c r="A1197" s="4"/>
      <c r="B1197" s="4"/>
      <c r="C1197" s="4"/>
      <c r="D1197" s="4"/>
      <c r="E1197" s="4"/>
      <c r="F1197" s="4"/>
      <c r="G1197" s="4"/>
      <c r="H1197" s="4"/>
      <c r="I1197" s="4"/>
      <c r="K1197" s="4"/>
      <c r="L1197" s="4"/>
      <c r="M1197" s="80"/>
      <c r="N1197" s="80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 spans="1:30" ht="15.75">
      <c r="A1198" s="4"/>
      <c r="B1198" s="4"/>
      <c r="C1198" s="4"/>
      <c r="D1198" s="4"/>
      <c r="E1198" s="4"/>
      <c r="F1198" s="4"/>
      <c r="G1198" s="4"/>
      <c r="H1198" s="4"/>
      <c r="I1198" s="4"/>
      <c r="K1198" s="4"/>
      <c r="L1198" s="4"/>
      <c r="M1198" s="80"/>
      <c r="N1198" s="80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 spans="1:30" ht="15.75">
      <c r="A1199" s="4"/>
      <c r="B1199" s="4"/>
      <c r="C1199" s="4"/>
      <c r="D1199" s="4"/>
      <c r="E1199" s="4"/>
      <c r="F1199" s="4"/>
      <c r="G1199" s="4"/>
      <c r="H1199" s="4"/>
      <c r="I1199" s="4"/>
      <c r="K1199" s="4"/>
      <c r="L1199" s="4"/>
      <c r="M1199" s="80"/>
      <c r="N1199" s="80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 spans="1:30" ht="15.75">
      <c r="A1200" s="4"/>
      <c r="B1200" s="4"/>
      <c r="C1200" s="4"/>
      <c r="D1200" s="4"/>
      <c r="E1200" s="4"/>
      <c r="F1200" s="4"/>
      <c r="G1200" s="4"/>
      <c r="H1200" s="4"/>
      <c r="I1200" s="4"/>
      <c r="K1200" s="4"/>
      <c r="L1200" s="4"/>
      <c r="M1200" s="80"/>
      <c r="N1200" s="80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</row>
    <row r="1201" spans="1:30" ht="15.75">
      <c r="A1201" s="4"/>
      <c r="B1201" s="4"/>
      <c r="C1201" s="4"/>
      <c r="D1201" s="4"/>
      <c r="E1201" s="4"/>
      <c r="F1201" s="4"/>
      <c r="G1201" s="4"/>
      <c r="H1201" s="4"/>
      <c r="I1201" s="4"/>
      <c r="K1201" s="4"/>
      <c r="L1201" s="4"/>
      <c r="M1201" s="80"/>
      <c r="N1201" s="80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 spans="1:30" ht="15.75">
      <c r="A1202" s="4"/>
      <c r="B1202" s="4"/>
      <c r="C1202" s="4"/>
      <c r="D1202" s="4"/>
      <c r="E1202" s="4"/>
      <c r="F1202" s="4"/>
      <c r="G1202" s="4"/>
      <c r="H1202" s="4"/>
      <c r="I1202" s="4"/>
      <c r="K1202" s="4"/>
      <c r="L1202" s="4"/>
      <c r="M1202" s="80"/>
      <c r="N1202" s="80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spans="1:30" ht="15.75">
      <c r="A1203" s="4"/>
      <c r="B1203" s="4"/>
      <c r="C1203" s="4"/>
      <c r="D1203" s="4"/>
      <c r="E1203" s="4"/>
      <c r="F1203" s="4"/>
      <c r="G1203" s="4"/>
      <c r="H1203" s="4"/>
      <c r="I1203" s="4"/>
      <c r="K1203" s="4"/>
      <c r="L1203" s="4"/>
      <c r="M1203" s="80"/>
      <c r="N1203" s="80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 spans="1:30" ht="15.75">
      <c r="A1204" s="4"/>
      <c r="B1204" s="4"/>
      <c r="C1204" s="4"/>
      <c r="D1204" s="4"/>
      <c r="E1204" s="4"/>
      <c r="F1204" s="4"/>
      <c r="G1204" s="4"/>
      <c r="H1204" s="4"/>
      <c r="I1204" s="4"/>
      <c r="K1204" s="4"/>
      <c r="L1204" s="4"/>
      <c r="M1204" s="80"/>
      <c r="N1204" s="80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</row>
    <row r="1205" spans="1:30" ht="15.75">
      <c r="A1205" s="4"/>
      <c r="B1205" s="4"/>
      <c r="C1205" s="4"/>
      <c r="D1205" s="4"/>
      <c r="E1205" s="4"/>
      <c r="F1205" s="4"/>
      <c r="G1205" s="4"/>
      <c r="H1205" s="4"/>
      <c r="I1205" s="4"/>
      <c r="K1205" s="4"/>
      <c r="L1205" s="4"/>
      <c r="M1205" s="80"/>
      <c r="N1205" s="80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 spans="1:30" ht="15.75">
      <c r="A1206" s="4"/>
      <c r="B1206" s="4"/>
      <c r="C1206" s="4"/>
      <c r="D1206" s="4"/>
      <c r="E1206" s="4"/>
      <c r="F1206" s="4"/>
      <c r="G1206" s="4"/>
      <c r="H1206" s="4"/>
      <c r="I1206" s="4"/>
      <c r="K1206" s="4"/>
      <c r="L1206" s="4"/>
      <c r="M1206" s="80"/>
      <c r="N1206" s="80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</row>
    <row r="1207" spans="1:30" ht="15.75">
      <c r="A1207" s="4"/>
      <c r="B1207" s="4"/>
      <c r="C1207" s="4"/>
      <c r="D1207" s="4"/>
      <c r="E1207" s="4"/>
      <c r="F1207" s="4"/>
      <c r="G1207" s="4"/>
      <c r="H1207" s="4"/>
      <c r="I1207" s="4"/>
      <c r="K1207" s="4"/>
      <c r="L1207" s="4"/>
      <c r="M1207" s="80"/>
      <c r="N1207" s="80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</row>
    <row r="1208" spans="1:30" ht="15.75">
      <c r="A1208" s="4"/>
      <c r="B1208" s="4"/>
      <c r="C1208" s="4"/>
      <c r="D1208" s="4"/>
      <c r="E1208" s="4"/>
      <c r="F1208" s="4"/>
      <c r="G1208" s="4"/>
      <c r="H1208" s="4"/>
      <c r="I1208" s="4"/>
      <c r="K1208" s="4"/>
      <c r="L1208" s="4"/>
      <c r="M1208" s="80"/>
      <c r="N1208" s="80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</row>
    <row r="1209" spans="1:30" ht="15.75">
      <c r="A1209" s="4"/>
      <c r="B1209" s="4"/>
      <c r="C1209" s="4"/>
      <c r="D1209" s="4"/>
      <c r="E1209" s="4"/>
      <c r="F1209" s="4"/>
      <c r="G1209" s="4"/>
      <c r="H1209" s="4"/>
      <c r="I1209" s="4"/>
      <c r="K1209" s="4"/>
      <c r="L1209" s="4"/>
      <c r="M1209" s="80"/>
      <c r="N1209" s="80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 spans="1:30" ht="15.75">
      <c r="A1210" s="4"/>
      <c r="B1210" s="4"/>
      <c r="C1210" s="4"/>
      <c r="D1210" s="4"/>
      <c r="E1210" s="4"/>
      <c r="F1210" s="4"/>
      <c r="G1210" s="4"/>
      <c r="H1210" s="4"/>
      <c r="I1210" s="4"/>
      <c r="K1210" s="4"/>
      <c r="L1210" s="4"/>
      <c r="M1210" s="80"/>
      <c r="N1210" s="80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</row>
    <row r="1211" spans="1:30" ht="15.75">
      <c r="A1211" s="4"/>
      <c r="B1211" s="4"/>
      <c r="C1211" s="4"/>
      <c r="D1211" s="4"/>
      <c r="E1211" s="4"/>
      <c r="F1211" s="4"/>
      <c r="G1211" s="4"/>
      <c r="H1211" s="4"/>
      <c r="I1211" s="4"/>
      <c r="K1211" s="4"/>
      <c r="L1211" s="4"/>
      <c r="M1211" s="80"/>
      <c r="N1211" s="80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 spans="1:30" ht="15.75">
      <c r="A1212" s="4"/>
      <c r="B1212" s="4"/>
      <c r="C1212" s="4"/>
      <c r="D1212" s="4"/>
      <c r="E1212" s="4"/>
      <c r="F1212" s="4"/>
      <c r="G1212" s="4"/>
      <c r="H1212" s="4"/>
      <c r="I1212" s="4"/>
      <c r="K1212" s="4"/>
      <c r="L1212" s="4"/>
      <c r="M1212" s="80"/>
      <c r="N1212" s="80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 spans="1:30" ht="15.75">
      <c r="A1213" s="4"/>
      <c r="B1213" s="4"/>
      <c r="C1213" s="4"/>
      <c r="D1213" s="4"/>
      <c r="E1213" s="4"/>
      <c r="F1213" s="4"/>
      <c r="G1213" s="4"/>
      <c r="H1213" s="4"/>
      <c r="I1213" s="4"/>
      <c r="K1213" s="4"/>
      <c r="L1213" s="4"/>
      <c r="M1213" s="80"/>
      <c r="N1213" s="80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 spans="1:30" ht="15.75">
      <c r="A1214" s="4"/>
      <c r="B1214" s="4"/>
      <c r="C1214" s="4"/>
      <c r="D1214" s="4"/>
      <c r="E1214" s="4"/>
      <c r="F1214" s="4"/>
      <c r="G1214" s="4"/>
      <c r="H1214" s="4"/>
      <c r="I1214" s="4"/>
      <c r="K1214" s="4"/>
      <c r="L1214" s="4"/>
      <c r="M1214" s="80"/>
      <c r="N1214" s="80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spans="1:30" ht="15.75">
      <c r="A1215" s="4"/>
      <c r="B1215" s="4"/>
      <c r="C1215" s="4"/>
      <c r="D1215" s="4"/>
      <c r="E1215" s="4"/>
      <c r="F1215" s="4"/>
      <c r="G1215" s="4"/>
      <c r="H1215" s="4"/>
      <c r="I1215" s="4"/>
      <c r="K1215" s="4"/>
      <c r="L1215" s="4"/>
      <c r="M1215" s="80"/>
      <c r="N1215" s="80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spans="1:30" ht="15.75">
      <c r="A1216" s="4"/>
      <c r="B1216" s="4"/>
      <c r="C1216" s="4"/>
      <c r="D1216" s="4"/>
      <c r="E1216" s="4"/>
      <c r="F1216" s="4"/>
      <c r="G1216" s="4"/>
      <c r="H1216" s="4"/>
      <c r="I1216" s="4"/>
      <c r="K1216" s="4"/>
      <c r="L1216" s="4"/>
      <c r="M1216" s="80"/>
      <c r="N1216" s="80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 spans="1:30" ht="15.75">
      <c r="A1217" s="4"/>
      <c r="B1217" s="4"/>
      <c r="C1217" s="4"/>
      <c r="D1217" s="4"/>
      <c r="E1217" s="4"/>
      <c r="F1217" s="4"/>
      <c r="G1217" s="4"/>
      <c r="H1217" s="4"/>
      <c r="I1217" s="4"/>
      <c r="K1217" s="4"/>
      <c r="L1217" s="4"/>
      <c r="M1217" s="80"/>
      <c r="N1217" s="80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spans="1:30" ht="15.75">
      <c r="A1218" s="4"/>
      <c r="B1218" s="4"/>
      <c r="C1218" s="4"/>
      <c r="D1218" s="4"/>
      <c r="E1218" s="4"/>
      <c r="F1218" s="4"/>
      <c r="G1218" s="4"/>
      <c r="H1218" s="4"/>
      <c r="I1218" s="4"/>
      <c r="K1218" s="4"/>
      <c r="L1218" s="4"/>
      <c r="M1218" s="80"/>
      <c r="N1218" s="80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 spans="1:30" ht="15.75">
      <c r="A1219" s="4"/>
      <c r="B1219" s="4"/>
      <c r="C1219" s="4"/>
      <c r="D1219" s="4"/>
      <c r="E1219" s="4"/>
      <c r="F1219" s="4"/>
      <c r="G1219" s="4"/>
      <c r="H1219" s="4"/>
      <c r="I1219" s="4"/>
      <c r="K1219" s="4"/>
      <c r="L1219" s="4"/>
      <c r="M1219" s="80"/>
      <c r="N1219" s="80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spans="1:30" ht="15.75">
      <c r="A1220" s="4"/>
      <c r="B1220" s="4"/>
      <c r="C1220" s="4"/>
      <c r="D1220" s="4"/>
      <c r="E1220" s="4"/>
      <c r="F1220" s="4"/>
      <c r="G1220" s="4"/>
      <c r="H1220" s="4"/>
      <c r="I1220" s="4"/>
      <c r="K1220" s="4"/>
      <c r="L1220" s="4"/>
      <c r="M1220" s="80"/>
      <c r="N1220" s="80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 spans="1:30" ht="15.75">
      <c r="A1221" s="4"/>
      <c r="B1221" s="4"/>
      <c r="C1221" s="4"/>
      <c r="D1221" s="4"/>
      <c r="E1221" s="4"/>
      <c r="F1221" s="4"/>
      <c r="G1221" s="4"/>
      <c r="H1221" s="4"/>
      <c r="I1221" s="4"/>
      <c r="K1221" s="4"/>
      <c r="L1221" s="4"/>
      <c r="M1221" s="80"/>
      <c r="N1221" s="80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 spans="1:30" ht="15.75">
      <c r="A1222" s="4"/>
      <c r="B1222" s="4"/>
      <c r="C1222" s="4"/>
      <c r="D1222" s="4"/>
      <c r="E1222" s="4"/>
      <c r="F1222" s="4"/>
      <c r="G1222" s="4"/>
      <c r="H1222" s="4"/>
      <c r="I1222" s="4"/>
      <c r="K1222" s="4"/>
      <c r="L1222" s="4"/>
      <c r="M1222" s="80"/>
      <c r="N1222" s="80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 spans="1:30" ht="15.75">
      <c r="A1223" s="4"/>
      <c r="B1223" s="4"/>
      <c r="C1223" s="4"/>
      <c r="D1223" s="4"/>
      <c r="E1223" s="4"/>
      <c r="F1223" s="4"/>
      <c r="G1223" s="4"/>
      <c r="H1223" s="4"/>
      <c r="I1223" s="4"/>
      <c r="K1223" s="4"/>
      <c r="L1223" s="4"/>
      <c r="M1223" s="80"/>
      <c r="N1223" s="80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 spans="1:30" ht="15.75">
      <c r="A1224" s="4"/>
      <c r="B1224" s="4"/>
      <c r="C1224" s="4"/>
      <c r="D1224" s="4"/>
      <c r="E1224" s="4"/>
      <c r="F1224" s="4"/>
      <c r="G1224" s="4"/>
      <c r="H1224" s="4"/>
      <c r="I1224" s="4"/>
      <c r="K1224" s="4"/>
      <c r="L1224" s="4"/>
      <c r="M1224" s="80"/>
      <c r="N1224" s="80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 spans="1:30" ht="15.75">
      <c r="A1225" s="4"/>
      <c r="B1225" s="4"/>
      <c r="C1225" s="4"/>
      <c r="D1225" s="4"/>
      <c r="E1225" s="4"/>
      <c r="F1225" s="4"/>
      <c r="G1225" s="4"/>
      <c r="H1225" s="4"/>
      <c r="I1225" s="4"/>
      <c r="K1225" s="4"/>
      <c r="L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 spans="1:30" ht="15.75">
      <c r="A1226" s="4"/>
      <c r="B1226" s="4"/>
      <c r="C1226" s="4"/>
      <c r="D1226" s="4"/>
      <c r="E1226" s="4"/>
      <c r="F1226" s="4"/>
      <c r="G1226" s="4"/>
      <c r="H1226" s="4"/>
      <c r="I1226" s="4"/>
      <c r="K1226" s="4"/>
      <c r="L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 spans="1:30" ht="15.75">
      <c r="A1227" s="4"/>
      <c r="B1227" s="4"/>
      <c r="C1227" s="4"/>
      <c r="D1227" s="4"/>
      <c r="E1227" s="4"/>
      <c r="F1227" s="4"/>
      <c r="G1227" s="4"/>
      <c r="H1227" s="4"/>
      <c r="I1227" s="4"/>
      <c r="K1227" s="4"/>
      <c r="L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 spans="1:30" ht="15.75">
      <c r="A1228" s="4"/>
      <c r="B1228" s="4"/>
      <c r="C1228" s="4"/>
      <c r="D1228" s="4"/>
      <c r="E1228" s="4"/>
      <c r="F1228" s="4"/>
      <c r="G1228" s="4"/>
      <c r="H1228" s="4"/>
      <c r="I1228" s="4"/>
      <c r="K1228" s="4"/>
      <c r="L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spans="1:30" ht="15.75">
      <c r="A1229" s="4"/>
      <c r="B1229" s="4"/>
      <c r="C1229" s="4"/>
      <c r="D1229" s="4"/>
      <c r="E1229" s="4"/>
      <c r="F1229" s="4"/>
      <c r="G1229" s="4"/>
      <c r="H1229" s="4"/>
      <c r="I1229" s="4"/>
      <c r="K1229" s="4"/>
      <c r="L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 spans="1:30" ht="15.75">
      <c r="A1230" s="4"/>
      <c r="B1230" s="4"/>
      <c r="C1230" s="4"/>
      <c r="D1230" s="4"/>
      <c r="E1230" s="4"/>
      <c r="F1230" s="4"/>
      <c r="G1230" s="4"/>
      <c r="H1230" s="4"/>
      <c r="I1230" s="4"/>
      <c r="K1230" s="4"/>
      <c r="L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 spans="1:30" ht="15.75">
      <c r="A1231" s="4"/>
      <c r="B1231" s="4"/>
      <c r="C1231" s="4"/>
      <c r="D1231" s="4"/>
      <c r="E1231" s="4"/>
      <c r="F1231" s="4"/>
      <c r="G1231" s="4"/>
      <c r="H1231" s="4"/>
      <c r="I1231" s="4"/>
      <c r="K1231" s="4"/>
      <c r="L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 spans="1:30" ht="15.75">
      <c r="A1232" s="4"/>
      <c r="B1232" s="4"/>
      <c r="C1232" s="4"/>
      <c r="D1232" s="4"/>
      <c r="E1232" s="4"/>
      <c r="F1232" s="4"/>
      <c r="G1232" s="4"/>
      <c r="H1232" s="4"/>
      <c r="I1232" s="4"/>
      <c r="K1232" s="4"/>
      <c r="L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spans="1:30" ht="15.75">
      <c r="A1233" s="4"/>
      <c r="B1233" s="4"/>
      <c r="C1233" s="4"/>
      <c r="D1233" s="4"/>
      <c r="E1233" s="4"/>
      <c r="F1233" s="4"/>
      <c r="G1233" s="4"/>
      <c r="H1233" s="4"/>
      <c r="I1233" s="4"/>
      <c r="K1233" s="4"/>
      <c r="L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 spans="1:30" ht="15.75">
      <c r="A1234" s="4"/>
      <c r="B1234" s="4"/>
      <c r="C1234" s="4"/>
      <c r="D1234" s="4"/>
      <c r="E1234" s="4"/>
      <c r="F1234" s="4"/>
      <c r="G1234" s="4"/>
      <c r="H1234" s="4"/>
      <c r="I1234" s="4"/>
      <c r="K1234" s="4"/>
      <c r="L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 spans="1:30" ht="15.75">
      <c r="A1235" s="4"/>
      <c r="B1235" s="4"/>
      <c r="C1235" s="4"/>
      <c r="D1235" s="4"/>
      <c r="E1235" s="4"/>
      <c r="F1235" s="4"/>
      <c r="G1235" s="4"/>
      <c r="H1235" s="4"/>
      <c r="I1235" s="4"/>
      <c r="K1235" s="4"/>
      <c r="L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 spans="1:30" ht="15.75">
      <c r="A1236" s="4"/>
      <c r="B1236" s="4"/>
      <c r="C1236" s="4"/>
      <c r="D1236" s="4"/>
      <c r="E1236" s="4"/>
      <c r="F1236" s="4"/>
      <c r="G1236" s="4"/>
      <c r="H1236" s="4"/>
      <c r="I1236" s="4"/>
      <c r="K1236" s="4"/>
      <c r="L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 spans="1:30" ht="15.75">
      <c r="A1237" s="4"/>
      <c r="B1237" s="4"/>
      <c r="C1237" s="4"/>
      <c r="D1237" s="4"/>
      <c r="E1237" s="4"/>
      <c r="F1237" s="4"/>
      <c r="G1237" s="4"/>
      <c r="H1237" s="4"/>
      <c r="I1237" s="4"/>
      <c r="K1237" s="4"/>
      <c r="L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 spans="1:30" ht="15.75">
      <c r="A1238" s="4"/>
      <c r="B1238" s="4"/>
      <c r="C1238" s="4"/>
      <c r="D1238" s="4"/>
      <c r="E1238" s="4"/>
      <c r="F1238" s="4"/>
      <c r="G1238" s="4"/>
      <c r="H1238" s="4"/>
      <c r="I1238" s="4"/>
      <c r="K1238" s="4"/>
      <c r="L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 spans="1:30" ht="15.75">
      <c r="A1239" s="4"/>
      <c r="B1239" s="4"/>
      <c r="C1239" s="4"/>
      <c r="D1239" s="4"/>
      <c r="E1239" s="4"/>
      <c r="F1239" s="4"/>
      <c r="G1239" s="4"/>
      <c r="H1239" s="4"/>
      <c r="I1239" s="4"/>
      <c r="K1239" s="4"/>
      <c r="L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 spans="1:30" ht="15.75">
      <c r="A1240" s="4"/>
      <c r="B1240" s="4"/>
      <c r="C1240" s="4"/>
      <c r="D1240" s="4"/>
      <c r="E1240" s="4"/>
      <c r="F1240" s="4"/>
      <c r="G1240" s="4"/>
      <c r="H1240" s="4"/>
      <c r="I1240" s="4"/>
      <c r="K1240" s="4"/>
      <c r="L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 spans="1:30" ht="15.75">
      <c r="A1241" s="4"/>
      <c r="B1241" s="4"/>
      <c r="C1241" s="4"/>
      <c r="D1241" s="4"/>
      <c r="E1241" s="4"/>
      <c r="F1241" s="4"/>
      <c r="G1241" s="4"/>
      <c r="H1241" s="4"/>
      <c r="I1241" s="4"/>
      <c r="K1241" s="4"/>
      <c r="L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 spans="1:30" ht="15.75">
      <c r="A1242" s="4"/>
      <c r="B1242" s="4"/>
      <c r="C1242" s="4"/>
      <c r="D1242" s="4"/>
      <c r="E1242" s="4"/>
      <c r="F1242" s="4"/>
      <c r="G1242" s="4"/>
      <c r="H1242" s="4"/>
      <c r="I1242" s="4"/>
      <c r="K1242" s="4"/>
      <c r="L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spans="1:30" ht="15.75">
      <c r="A1243" s="4"/>
      <c r="B1243" s="4"/>
      <c r="C1243" s="4"/>
      <c r="D1243" s="4"/>
      <c r="E1243" s="4"/>
      <c r="F1243" s="4"/>
      <c r="G1243" s="4"/>
      <c r="H1243" s="4"/>
      <c r="I1243" s="4"/>
      <c r="K1243" s="4"/>
      <c r="L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 spans="1:30" ht="15.75">
      <c r="A1244" s="4"/>
      <c r="B1244" s="4"/>
      <c r="C1244" s="4"/>
      <c r="D1244" s="4"/>
      <c r="E1244" s="4"/>
      <c r="F1244" s="4"/>
      <c r="G1244" s="4"/>
      <c r="H1244" s="4"/>
      <c r="I1244" s="4"/>
      <c r="K1244" s="4"/>
      <c r="L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 spans="1:30" ht="15.75">
      <c r="A1245" s="4"/>
      <c r="B1245" s="4"/>
      <c r="C1245" s="4"/>
      <c r="D1245" s="4"/>
      <c r="E1245" s="4"/>
      <c r="F1245" s="4"/>
      <c r="G1245" s="4"/>
      <c r="H1245" s="4"/>
      <c r="I1245" s="4"/>
      <c r="K1245" s="4"/>
      <c r="L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 spans="1:30" ht="15.75">
      <c r="A1246" s="4"/>
      <c r="B1246" s="4"/>
      <c r="C1246" s="4"/>
      <c r="D1246" s="4"/>
      <c r="E1246" s="4"/>
      <c r="F1246" s="4"/>
      <c r="G1246" s="4"/>
      <c r="H1246" s="4"/>
      <c r="I1246" s="4"/>
      <c r="K1246" s="4"/>
      <c r="L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 spans="1:30" ht="15.75">
      <c r="A1247" s="4"/>
      <c r="B1247" s="4"/>
      <c r="C1247" s="4"/>
      <c r="D1247" s="4"/>
      <c r="E1247" s="4"/>
      <c r="F1247" s="4"/>
      <c r="G1247" s="4"/>
      <c r="H1247" s="4"/>
      <c r="I1247" s="4"/>
      <c r="K1247" s="4"/>
      <c r="L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 spans="1:30" ht="15.75">
      <c r="A1248" s="4"/>
      <c r="B1248" s="4"/>
      <c r="C1248" s="4"/>
      <c r="D1248" s="4"/>
      <c r="E1248" s="4"/>
      <c r="F1248" s="4"/>
      <c r="G1248" s="4"/>
      <c r="H1248" s="4"/>
      <c r="I1248" s="4"/>
      <c r="K1248" s="4"/>
      <c r="L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 spans="1:30" ht="15.75">
      <c r="A1249" s="4"/>
      <c r="B1249" s="4"/>
      <c r="C1249" s="4"/>
      <c r="D1249" s="4"/>
      <c r="E1249" s="4"/>
      <c r="F1249" s="4"/>
      <c r="G1249" s="4"/>
      <c r="H1249" s="4"/>
      <c r="I1249" s="4"/>
      <c r="K1249" s="4"/>
      <c r="L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 spans="1:30" ht="15.75">
      <c r="A1250" s="4"/>
      <c r="B1250" s="4"/>
      <c r="C1250" s="4"/>
      <c r="D1250" s="4"/>
      <c r="E1250" s="4"/>
      <c r="F1250" s="4"/>
      <c r="G1250" s="4"/>
      <c r="H1250" s="4"/>
      <c r="I1250" s="4"/>
      <c r="K1250" s="4"/>
      <c r="L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 spans="1:30" ht="15.75">
      <c r="A1251" s="4"/>
      <c r="B1251" s="4"/>
      <c r="C1251" s="4"/>
      <c r="D1251" s="4"/>
      <c r="E1251" s="4"/>
      <c r="F1251" s="4"/>
      <c r="G1251" s="4"/>
      <c r="H1251" s="4"/>
      <c r="I1251" s="4"/>
      <c r="K1251" s="4"/>
      <c r="L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 spans="1:30" ht="15.75">
      <c r="A1252" s="4"/>
      <c r="B1252" s="4"/>
      <c r="C1252" s="4"/>
      <c r="D1252" s="4"/>
      <c r="E1252" s="4"/>
      <c r="F1252" s="4"/>
      <c r="G1252" s="4"/>
      <c r="H1252" s="4"/>
      <c r="I1252" s="4"/>
      <c r="K1252" s="4"/>
      <c r="L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spans="1:30" ht="15.75">
      <c r="A1253" s="4"/>
      <c r="B1253" s="4"/>
      <c r="C1253" s="4"/>
      <c r="D1253" s="4"/>
      <c r="E1253" s="4"/>
      <c r="F1253" s="4"/>
      <c r="G1253" s="4"/>
      <c r="H1253" s="4"/>
      <c r="I1253" s="4"/>
      <c r="K1253" s="4"/>
      <c r="L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 spans="1:30" ht="15.75">
      <c r="A1254" s="4"/>
      <c r="B1254" s="4"/>
      <c r="C1254" s="4"/>
      <c r="D1254" s="4"/>
      <c r="E1254" s="4"/>
      <c r="F1254" s="4"/>
      <c r="G1254" s="4"/>
      <c r="H1254" s="4"/>
      <c r="I1254" s="4"/>
      <c r="K1254" s="4"/>
      <c r="L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</sheetData>
  <mergeCells count="29"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4:W5"/>
    <mergeCell ref="X4:X5"/>
    <mergeCell ref="Y4:Y5"/>
    <mergeCell ref="B1:F1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E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1.25" defaultRowHeight="15" customHeight="1"/>
  <cols>
    <col min="1" max="1" width="36.25" customWidth="1"/>
    <col min="2" max="2" width="29.875" customWidth="1"/>
    <col min="3" max="4" width="8.5" customWidth="1"/>
    <col min="5" max="5" width="25.75" customWidth="1"/>
  </cols>
  <sheetData>
    <row r="1" spans="1:5" ht="27.75" customHeight="1">
      <c r="A1" s="146" t="s">
        <v>1251</v>
      </c>
      <c r="B1" s="141"/>
      <c r="C1" s="141"/>
      <c r="D1" s="141"/>
      <c r="E1" s="143"/>
    </row>
    <row r="2" spans="1:5" ht="15.75">
      <c r="A2" s="19" t="s">
        <v>53</v>
      </c>
      <c r="B2" s="19" t="s">
        <v>54</v>
      </c>
      <c r="C2" s="19" t="s">
        <v>1252</v>
      </c>
      <c r="D2" s="19" t="s">
        <v>59</v>
      </c>
      <c r="E2" s="19" t="s">
        <v>60</v>
      </c>
    </row>
    <row r="3" spans="1:5" ht="15.75">
      <c r="A3" s="7" t="str">
        <f ca="1">IFERROR(__xludf.DUMMYFUNCTION("FILTER('UNIVERSO PRODUCTOS'!A1:B958, ISNUMBER(SEARCH(A1, 'UNIVERSO PRODUCTOS'!K1:K961)))
"),"#N/A")</f>
        <v>#N/A</v>
      </c>
      <c r="B3" s="7"/>
      <c r="C3" s="7"/>
      <c r="D3" s="7" t="str">
        <f ca="1">IFERROR(__xludf.DUMMYFUNCTION("FILTER('UNIVERSO PRODUCTOS'!D1:D960, ISNUMBER(SEARCH(A1, 'UNIVERSO PRODUCTOS'!K1:K961)))
"),"#N/A")</f>
        <v>#N/A</v>
      </c>
      <c r="E3" s="7" t="str">
        <f ca="1">IFERROR(__xludf.DUMMYFUNCTION("FILTER('UNIVERSO PRODUCTOS'!H1:H960, ISNUMBER(SEARCH(A1, 'UNIVERSO PRODUCTOS'!K1:K961)))
"),"#N/A")</f>
        <v>#N/A</v>
      </c>
    </row>
    <row r="4" spans="1:5" ht="15.75">
      <c r="A4" s="7"/>
      <c r="B4" s="7"/>
      <c r="C4" s="7"/>
      <c r="D4" s="7"/>
      <c r="E4" s="7"/>
    </row>
    <row r="5" spans="1:5" ht="15.75">
      <c r="A5" s="7"/>
      <c r="B5" s="7"/>
      <c r="C5" s="7"/>
      <c r="D5" s="7"/>
      <c r="E5" s="7"/>
    </row>
    <row r="6" spans="1:5" ht="15.75">
      <c r="A6" s="7"/>
      <c r="B6" s="7"/>
      <c r="C6" s="7"/>
      <c r="D6" s="7"/>
      <c r="E6" s="7"/>
    </row>
    <row r="7" spans="1:5" ht="15.75">
      <c r="A7" s="7"/>
      <c r="B7" s="7"/>
      <c r="C7" s="7"/>
      <c r="D7" s="7"/>
      <c r="E7" s="7"/>
    </row>
    <row r="8" spans="1:5" ht="15.75">
      <c r="A8" s="7"/>
      <c r="B8" s="7"/>
      <c r="C8" s="7"/>
      <c r="D8" s="7"/>
      <c r="E8" s="7"/>
    </row>
    <row r="9" spans="1:5" ht="15.75">
      <c r="A9" s="7"/>
      <c r="B9" s="7"/>
      <c r="C9" s="7"/>
      <c r="D9" s="7"/>
      <c r="E9" s="7"/>
    </row>
    <row r="10" spans="1:5" ht="15.75">
      <c r="A10" s="7"/>
      <c r="B10" s="7"/>
      <c r="C10" s="7"/>
      <c r="D10" s="7"/>
      <c r="E10" s="7"/>
    </row>
    <row r="11" spans="1:5" ht="15.75">
      <c r="A11" s="7"/>
      <c r="B11" s="7"/>
      <c r="C11" s="7"/>
      <c r="D11" s="7"/>
      <c r="E11" s="7"/>
    </row>
    <row r="12" spans="1:5" ht="15.75">
      <c r="A12" s="7"/>
      <c r="B12" s="7"/>
      <c r="C12" s="7"/>
      <c r="D12" s="7"/>
      <c r="E12" s="7"/>
    </row>
    <row r="13" spans="1:5" ht="15.75">
      <c r="A13" s="7"/>
      <c r="B13" s="7"/>
      <c r="C13" s="7"/>
      <c r="D13" s="7"/>
      <c r="E13" s="7"/>
    </row>
    <row r="14" spans="1:5" ht="15.75">
      <c r="A14" s="7"/>
      <c r="B14" s="7"/>
      <c r="C14" s="7"/>
      <c r="D14" s="7"/>
      <c r="E14" s="7"/>
    </row>
    <row r="15" spans="1:5" ht="15.75">
      <c r="A15" s="7"/>
      <c r="B15" s="7"/>
      <c r="C15" s="7"/>
      <c r="D15" s="7"/>
      <c r="E15" s="7"/>
    </row>
    <row r="16" spans="1:5" ht="15.75">
      <c r="A16" s="7"/>
      <c r="B16" s="7"/>
      <c r="C16" s="7"/>
      <c r="D16" s="7"/>
      <c r="E16" s="7"/>
    </row>
    <row r="17" spans="1:5" ht="15.75">
      <c r="A17" s="7"/>
      <c r="B17" s="7"/>
      <c r="C17" s="7"/>
      <c r="D17" s="7"/>
      <c r="E17" s="7"/>
    </row>
    <row r="18" spans="1:5" ht="15.75">
      <c r="A18" s="7"/>
      <c r="B18" s="7"/>
      <c r="C18" s="7"/>
      <c r="D18" s="7"/>
      <c r="E18" s="7"/>
    </row>
    <row r="19" spans="1:5" ht="15.75">
      <c r="A19" s="7"/>
      <c r="B19" s="7"/>
      <c r="C19" s="7"/>
      <c r="D19" s="7"/>
      <c r="E19" s="7"/>
    </row>
    <row r="20" spans="1:5" ht="15.75">
      <c r="A20" s="7"/>
      <c r="B20" s="7"/>
      <c r="C20" s="7"/>
      <c r="D20" s="7"/>
      <c r="E20" s="7"/>
    </row>
    <row r="21" spans="1:5" ht="15.75">
      <c r="A21" s="7"/>
      <c r="B21" s="7"/>
      <c r="C21" s="7"/>
      <c r="D21" s="7"/>
      <c r="E21" s="7"/>
    </row>
    <row r="22" spans="1:5" ht="15.75">
      <c r="A22" s="7"/>
      <c r="B22" s="7"/>
      <c r="C22" s="7"/>
      <c r="D22" s="7"/>
      <c r="E22" s="7"/>
    </row>
    <row r="23" spans="1:5" ht="15.75">
      <c r="A23" s="7"/>
      <c r="B23" s="7"/>
      <c r="C23" s="7"/>
      <c r="D23" s="7"/>
      <c r="E23" s="7"/>
    </row>
    <row r="24" spans="1:5" ht="15.75">
      <c r="A24" s="7"/>
      <c r="B24" s="7"/>
      <c r="C24" s="7"/>
      <c r="D24" s="7"/>
      <c r="E24" s="7"/>
    </row>
    <row r="25" spans="1:5" ht="15.75">
      <c r="A25" s="7"/>
      <c r="B25" s="7"/>
      <c r="C25" s="7"/>
      <c r="D25" s="7"/>
      <c r="E25" s="7"/>
    </row>
    <row r="26" spans="1:5" ht="15.75">
      <c r="A26" s="7"/>
      <c r="B26" s="7"/>
      <c r="C26" s="7"/>
      <c r="D26" s="7"/>
      <c r="E26" s="7"/>
    </row>
    <row r="27" spans="1:5" ht="15.75">
      <c r="A27" s="7"/>
      <c r="B27" s="7"/>
      <c r="C27" s="7"/>
      <c r="D27" s="7"/>
      <c r="E27" s="7"/>
    </row>
    <row r="28" spans="1:5" ht="15.75">
      <c r="A28" s="7"/>
      <c r="B28" s="7"/>
      <c r="C28" s="7"/>
      <c r="D28" s="7"/>
      <c r="E28" s="7"/>
    </row>
    <row r="29" spans="1:5" ht="15.75">
      <c r="A29" s="7"/>
      <c r="B29" s="7"/>
      <c r="C29" s="7"/>
      <c r="D29" s="7"/>
      <c r="E29" s="7"/>
    </row>
    <row r="30" spans="1:5" ht="15.75">
      <c r="A30" s="7"/>
      <c r="B30" s="7"/>
      <c r="C30" s="7"/>
      <c r="D30" s="7"/>
      <c r="E30" s="7"/>
    </row>
    <row r="31" spans="1:5" ht="15.75">
      <c r="A31" s="7"/>
      <c r="B31" s="7"/>
      <c r="C31" s="7"/>
      <c r="D31" s="7"/>
      <c r="E31" s="7"/>
    </row>
    <row r="32" spans="1:5" ht="15.75">
      <c r="A32" s="7"/>
      <c r="B32" s="7"/>
      <c r="C32" s="7"/>
      <c r="D32" s="7"/>
      <c r="E32" s="7"/>
    </row>
    <row r="33" spans="1:5" ht="15.75">
      <c r="A33" s="7"/>
      <c r="B33" s="7"/>
      <c r="C33" s="7"/>
      <c r="D33" s="7"/>
      <c r="E33" s="7"/>
    </row>
    <row r="34" spans="1:5" ht="15.75">
      <c r="A34" s="7"/>
      <c r="B34" s="7"/>
      <c r="C34" s="7"/>
      <c r="D34" s="7"/>
      <c r="E34" s="7"/>
    </row>
    <row r="35" spans="1:5" ht="15.75">
      <c r="A35" s="7"/>
      <c r="B35" s="7"/>
      <c r="C35" s="7"/>
      <c r="D35" s="7"/>
      <c r="E35" s="7"/>
    </row>
    <row r="36" spans="1:5" ht="15.75">
      <c r="A36" s="7"/>
      <c r="B36" s="7"/>
      <c r="C36" s="7"/>
      <c r="D36" s="7"/>
      <c r="E36" s="7"/>
    </row>
    <row r="37" spans="1:5" ht="15.75">
      <c r="A37" s="7"/>
      <c r="B37" s="7"/>
      <c r="C37" s="7"/>
      <c r="D37" s="7"/>
      <c r="E37" s="7"/>
    </row>
    <row r="38" spans="1:5" ht="15.75">
      <c r="A38" s="7"/>
      <c r="B38" s="7"/>
      <c r="C38" s="7"/>
      <c r="D38" s="7"/>
      <c r="E38" s="7"/>
    </row>
    <row r="39" spans="1:5" ht="15.75">
      <c r="A39" s="7"/>
      <c r="B39" s="7"/>
      <c r="C39" s="7"/>
      <c r="D39" s="7"/>
      <c r="E39" s="7"/>
    </row>
    <row r="40" spans="1:5" ht="15.75">
      <c r="A40" s="7"/>
      <c r="B40" s="7"/>
      <c r="C40" s="7"/>
      <c r="D40" s="7"/>
      <c r="E40" s="7"/>
    </row>
    <row r="41" spans="1:5" ht="15.75">
      <c r="A41" s="7"/>
      <c r="B41" s="7"/>
      <c r="C41" s="7"/>
      <c r="D41" s="7"/>
      <c r="E41" s="7"/>
    </row>
    <row r="42" spans="1:5" ht="15.75">
      <c r="A42" s="7"/>
      <c r="B42" s="7"/>
      <c r="C42" s="7"/>
      <c r="D42" s="7"/>
      <c r="E42" s="7"/>
    </row>
    <row r="43" spans="1:5" ht="15.75">
      <c r="A43" s="7"/>
      <c r="B43" s="7"/>
      <c r="C43" s="7"/>
      <c r="D43" s="7"/>
      <c r="E43" s="7"/>
    </row>
    <row r="44" spans="1:5" ht="15.75">
      <c r="A44" s="7"/>
      <c r="B44" s="7"/>
      <c r="C44" s="7"/>
      <c r="D44" s="7"/>
      <c r="E44" s="7"/>
    </row>
    <row r="45" spans="1:5" ht="15.75">
      <c r="A45" s="7"/>
      <c r="B45" s="7"/>
      <c r="C45" s="7"/>
      <c r="D45" s="7"/>
      <c r="E45" s="7"/>
    </row>
    <row r="46" spans="1:5" ht="15.75">
      <c r="A46" s="7"/>
      <c r="B46" s="7"/>
      <c r="C46" s="7"/>
      <c r="D46" s="7"/>
      <c r="E46" s="7"/>
    </row>
    <row r="47" spans="1:5" ht="15.75">
      <c r="A47" s="7"/>
      <c r="B47" s="7"/>
      <c r="C47" s="7"/>
      <c r="D47" s="7"/>
      <c r="E47" s="7"/>
    </row>
    <row r="48" spans="1:5" ht="15.75">
      <c r="A48" s="7"/>
      <c r="B48" s="7"/>
      <c r="C48" s="7"/>
      <c r="D48" s="7"/>
      <c r="E48" s="7"/>
    </row>
    <row r="49" spans="1:5" ht="15.75">
      <c r="A49" s="7"/>
      <c r="B49" s="7"/>
      <c r="C49" s="7"/>
      <c r="D49" s="7"/>
      <c r="E49" s="7"/>
    </row>
    <row r="50" spans="1:5" ht="15.75">
      <c r="A50" s="7"/>
      <c r="B50" s="7"/>
      <c r="C50" s="7"/>
      <c r="D50" s="7"/>
      <c r="E50" s="7"/>
    </row>
    <row r="51" spans="1:5" ht="15.75">
      <c r="A51" s="7"/>
      <c r="B51" s="7"/>
      <c r="C51" s="7"/>
      <c r="D51" s="7"/>
      <c r="E51" s="7"/>
    </row>
    <row r="52" spans="1:5" ht="15.75">
      <c r="A52" s="7"/>
      <c r="B52" s="7"/>
      <c r="C52" s="7"/>
      <c r="D52" s="7"/>
      <c r="E52" s="7"/>
    </row>
    <row r="53" spans="1:5" ht="15.75">
      <c r="A53" s="7"/>
      <c r="B53" s="7"/>
      <c r="C53" s="7"/>
      <c r="D53" s="7"/>
      <c r="E53" s="7"/>
    </row>
    <row r="54" spans="1:5" ht="15.75">
      <c r="A54" s="7"/>
      <c r="B54" s="7"/>
      <c r="C54" s="7"/>
      <c r="D54" s="7"/>
      <c r="E54" s="7"/>
    </row>
    <row r="55" spans="1:5" ht="15.75">
      <c r="A55" s="7"/>
      <c r="B55" s="7"/>
      <c r="C55" s="7"/>
      <c r="D55" s="7"/>
      <c r="E55" s="7"/>
    </row>
    <row r="56" spans="1:5" ht="15.75">
      <c r="A56" s="7"/>
      <c r="B56" s="7"/>
      <c r="C56" s="7"/>
      <c r="D56" s="7"/>
      <c r="E56" s="7"/>
    </row>
    <row r="57" spans="1:5" ht="15.75">
      <c r="A57" s="7"/>
      <c r="B57" s="7"/>
      <c r="C57" s="7"/>
      <c r="D57" s="7"/>
      <c r="E57" s="7"/>
    </row>
    <row r="58" spans="1:5" ht="15.75">
      <c r="A58" s="7"/>
      <c r="B58" s="7"/>
      <c r="C58" s="7"/>
      <c r="D58" s="7"/>
      <c r="E58" s="7"/>
    </row>
    <row r="59" spans="1:5" ht="15.75">
      <c r="A59" s="7"/>
      <c r="B59" s="7"/>
      <c r="C59" s="7"/>
      <c r="D59" s="7"/>
      <c r="E59" s="7"/>
    </row>
    <row r="60" spans="1:5" ht="15.75">
      <c r="A60" s="7"/>
      <c r="B60" s="7"/>
      <c r="C60" s="7"/>
      <c r="D60" s="7"/>
      <c r="E60" s="7"/>
    </row>
    <row r="61" spans="1:5" ht="15.75">
      <c r="A61" s="7"/>
      <c r="B61" s="7"/>
      <c r="C61" s="7"/>
      <c r="D61" s="7"/>
      <c r="E61" s="7"/>
    </row>
    <row r="62" spans="1:5" ht="15.75">
      <c r="A62" s="7"/>
      <c r="B62" s="7"/>
      <c r="C62" s="7"/>
      <c r="D62" s="7"/>
      <c r="E62" s="7"/>
    </row>
    <row r="63" spans="1:5" ht="15.75">
      <c r="A63" s="7"/>
      <c r="B63" s="7"/>
      <c r="C63" s="7"/>
      <c r="D63" s="7"/>
      <c r="E63" s="7"/>
    </row>
    <row r="64" spans="1:5" ht="15.75">
      <c r="A64" s="7"/>
      <c r="B64" s="7"/>
      <c r="C64" s="7"/>
      <c r="D64" s="7"/>
      <c r="E64" s="7"/>
    </row>
    <row r="65" spans="1:5" ht="15.75">
      <c r="A65" s="7"/>
      <c r="B65" s="7"/>
      <c r="C65" s="7"/>
      <c r="D65" s="7"/>
      <c r="E65" s="7"/>
    </row>
    <row r="66" spans="1:5" ht="15.75">
      <c r="A66" s="7"/>
      <c r="B66" s="7"/>
      <c r="C66" s="7"/>
      <c r="D66" s="7"/>
      <c r="E66" s="7"/>
    </row>
    <row r="67" spans="1:5" ht="15.75">
      <c r="A67" s="7"/>
      <c r="B67" s="7"/>
      <c r="C67" s="7"/>
      <c r="D67" s="7"/>
      <c r="E67" s="7"/>
    </row>
    <row r="68" spans="1:5" ht="15.75">
      <c r="A68" s="7"/>
      <c r="B68" s="7"/>
      <c r="C68" s="7"/>
      <c r="D68" s="7"/>
      <c r="E68" s="7"/>
    </row>
    <row r="69" spans="1:5" ht="15.75">
      <c r="A69" s="7"/>
      <c r="B69" s="7"/>
      <c r="C69" s="7"/>
      <c r="D69" s="7"/>
      <c r="E69" s="7"/>
    </row>
    <row r="70" spans="1:5" ht="15.75">
      <c r="A70" s="7"/>
      <c r="B70" s="7"/>
      <c r="C70" s="7"/>
      <c r="D70" s="7"/>
      <c r="E70" s="7"/>
    </row>
    <row r="71" spans="1:5" ht="15.75">
      <c r="A71" s="7"/>
      <c r="B71" s="7"/>
      <c r="C71" s="7"/>
      <c r="D71" s="7"/>
      <c r="E71" s="7"/>
    </row>
    <row r="72" spans="1:5" ht="15.75">
      <c r="A72" s="7"/>
      <c r="B72" s="7"/>
      <c r="C72" s="7"/>
      <c r="D72" s="7"/>
      <c r="E72" s="7"/>
    </row>
    <row r="73" spans="1:5" ht="15.75">
      <c r="A73" s="7"/>
      <c r="B73" s="7"/>
      <c r="C73" s="7"/>
      <c r="D73" s="7"/>
      <c r="E73" s="7"/>
    </row>
    <row r="74" spans="1:5" ht="15.75">
      <c r="A74" s="7"/>
      <c r="B74" s="7"/>
      <c r="C74" s="7"/>
      <c r="D74" s="7"/>
      <c r="E74" s="7"/>
    </row>
    <row r="75" spans="1:5" ht="15.75">
      <c r="A75" s="7"/>
      <c r="B75" s="7"/>
      <c r="C75" s="7"/>
      <c r="D75" s="7"/>
      <c r="E75" s="7"/>
    </row>
    <row r="76" spans="1:5" ht="15.75">
      <c r="A76" s="7"/>
      <c r="B76" s="7"/>
      <c r="C76" s="7"/>
      <c r="D76" s="7"/>
      <c r="E76" s="7"/>
    </row>
    <row r="77" spans="1:5" ht="15.75">
      <c r="A77" s="7"/>
      <c r="B77" s="7"/>
      <c r="C77" s="7"/>
      <c r="D77" s="7"/>
      <c r="E77" s="7"/>
    </row>
    <row r="78" spans="1:5" ht="15.75">
      <c r="A78" s="7"/>
      <c r="B78" s="7"/>
      <c r="C78" s="7"/>
      <c r="D78" s="7"/>
      <c r="E78" s="7"/>
    </row>
    <row r="79" spans="1:5" ht="15.75">
      <c r="A79" s="7"/>
      <c r="B79" s="7"/>
      <c r="C79" s="7"/>
      <c r="D79" s="7"/>
      <c r="E79" s="7"/>
    </row>
    <row r="80" spans="1:5" ht="15.75">
      <c r="A80" s="7"/>
      <c r="B80" s="7"/>
      <c r="C80" s="7"/>
      <c r="D80" s="7"/>
      <c r="E80" s="7"/>
    </row>
    <row r="81" spans="1:5" ht="15.75">
      <c r="A81" s="7"/>
      <c r="B81" s="7"/>
      <c r="C81" s="7"/>
      <c r="D81" s="7"/>
      <c r="E81" s="7"/>
    </row>
    <row r="82" spans="1:5" ht="15.75">
      <c r="A82" s="7"/>
      <c r="B82" s="7"/>
      <c r="C82" s="7"/>
      <c r="D82" s="7"/>
      <c r="E82" s="7"/>
    </row>
    <row r="83" spans="1:5" ht="15.75">
      <c r="A83" s="7"/>
      <c r="B83" s="7"/>
      <c r="C83" s="7"/>
      <c r="D83" s="7"/>
      <c r="E83" s="7"/>
    </row>
    <row r="84" spans="1:5" ht="15.75">
      <c r="A84" s="7"/>
      <c r="B84" s="7"/>
      <c r="C84" s="7"/>
      <c r="D84" s="7"/>
      <c r="E84" s="7"/>
    </row>
    <row r="85" spans="1:5" ht="15.75">
      <c r="A85" s="7"/>
      <c r="B85" s="7"/>
      <c r="C85" s="7"/>
      <c r="D85" s="7"/>
      <c r="E85" s="7"/>
    </row>
    <row r="86" spans="1:5" ht="15.75">
      <c r="A86" s="7"/>
      <c r="B86" s="7"/>
      <c r="C86" s="7"/>
      <c r="D86" s="7"/>
      <c r="E86" s="7"/>
    </row>
    <row r="87" spans="1:5" ht="15.75">
      <c r="A87" s="7"/>
      <c r="B87" s="7"/>
      <c r="C87" s="7"/>
      <c r="D87" s="7"/>
      <c r="E87" s="7"/>
    </row>
    <row r="88" spans="1:5" ht="15.75">
      <c r="A88" s="7"/>
      <c r="B88" s="7"/>
      <c r="C88" s="7"/>
      <c r="D88" s="7"/>
      <c r="E88" s="7"/>
    </row>
    <row r="89" spans="1:5" ht="15.75">
      <c r="A89" s="7"/>
      <c r="B89" s="7"/>
      <c r="C89" s="7"/>
      <c r="D89" s="7"/>
      <c r="E89" s="7"/>
    </row>
    <row r="90" spans="1:5" ht="15.75">
      <c r="A90" s="7"/>
      <c r="B90" s="7"/>
      <c r="C90" s="7"/>
      <c r="D90" s="7"/>
      <c r="E90" s="7"/>
    </row>
    <row r="91" spans="1:5" ht="15.75">
      <c r="A91" s="7"/>
      <c r="B91" s="7"/>
      <c r="C91" s="7"/>
      <c r="D91" s="7"/>
      <c r="E91" s="7"/>
    </row>
    <row r="92" spans="1:5" ht="15.75">
      <c r="A92" s="7"/>
      <c r="B92" s="7"/>
      <c r="C92" s="7"/>
      <c r="D92" s="7"/>
      <c r="E92" s="7"/>
    </row>
    <row r="93" spans="1:5" ht="15.75">
      <c r="A93" s="7"/>
      <c r="B93" s="7"/>
      <c r="C93" s="7"/>
      <c r="D93" s="7"/>
      <c r="E93" s="7"/>
    </row>
    <row r="94" spans="1:5" ht="15.75">
      <c r="A94" s="7"/>
      <c r="B94" s="7"/>
      <c r="C94" s="7"/>
      <c r="D94" s="7"/>
      <c r="E94" s="7"/>
    </row>
    <row r="95" spans="1:5" ht="15.75">
      <c r="A95" s="7"/>
      <c r="B95" s="7"/>
      <c r="C95" s="7"/>
      <c r="D95" s="7"/>
      <c r="E95" s="7"/>
    </row>
    <row r="96" spans="1:5" ht="15.75">
      <c r="A96" s="7"/>
      <c r="B96" s="7"/>
      <c r="C96" s="7"/>
      <c r="D96" s="7"/>
      <c r="E96" s="7"/>
    </row>
    <row r="97" spans="1:5" ht="15.75">
      <c r="A97" s="7"/>
      <c r="B97" s="7"/>
      <c r="C97" s="7"/>
      <c r="D97" s="7"/>
      <c r="E97" s="7"/>
    </row>
    <row r="98" spans="1:5" ht="15.75">
      <c r="A98" s="7"/>
      <c r="B98" s="7"/>
      <c r="C98" s="7"/>
      <c r="D98" s="7"/>
      <c r="E98" s="7"/>
    </row>
    <row r="99" spans="1:5" ht="15.75">
      <c r="A99" s="7"/>
      <c r="B99" s="7"/>
      <c r="C99" s="7"/>
      <c r="D99" s="7"/>
      <c r="E99" s="7"/>
    </row>
    <row r="100" spans="1:5" ht="15.75">
      <c r="A100" s="7"/>
      <c r="B100" s="7"/>
      <c r="C100" s="7"/>
      <c r="D100" s="7"/>
      <c r="E100" s="7"/>
    </row>
    <row r="101" spans="1:5" ht="15.75">
      <c r="A101" s="7"/>
      <c r="B101" s="7"/>
      <c r="C101" s="7"/>
      <c r="D101" s="7"/>
      <c r="E101" s="7"/>
    </row>
    <row r="102" spans="1:5" ht="15.75">
      <c r="A102" s="7"/>
      <c r="B102" s="7"/>
      <c r="C102" s="7"/>
      <c r="D102" s="7"/>
      <c r="E102" s="7"/>
    </row>
    <row r="103" spans="1:5" ht="15.75">
      <c r="A103" s="7"/>
      <c r="B103" s="7"/>
      <c r="C103" s="7"/>
      <c r="D103" s="7"/>
      <c r="E103" s="7"/>
    </row>
    <row r="104" spans="1:5" ht="15.75">
      <c r="A104" s="7"/>
      <c r="B104" s="7"/>
      <c r="C104" s="7"/>
      <c r="D104" s="7"/>
      <c r="E104" s="7"/>
    </row>
    <row r="105" spans="1:5" ht="15.75">
      <c r="A105" s="7"/>
      <c r="B105" s="7"/>
      <c r="C105" s="7"/>
      <c r="D105" s="7"/>
      <c r="E105" s="7"/>
    </row>
    <row r="106" spans="1:5" ht="15.75">
      <c r="A106" s="7"/>
      <c r="B106" s="7"/>
      <c r="C106" s="7"/>
      <c r="D106" s="7"/>
      <c r="E106" s="7"/>
    </row>
    <row r="107" spans="1:5" ht="15.75">
      <c r="A107" s="7"/>
      <c r="B107" s="7"/>
      <c r="C107" s="7"/>
      <c r="D107" s="7"/>
      <c r="E107" s="7"/>
    </row>
    <row r="108" spans="1:5" ht="15.75">
      <c r="A108" s="7"/>
      <c r="B108" s="7"/>
      <c r="C108" s="7"/>
      <c r="D108" s="7"/>
      <c r="E108" s="7"/>
    </row>
    <row r="109" spans="1:5" ht="15.75">
      <c r="A109" s="7"/>
      <c r="B109" s="7"/>
      <c r="C109" s="7"/>
      <c r="D109" s="7"/>
      <c r="E109" s="7"/>
    </row>
    <row r="110" spans="1:5" ht="15.75">
      <c r="A110" s="7"/>
      <c r="B110" s="7"/>
      <c r="C110" s="7"/>
      <c r="D110" s="7"/>
      <c r="E110" s="7"/>
    </row>
    <row r="111" spans="1:5" ht="15.75">
      <c r="A111" s="7"/>
      <c r="B111" s="7"/>
      <c r="C111" s="7"/>
      <c r="D111" s="7"/>
      <c r="E111" s="7"/>
    </row>
    <row r="112" spans="1:5" ht="15.75">
      <c r="A112" s="7"/>
      <c r="B112" s="7"/>
      <c r="C112" s="7"/>
      <c r="D112" s="7"/>
      <c r="E112" s="7"/>
    </row>
    <row r="113" spans="1:5" ht="15.75">
      <c r="A113" s="7"/>
      <c r="B113" s="7"/>
      <c r="C113" s="7"/>
      <c r="D113" s="7"/>
      <c r="E113" s="7"/>
    </row>
    <row r="114" spans="1:5" ht="15.75">
      <c r="A114" s="7"/>
      <c r="B114" s="7"/>
      <c r="C114" s="7"/>
      <c r="D114" s="7"/>
      <c r="E114" s="7"/>
    </row>
    <row r="115" spans="1:5" ht="15.75">
      <c r="A115" s="7"/>
      <c r="B115" s="7"/>
      <c r="C115" s="7"/>
      <c r="D115" s="7"/>
      <c r="E115" s="7"/>
    </row>
    <row r="116" spans="1:5" ht="15.75">
      <c r="A116" s="7"/>
      <c r="B116" s="7"/>
      <c r="C116" s="7"/>
      <c r="D116" s="7"/>
      <c r="E116" s="7"/>
    </row>
    <row r="117" spans="1:5" ht="15.75">
      <c r="A117" s="7"/>
      <c r="B117" s="7"/>
      <c r="C117" s="7"/>
      <c r="D117" s="7"/>
      <c r="E117" s="7"/>
    </row>
    <row r="118" spans="1:5" ht="15.75">
      <c r="A118" s="7"/>
      <c r="B118" s="7"/>
      <c r="C118" s="7"/>
      <c r="D118" s="7"/>
      <c r="E118" s="7"/>
    </row>
    <row r="119" spans="1:5" ht="15.75">
      <c r="A119" s="7"/>
      <c r="B119" s="7"/>
      <c r="C119" s="7"/>
      <c r="D119" s="7"/>
      <c r="E119" s="7"/>
    </row>
    <row r="120" spans="1:5" ht="15.75">
      <c r="A120" s="7"/>
      <c r="B120" s="7"/>
      <c r="C120" s="7"/>
      <c r="D120" s="7"/>
      <c r="E120" s="7"/>
    </row>
    <row r="121" spans="1:5" ht="15.75">
      <c r="A121" s="7"/>
      <c r="B121" s="7"/>
      <c r="C121" s="7"/>
      <c r="D121" s="7"/>
      <c r="E121" s="7"/>
    </row>
    <row r="122" spans="1:5" ht="15.75">
      <c r="A122" s="7"/>
      <c r="B122" s="7"/>
      <c r="C122" s="7"/>
      <c r="D122" s="7"/>
      <c r="E122" s="7"/>
    </row>
    <row r="123" spans="1:5" ht="15.75">
      <c r="A123" s="7"/>
      <c r="B123" s="7"/>
      <c r="C123" s="7"/>
      <c r="D123" s="7"/>
      <c r="E123" s="7"/>
    </row>
    <row r="124" spans="1:5" ht="15.75">
      <c r="A124" s="7"/>
      <c r="B124" s="7"/>
      <c r="C124" s="7"/>
      <c r="D124" s="7"/>
      <c r="E124" s="7"/>
    </row>
    <row r="125" spans="1:5" ht="15.75">
      <c r="A125" s="7"/>
      <c r="B125" s="7"/>
      <c r="C125" s="7"/>
      <c r="D125" s="7"/>
      <c r="E125" s="7"/>
    </row>
    <row r="126" spans="1:5" ht="15.75">
      <c r="A126" s="7"/>
      <c r="B126" s="7"/>
      <c r="C126" s="7"/>
      <c r="D126" s="7"/>
      <c r="E126" s="7"/>
    </row>
    <row r="127" spans="1:5" ht="15.75">
      <c r="A127" s="7"/>
      <c r="B127" s="7"/>
      <c r="C127" s="7"/>
      <c r="D127" s="7"/>
      <c r="E127" s="7"/>
    </row>
    <row r="128" spans="1:5" ht="15.75">
      <c r="A128" s="7"/>
      <c r="B128" s="7"/>
      <c r="C128" s="7"/>
      <c r="D128" s="7"/>
      <c r="E128" s="7"/>
    </row>
    <row r="129" spans="1:5" ht="15.75">
      <c r="A129" s="7"/>
      <c r="B129" s="7"/>
      <c r="C129" s="7"/>
      <c r="D129" s="7"/>
      <c r="E129" s="7"/>
    </row>
    <row r="130" spans="1:5" ht="15.75">
      <c r="A130" s="7"/>
      <c r="B130" s="7"/>
      <c r="C130" s="7"/>
      <c r="D130" s="7"/>
      <c r="E130" s="7"/>
    </row>
    <row r="131" spans="1:5" ht="15.75">
      <c r="A131" s="7"/>
      <c r="B131" s="7"/>
      <c r="C131" s="7"/>
      <c r="D131" s="7"/>
      <c r="E131" s="7"/>
    </row>
    <row r="132" spans="1:5" ht="15.75">
      <c r="A132" s="7"/>
      <c r="B132" s="7"/>
      <c r="C132" s="7"/>
      <c r="D132" s="7"/>
      <c r="E132" s="7"/>
    </row>
    <row r="133" spans="1:5" ht="15.75">
      <c r="A133" s="7"/>
      <c r="B133" s="7"/>
      <c r="C133" s="7"/>
      <c r="D133" s="7"/>
      <c r="E133" s="7"/>
    </row>
    <row r="134" spans="1:5" ht="15.75">
      <c r="A134" s="7"/>
      <c r="B134" s="7"/>
      <c r="C134" s="7"/>
      <c r="D134" s="7"/>
      <c r="E134" s="7"/>
    </row>
    <row r="135" spans="1:5" ht="15.75">
      <c r="A135" s="7"/>
      <c r="B135" s="7"/>
      <c r="C135" s="7"/>
      <c r="D135" s="7"/>
      <c r="E135" s="7"/>
    </row>
    <row r="136" spans="1:5" ht="15.75">
      <c r="A136" s="7"/>
      <c r="B136" s="7"/>
      <c r="C136" s="7"/>
      <c r="D136" s="7"/>
      <c r="E136" s="7"/>
    </row>
    <row r="137" spans="1:5" ht="15.75">
      <c r="A137" s="7"/>
      <c r="B137" s="7"/>
      <c r="C137" s="7"/>
      <c r="D137" s="7"/>
      <c r="E137" s="7"/>
    </row>
    <row r="138" spans="1:5" ht="15.75">
      <c r="A138" s="7"/>
      <c r="B138" s="7"/>
      <c r="C138" s="7"/>
      <c r="D138" s="7"/>
      <c r="E138" s="7"/>
    </row>
    <row r="139" spans="1:5" ht="15.75">
      <c r="A139" s="7"/>
      <c r="B139" s="7"/>
      <c r="C139" s="7"/>
      <c r="D139" s="7"/>
      <c r="E139" s="7"/>
    </row>
    <row r="140" spans="1:5" ht="15.75">
      <c r="A140" s="7"/>
      <c r="B140" s="7"/>
      <c r="C140" s="7"/>
      <c r="D140" s="7"/>
      <c r="E140" s="7"/>
    </row>
    <row r="141" spans="1:5" ht="15.75">
      <c r="A141" s="7"/>
      <c r="B141" s="7"/>
      <c r="C141" s="7"/>
      <c r="D141" s="7"/>
      <c r="E141" s="7"/>
    </row>
    <row r="142" spans="1:5" ht="15.75">
      <c r="A142" s="7"/>
      <c r="B142" s="7"/>
      <c r="C142" s="7"/>
      <c r="D142" s="7"/>
      <c r="E142" s="7"/>
    </row>
    <row r="143" spans="1:5" ht="15.75">
      <c r="A143" s="7"/>
      <c r="B143" s="7"/>
      <c r="C143" s="7"/>
      <c r="D143" s="7"/>
      <c r="E143" s="7"/>
    </row>
    <row r="144" spans="1:5" ht="15.75">
      <c r="A144" s="7"/>
      <c r="B144" s="7"/>
      <c r="C144" s="7"/>
      <c r="D144" s="7"/>
      <c r="E144" s="7"/>
    </row>
    <row r="145" spans="1:5" ht="15.75">
      <c r="A145" s="7"/>
      <c r="B145" s="7"/>
      <c r="C145" s="7"/>
      <c r="D145" s="7"/>
      <c r="E145" s="7"/>
    </row>
    <row r="146" spans="1:5" ht="15.75">
      <c r="A146" s="7"/>
      <c r="B146" s="7"/>
      <c r="C146" s="7"/>
      <c r="D146" s="7"/>
      <c r="E146" s="7"/>
    </row>
    <row r="147" spans="1:5" ht="15.75">
      <c r="A147" s="7"/>
      <c r="B147" s="7"/>
      <c r="C147" s="7"/>
      <c r="D147" s="7"/>
      <c r="E147" s="7"/>
    </row>
    <row r="148" spans="1:5" ht="15.75">
      <c r="A148" s="7"/>
      <c r="B148" s="7"/>
      <c r="C148" s="7"/>
      <c r="D148" s="7"/>
      <c r="E148" s="7"/>
    </row>
    <row r="149" spans="1:5" ht="15.75">
      <c r="A149" s="7"/>
      <c r="B149" s="7"/>
      <c r="C149" s="7"/>
      <c r="D149" s="7"/>
      <c r="E149" s="7"/>
    </row>
    <row r="150" spans="1:5" ht="15.75">
      <c r="A150" s="7"/>
      <c r="B150" s="7"/>
      <c r="C150" s="7"/>
      <c r="D150" s="7"/>
      <c r="E150" s="7"/>
    </row>
    <row r="151" spans="1:5" ht="15.75">
      <c r="A151" s="7"/>
      <c r="B151" s="7"/>
      <c r="C151" s="7"/>
      <c r="D151" s="7"/>
      <c r="E151" s="7"/>
    </row>
    <row r="152" spans="1:5" ht="15.75">
      <c r="A152" s="7"/>
      <c r="B152" s="7"/>
      <c r="C152" s="7"/>
      <c r="D152" s="7"/>
      <c r="E152" s="7"/>
    </row>
    <row r="153" spans="1:5" ht="15.75">
      <c r="A153" s="7"/>
      <c r="B153" s="7"/>
      <c r="C153" s="7"/>
      <c r="D153" s="7"/>
      <c r="E153" s="7"/>
    </row>
    <row r="154" spans="1:5" ht="15.75">
      <c r="A154" s="7"/>
      <c r="B154" s="7"/>
      <c r="C154" s="7"/>
      <c r="D154" s="7"/>
      <c r="E154" s="7"/>
    </row>
    <row r="155" spans="1:5" ht="15.75">
      <c r="A155" s="7"/>
      <c r="B155" s="7"/>
      <c r="C155" s="7"/>
      <c r="D155" s="7"/>
      <c r="E155" s="7"/>
    </row>
    <row r="156" spans="1:5" ht="15.75">
      <c r="A156" s="7"/>
      <c r="B156" s="7"/>
      <c r="C156" s="7"/>
      <c r="D156" s="7"/>
      <c r="E156" s="7"/>
    </row>
    <row r="157" spans="1:5" ht="15.75">
      <c r="A157" s="7"/>
      <c r="B157" s="7"/>
      <c r="C157" s="7"/>
      <c r="D157" s="7"/>
      <c r="E157" s="7"/>
    </row>
    <row r="158" spans="1:5" ht="15.75">
      <c r="A158" s="7"/>
      <c r="B158" s="7"/>
      <c r="C158" s="7"/>
      <c r="D158" s="7"/>
      <c r="E158" s="7"/>
    </row>
    <row r="159" spans="1:5" ht="15.75">
      <c r="A159" s="7"/>
      <c r="B159" s="7"/>
      <c r="C159" s="7"/>
      <c r="D159" s="7"/>
      <c r="E159" s="7"/>
    </row>
    <row r="160" spans="1:5" ht="15.75">
      <c r="A160" s="7"/>
      <c r="B160" s="7"/>
      <c r="C160" s="7"/>
      <c r="D160" s="7"/>
      <c r="E160" s="7"/>
    </row>
    <row r="161" spans="1:5" ht="15.75">
      <c r="A161" s="7"/>
      <c r="B161" s="7"/>
      <c r="C161" s="7"/>
      <c r="D161" s="7"/>
      <c r="E161" s="7"/>
    </row>
    <row r="162" spans="1:5" ht="15.75">
      <c r="A162" s="7"/>
      <c r="B162" s="7"/>
      <c r="C162" s="7"/>
      <c r="D162" s="7"/>
      <c r="E162" s="7"/>
    </row>
    <row r="163" spans="1:5" ht="15.75">
      <c r="A163" s="7"/>
      <c r="B163" s="7"/>
      <c r="C163" s="7"/>
      <c r="D163" s="7"/>
      <c r="E163" s="7"/>
    </row>
    <row r="164" spans="1:5" ht="15.75">
      <c r="A164" s="7"/>
      <c r="B164" s="7"/>
      <c r="C164" s="7"/>
      <c r="D164" s="7"/>
      <c r="E164" s="7"/>
    </row>
    <row r="165" spans="1:5" ht="15.75">
      <c r="A165" s="7"/>
      <c r="B165" s="7"/>
      <c r="C165" s="7"/>
      <c r="D165" s="7"/>
      <c r="E165" s="7"/>
    </row>
    <row r="166" spans="1:5" ht="15.75">
      <c r="A166" s="7"/>
      <c r="B166" s="7"/>
      <c r="C166" s="7"/>
      <c r="D166" s="7"/>
      <c r="E166" s="7"/>
    </row>
    <row r="167" spans="1:5" ht="15.75">
      <c r="A167" s="7"/>
      <c r="B167" s="7"/>
      <c r="C167" s="7"/>
      <c r="D167" s="7"/>
      <c r="E167" s="7"/>
    </row>
    <row r="168" spans="1:5" ht="15.75">
      <c r="A168" s="7"/>
      <c r="B168" s="7"/>
      <c r="C168" s="7"/>
      <c r="D168" s="7"/>
      <c r="E168" s="7"/>
    </row>
    <row r="169" spans="1:5" ht="15.75">
      <c r="A169" s="7"/>
      <c r="B169" s="7"/>
      <c r="C169" s="7"/>
      <c r="D169" s="7"/>
      <c r="E169" s="7"/>
    </row>
    <row r="170" spans="1:5" ht="15.75">
      <c r="A170" s="7"/>
      <c r="B170" s="7"/>
      <c r="C170" s="7"/>
      <c r="D170" s="7"/>
      <c r="E170" s="7"/>
    </row>
    <row r="171" spans="1:5" ht="15.75">
      <c r="A171" s="7"/>
      <c r="B171" s="7"/>
      <c r="C171" s="7"/>
      <c r="D171" s="7"/>
      <c r="E171" s="7"/>
    </row>
    <row r="172" spans="1:5" ht="15.75">
      <c r="A172" s="7"/>
      <c r="B172" s="7"/>
      <c r="C172" s="7"/>
      <c r="D172" s="7"/>
      <c r="E172" s="7"/>
    </row>
    <row r="173" spans="1:5" ht="15.75">
      <c r="A173" s="7"/>
      <c r="B173" s="7"/>
      <c r="C173" s="7"/>
      <c r="D173" s="7"/>
      <c r="E173" s="7"/>
    </row>
    <row r="174" spans="1:5" ht="15.75">
      <c r="A174" s="7"/>
      <c r="B174" s="7"/>
      <c r="C174" s="7"/>
      <c r="D174" s="7"/>
      <c r="E174" s="7"/>
    </row>
    <row r="175" spans="1:5" ht="15.75">
      <c r="A175" s="7"/>
      <c r="B175" s="7"/>
      <c r="C175" s="7"/>
      <c r="D175" s="7"/>
      <c r="E175" s="7"/>
    </row>
    <row r="176" spans="1:5" ht="15.75">
      <c r="A176" s="7"/>
      <c r="B176" s="7"/>
      <c r="C176" s="7"/>
      <c r="D176" s="7"/>
      <c r="E176" s="7"/>
    </row>
    <row r="177" spans="1:5" ht="15.75">
      <c r="A177" s="7"/>
      <c r="B177" s="7"/>
      <c r="C177" s="7"/>
      <c r="D177" s="7"/>
      <c r="E177" s="7"/>
    </row>
    <row r="178" spans="1:5" ht="15.75">
      <c r="A178" s="7"/>
      <c r="B178" s="7"/>
      <c r="C178" s="7"/>
      <c r="D178" s="7"/>
      <c r="E178" s="7"/>
    </row>
    <row r="179" spans="1:5" ht="15.75">
      <c r="A179" s="7"/>
      <c r="B179" s="7"/>
      <c r="C179" s="7"/>
      <c r="D179" s="7"/>
      <c r="E179" s="7"/>
    </row>
    <row r="180" spans="1:5" ht="15.75">
      <c r="A180" s="7"/>
      <c r="B180" s="7"/>
      <c r="C180" s="7"/>
      <c r="D180" s="7"/>
      <c r="E180" s="7"/>
    </row>
    <row r="181" spans="1:5" ht="15.75">
      <c r="A181" s="7"/>
      <c r="B181" s="7"/>
      <c r="C181" s="7"/>
      <c r="D181" s="7"/>
      <c r="E181" s="7"/>
    </row>
    <row r="182" spans="1:5" ht="15.75">
      <c r="A182" s="7"/>
      <c r="B182" s="7"/>
      <c r="C182" s="7"/>
      <c r="D182" s="7"/>
      <c r="E182" s="7"/>
    </row>
    <row r="183" spans="1:5" ht="15.75">
      <c r="A183" s="7"/>
      <c r="B183" s="7"/>
      <c r="C183" s="7"/>
      <c r="D183" s="7"/>
      <c r="E183" s="7"/>
    </row>
    <row r="184" spans="1:5" ht="15.75">
      <c r="A184" s="7"/>
      <c r="B184" s="7"/>
      <c r="C184" s="7"/>
      <c r="D184" s="7"/>
      <c r="E184" s="7"/>
    </row>
    <row r="185" spans="1:5" ht="15.75">
      <c r="A185" s="7"/>
      <c r="B185" s="7"/>
      <c r="C185" s="7"/>
      <c r="D185" s="7"/>
      <c r="E185" s="7"/>
    </row>
    <row r="186" spans="1:5" ht="15.75">
      <c r="A186" s="7"/>
      <c r="B186" s="7"/>
      <c r="C186" s="7"/>
      <c r="D186" s="7"/>
      <c r="E186" s="7"/>
    </row>
    <row r="187" spans="1:5" ht="15.75">
      <c r="A187" s="7"/>
      <c r="B187" s="7"/>
      <c r="C187" s="7"/>
      <c r="D187" s="7"/>
      <c r="E187" s="7"/>
    </row>
    <row r="188" spans="1:5" ht="15.75">
      <c r="A188" s="7"/>
      <c r="B188" s="7"/>
      <c r="C188" s="7"/>
      <c r="D188" s="7"/>
      <c r="E188" s="7"/>
    </row>
    <row r="189" spans="1:5" ht="15.75">
      <c r="A189" s="7"/>
      <c r="B189" s="7"/>
      <c r="C189" s="7"/>
      <c r="D189" s="7"/>
      <c r="E189" s="7"/>
    </row>
    <row r="190" spans="1:5" ht="15.75">
      <c r="A190" s="7"/>
      <c r="B190" s="7"/>
      <c r="C190" s="7"/>
      <c r="D190" s="7"/>
      <c r="E190" s="7"/>
    </row>
    <row r="191" spans="1:5" ht="15.75">
      <c r="A191" s="7"/>
      <c r="B191" s="7"/>
      <c r="C191" s="7"/>
      <c r="D191" s="7"/>
      <c r="E191" s="7"/>
    </row>
    <row r="192" spans="1:5" ht="15.75">
      <c r="A192" s="7"/>
      <c r="B192" s="7"/>
      <c r="C192" s="7"/>
      <c r="D192" s="7"/>
      <c r="E192" s="7"/>
    </row>
    <row r="193" spans="1:5" ht="15.75">
      <c r="A193" s="7"/>
      <c r="B193" s="7"/>
      <c r="C193" s="7"/>
      <c r="D193" s="7"/>
      <c r="E193" s="7"/>
    </row>
    <row r="194" spans="1:5" ht="15.75">
      <c r="A194" s="7"/>
      <c r="B194" s="7"/>
      <c r="C194" s="7"/>
      <c r="D194" s="7"/>
      <c r="E194" s="7"/>
    </row>
    <row r="195" spans="1:5" ht="15.75">
      <c r="A195" s="7"/>
      <c r="B195" s="7"/>
      <c r="C195" s="7"/>
      <c r="D195" s="7"/>
      <c r="E195" s="7"/>
    </row>
    <row r="196" spans="1:5" ht="15.75">
      <c r="A196" s="7"/>
      <c r="B196" s="7"/>
      <c r="C196" s="7"/>
      <c r="D196" s="7"/>
      <c r="E196" s="7"/>
    </row>
    <row r="197" spans="1:5" ht="15.75">
      <c r="A197" s="7"/>
      <c r="B197" s="7"/>
      <c r="C197" s="7"/>
      <c r="D197" s="7"/>
      <c r="E197" s="7"/>
    </row>
    <row r="198" spans="1:5" ht="15.75">
      <c r="A198" s="7"/>
      <c r="B198" s="7"/>
      <c r="C198" s="7"/>
      <c r="D198" s="7"/>
      <c r="E198" s="7"/>
    </row>
    <row r="199" spans="1:5" ht="15.75">
      <c r="A199" s="7"/>
      <c r="B199" s="7"/>
      <c r="C199" s="7"/>
      <c r="D199" s="7"/>
      <c r="E199" s="7"/>
    </row>
    <row r="200" spans="1:5" ht="15.75">
      <c r="A200" s="7"/>
      <c r="B200" s="7"/>
      <c r="C200" s="7"/>
      <c r="D200" s="7"/>
      <c r="E200" s="7"/>
    </row>
    <row r="201" spans="1:5" ht="15.75">
      <c r="A201" s="7"/>
      <c r="B201" s="7"/>
      <c r="C201" s="7"/>
      <c r="D201" s="7"/>
      <c r="E201" s="7"/>
    </row>
    <row r="202" spans="1:5" ht="15.75">
      <c r="A202" s="7"/>
      <c r="B202" s="7"/>
      <c r="C202" s="7"/>
      <c r="D202" s="7"/>
      <c r="E202" s="7"/>
    </row>
    <row r="203" spans="1:5" ht="15.75">
      <c r="A203" s="7"/>
      <c r="B203" s="7"/>
      <c r="C203" s="7"/>
      <c r="D203" s="7"/>
      <c r="E203" s="7"/>
    </row>
    <row r="204" spans="1:5" ht="15.75">
      <c r="A204" s="7"/>
      <c r="B204" s="7"/>
      <c r="C204" s="7"/>
      <c r="D204" s="7"/>
      <c r="E204" s="7"/>
    </row>
    <row r="205" spans="1:5" ht="15.75">
      <c r="A205" s="7"/>
      <c r="B205" s="7"/>
      <c r="C205" s="7"/>
      <c r="D205" s="7"/>
      <c r="E205" s="7"/>
    </row>
    <row r="206" spans="1:5" ht="15.75">
      <c r="A206" s="7"/>
      <c r="B206" s="7"/>
      <c r="C206" s="7"/>
      <c r="D206" s="7"/>
      <c r="E206" s="7"/>
    </row>
    <row r="207" spans="1:5" ht="15.75">
      <c r="A207" s="7"/>
      <c r="B207" s="7"/>
      <c r="C207" s="7"/>
      <c r="D207" s="7"/>
      <c r="E207" s="7"/>
    </row>
    <row r="208" spans="1:5" ht="15.75">
      <c r="A208" s="7"/>
      <c r="B208" s="7"/>
      <c r="C208" s="7"/>
      <c r="D208" s="7"/>
      <c r="E208" s="7"/>
    </row>
    <row r="209" spans="1:5" ht="15.75">
      <c r="A209" s="7"/>
      <c r="B209" s="7"/>
      <c r="C209" s="7"/>
      <c r="D209" s="7"/>
      <c r="E209" s="7"/>
    </row>
    <row r="210" spans="1:5" ht="15.75">
      <c r="A210" s="7"/>
      <c r="B210" s="7"/>
      <c r="C210" s="7"/>
      <c r="D210" s="7"/>
      <c r="E210" s="7"/>
    </row>
    <row r="211" spans="1:5" ht="15.75">
      <c r="A211" s="7"/>
      <c r="B211" s="7"/>
      <c r="C211" s="7"/>
      <c r="D211" s="7"/>
      <c r="E211" s="7"/>
    </row>
    <row r="212" spans="1:5" ht="15.75">
      <c r="A212" s="7"/>
      <c r="B212" s="7"/>
      <c r="C212" s="7"/>
      <c r="D212" s="7"/>
      <c r="E212" s="7"/>
    </row>
    <row r="213" spans="1:5" ht="15.75">
      <c r="A213" s="7"/>
      <c r="B213" s="7"/>
      <c r="C213" s="7"/>
      <c r="D213" s="7"/>
      <c r="E213" s="7"/>
    </row>
    <row r="214" spans="1:5" ht="15.75">
      <c r="A214" s="7"/>
      <c r="B214" s="7"/>
      <c r="C214" s="7"/>
      <c r="D214" s="7"/>
      <c r="E214" s="7"/>
    </row>
    <row r="215" spans="1:5" ht="15.75">
      <c r="A215" s="7"/>
      <c r="B215" s="7"/>
      <c r="C215" s="7"/>
      <c r="D215" s="7"/>
      <c r="E215" s="7"/>
    </row>
    <row r="216" spans="1:5" ht="15.75">
      <c r="A216" s="7"/>
      <c r="B216" s="7"/>
      <c r="C216" s="7"/>
      <c r="D216" s="7"/>
      <c r="E216" s="7"/>
    </row>
    <row r="217" spans="1:5" ht="15.75">
      <c r="A217" s="7"/>
      <c r="B217" s="7"/>
      <c r="C217" s="7"/>
      <c r="D217" s="7"/>
      <c r="E217" s="7"/>
    </row>
    <row r="218" spans="1:5" ht="15.75">
      <c r="A218" s="7"/>
      <c r="B218" s="7"/>
      <c r="C218" s="7"/>
      <c r="D218" s="7"/>
      <c r="E218" s="7"/>
    </row>
    <row r="219" spans="1:5" ht="15.75">
      <c r="A219" s="7"/>
      <c r="B219" s="7"/>
      <c r="C219" s="7"/>
      <c r="D219" s="7"/>
      <c r="E219" s="7"/>
    </row>
    <row r="220" spans="1:5" ht="15.75">
      <c r="A220" s="7"/>
      <c r="B220" s="7"/>
      <c r="C220" s="7"/>
      <c r="D220" s="7"/>
      <c r="E220" s="7"/>
    </row>
    <row r="221" spans="1:5" ht="15.75">
      <c r="A221" s="7"/>
      <c r="B221" s="7"/>
      <c r="C221" s="7"/>
      <c r="D221" s="7"/>
      <c r="E221" s="7"/>
    </row>
    <row r="222" spans="1:5" ht="15.75">
      <c r="A222" s="7"/>
      <c r="B222" s="7"/>
      <c r="C222" s="7"/>
      <c r="D222" s="7"/>
      <c r="E222" s="7"/>
    </row>
    <row r="223" spans="1:5" ht="15.75">
      <c r="A223" s="7"/>
      <c r="B223" s="7"/>
      <c r="C223" s="7"/>
      <c r="D223" s="7"/>
      <c r="E223" s="7"/>
    </row>
    <row r="224" spans="1:5" ht="15.75">
      <c r="A224" s="7"/>
      <c r="B224" s="7"/>
      <c r="C224" s="7"/>
      <c r="D224" s="7"/>
      <c r="E224" s="7"/>
    </row>
    <row r="225" spans="1:5" ht="15.75">
      <c r="A225" s="7"/>
      <c r="B225" s="7"/>
      <c r="C225" s="7"/>
      <c r="D225" s="7"/>
      <c r="E225" s="7"/>
    </row>
    <row r="226" spans="1:5" ht="15.75">
      <c r="A226" s="7"/>
      <c r="B226" s="7"/>
      <c r="C226" s="7"/>
      <c r="D226" s="7"/>
      <c r="E226" s="7"/>
    </row>
    <row r="227" spans="1:5" ht="15.75">
      <c r="A227" s="7"/>
      <c r="B227" s="7"/>
      <c r="C227" s="7"/>
      <c r="D227" s="7"/>
      <c r="E227" s="7"/>
    </row>
    <row r="228" spans="1:5" ht="15.75">
      <c r="A228" s="7"/>
      <c r="B228" s="7"/>
      <c r="C228" s="7"/>
      <c r="D228" s="7"/>
      <c r="E228" s="7"/>
    </row>
    <row r="229" spans="1:5" ht="15.75">
      <c r="A229" s="7"/>
      <c r="B229" s="7"/>
      <c r="C229" s="7"/>
      <c r="D229" s="7"/>
      <c r="E229" s="7"/>
    </row>
    <row r="230" spans="1:5" ht="15.75">
      <c r="A230" s="7"/>
      <c r="B230" s="7"/>
      <c r="C230" s="7"/>
      <c r="D230" s="7"/>
      <c r="E230" s="7"/>
    </row>
    <row r="231" spans="1:5" ht="15.75">
      <c r="A231" s="7"/>
      <c r="B231" s="7"/>
      <c r="C231" s="7"/>
      <c r="D231" s="7"/>
      <c r="E231" s="7"/>
    </row>
    <row r="232" spans="1:5" ht="15.75">
      <c r="A232" s="7"/>
      <c r="B232" s="7"/>
      <c r="C232" s="7"/>
      <c r="D232" s="7"/>
      <c r="E232" s="7"/>
    </row>
    <row r="233" spans="1:5" ht="15.75">
      <c r="A233" s="7"/>
      <c r="B233" s="7"/>
      <c r="C233" s="7"/>
      <c r="D233" s="7"/>
      <c r="E233" s="7"/>
    </row>
    <row r="234" spans="1:5" ht="15.75">
      <c r="A234" s="7"/>
      <c r="B234" s="7"/>
      <c r="C234" s="7"/>
      <c r="D234" s="7"/>
      <c r="E234" s="7"/>
    </row>
    <row r="235" spans="1:5" ht="15.75">
      <c r="A235" s="7"/>
      <c r="B235" s="7"/>
      <c r="C235" s="7"/>
      <c r="D235" s="7"/>
      <c r="E235" s="7"/>
    </row>
    <row r="236" spans="1:5" ht="15.75">
      <c r="A236" s="7"/>
      <c r="B236" s="7"/>
      <c r="C236" s="7"/>
      <c r="D236" s="7"/>
      <c r="E236" s="7"/>
    </row>
    <row r="237" spans="1:5" ht="15.75">
      <c r="A237" s="7"/>
      <c r="B237" s="7"/>
      <c r="C237" s="7"/>
      <c r="D237" s="7"/>
      <c r="E237" s="7"/>
    </row>
    <row r="238" spans="1:5" ht="15.75">
      <c r="A238" s="7"/>
      <c r="B238" s="7"/>
      <c r="C238" s="7"/>
      <c r="D238" s="7"/>
      <c r="E238" s="7"/>
    </row>
    <row r="239" spans="1:5" ht="15.75">
      <c r="A239" s="7"/>
      <c r="B239" s="7"/>
      <c r="C239" s="7"/>
      <c r="D239" s="7"/>
      <c r="E239" s="7"/>
    </row>
    <row r="240" spans="1:5" ht="15.75">
      <c r="A240" s="7"/>
      <c r="B240" s="7"/>
      <c r="C240" s="7"/>
      <c r="D240" s="7"/>
      <c r="E240" s="7"/>
    </row>
    <row r="241" spans="1:5" ht="15.75">
      <c r="A241" s="7"/>
      <c r="B241" s="7"/>
      <c r="C241" s="7"/>
      <c r="D241" s="7"/>
      <c r="E241" s="7"/>
    </row>
    <row r="242" spans="1:5" ht="15.75">
      <c r="A242" s="7"/>
      <c r="B242" s="7"/>
      <c r="C242" s="7"/>
      <c r="D242" s="7"/>
      <c r="E242" s="7"/>
    </row>
    <row r="243" spans="1:5" ht="15.75">
      <c r="A243" s="7"/>
      <c r="B243" s="7"/>
      <c r="C243" s="7"/>
      <c r="D243" s="7"/>
      <c r="E243" s="7"/>
    </row>
    <row r="244" spans="1:5" ht="15.75">
      <c r="A244" s="7"/>
      <c r="B244" s="7"/>
      <c r="C244" s="7"/>
      <c r="D244" s="7"/>
      <c r="E244" s="7"/>
    </row>
    <row r="245" spans="1:5" ht="15.75">
      <c r="A245" s="7"/>
      <c r="B245" s="7"/>
      <c r="C245" s="7"/>
      <c r="D245" s="7"/>
      <c r="E245" s="7"/>
    </row>
    <row r="246" spans="1:5" ht="15.75">
      <c r="A246" s="7"/>
      <c r="B246" s="7"/>
      <c r="C246" s="7"/>
      <c r="D246" s="7"/>
      <c r="E246" s="7"/>
    </row>
    <row r="247" spans="1:5" ht="15.75">
      <c r="A247" s="7"/>
      <c r="B247" s="7"/>
      <c r="C247" s="7"/>
      <c r="D247" s="7"/>
      <c r="E247" s="7"/>
    </row>
    <row r="248" spans="1:5" ht="15.75">
      <c r="A248" s="7"/>
      <c r="B248" s="7"/>
      <c r="C248" s="7"/>
      <c r="D248" s="7"/>
      <c r="E248" s="7"/>
    </row>
    <row r="249" spans="1:5" ht="15.75">
      <c r="A249" s="7"/>
      <c r="B249" s="7"/>
      <c r="C249" s="7"/>
      <c r="D249" s="7"/>
      <c r="E249" s="7"/>
    </row>
    <row r="250" spans="1:5" ht="15.75">
      <c r="A250" s="7"/>
      <c r="B250" s="7"/>
      <c r="C250" s="7"/>
      <c r="D250" s="7"/>
      <c r="E250" s="7"/>
    </row>
    <row r="251" spans="1:5" ht="15.75">
      <c r="A251" s="7"/>
      <c r="B251" s="7"/>
      <c r="C251" s="7"/>
      <c r="D251" s="7"/>
      <c r="E251" s="7"/>
    </row>
    <row r="252" spans="1:5" ht="15.75">
      <c r="A252" s="7"/>
      <c r="B252" s="7"/>
      <c r="C252" s="7"/>
      <c r="D252" s="7"/>
      <c r="E252" s="7"/>
    </row>
    <row r="253" spans="1:5" ht="15.75">
      <c r="A253" s="7"/>
      <c r="B253" s="7"/>
      <c r="C253" s="7"/>
      <c r="D253" s="7"/>
      <c r="E253" s="7"/>
    </row>
    <row r="254" spans="1:5" ht="15.75">
      <c r="A254" s="7"/>
      <c r="B254" s="7"/>
      <c r="C254" s="7"/>
      <c r="D254" s="7"/>
      <c r="E254" s="7"/>
    </row>
    <row r="255" spans="1:5" ht="15.75">
      <c r="A255" s="7"/>
      <c r="B255" s="7"/>
      <c r="C255" s="7"/>
      <c r="D255" s="7"/>
      <c r="E255" s="7"/>
    </row>
    <row r="256" spans="1:5" ht="15.75">
      <c r="A256" s="7"/>
      <c r="B256" s="7"/>
      <c r="C256" s="7"/>
      <c r="D256" s="7"/>
      <c r="E256" s="7"/>
    </row>
    <row r="257" spans="1:5" ht="15.75">
      <c r="A257" s="7"/>
      <c r="B257" s="7"/>
      <c r="C257" s="7"/>
      <c r="D257" s="7"/>
      <c r="E257" s="7"/>
    </row>
    <row r="258" spans="1:5" ht="15.75">
      <c r="A258" s="7"/>
      <c r="B258" s="7"/>
      <c r="C258" s="7"/>
      <c r="D258" s="7"/>
      <c r="E258" s="7"/>
    </row>
    <row r="259" spans="1:5" ht="15.75">
      <c r="A259" s="7"/>
      <c r="B259" s="7"/>
      <c r="C259" s="7"/>
      <c r="D259" s="7"/>
      <c r="E259" s="7"/>
    </row>
    <row r="260" spans="1:5" ht="15.75">
      <c r="A260" s="7"/>
      <c r="B260" s="7"/>
      <c r="C260" s="7"/>
      <c r="D260" s="7"/>
      <c r="E260" s="7"/>
    </row>
    <row r="261" spans="1:5" ht="15.75">
      <c r="A261" s="7"/>
      <c r="B261" s="7"/>
      <c r="C261" s="7"/>
      <c r="D261" s="7"/>
      <c r="E261" s="7"/>
    </row>
    <row r="262" spans="1:5" ht="15.75">
      <c r="A262" s="7"/>
      <c r="B262" s="7"/>
      <c r="C262" s="7"/>
      <c r="D262" s="7"/>
      <c r="E262" s="7"/>
    </row>
    <row r="263" spans="1:5" ht="15.75">
      <c r="A263" s="7"/>
      <c r="B263" s="7"/>
      <c r="C263" s="7"/>
      <c r="D263" s="7"/>
      <c r="E263" s="7"/>
    </row>
    <row r="264" spans="1:5" ht="15.75">
      <c r="A264" s="7"/>
      <c r="B264" s="7"/>
      <c r="C264" s="7"/>
      <c r="D264" s="7"/>
      <c r="E264" s="7"/>
    </row>
    <row r="265" spans="1:5" ht="15.75">
      <c r="A265" s="7"/>
      <c r="B265" s="7"/>
      <c r="C265" s="7"/>
      <c r="D265" s="7"/>
      <c r="E265" s="7"/>
    </row>
    <row r="266" spans="1:5" ht="15.75">
      <c r="A266" s="7"/>
      <c r="B266" s="7"/>
      <c r="C266" s="7"/>
      <c r="D266" s="7"/>
      <c r="E266" s="7"/>
    </row>
    <row r="267" spans="1:5" ht="15.75">
      <c r="A267" s="7"/>
      <c r="B267" s="7"/>
      <c r="C267" s="7"/>
      <c r="D267" s="7"/>
      <c r="E267" s="7"/>
    </row>
    <row r="268" spans="1:5" ht="15.75">
      <c r="A268" s="7"/>
      <c r="B268" s="7"/>
      <c r="C268" s="7"/>
      <c r="D268" s="7"/>
      <c r="E268" s="7"/>
    </row>
    <row r="269" spans="1:5" ht="15.75">
      <c r="A269" s="7"/>
      <c r="B269" s="7"/>
      <c r="C269" s="7"/>
      <c r="D269" s="7"/>
      <c r="E269" s="7"/>
    </row>
    <row r="270" spans="1:5" ht="15.75">
      <c r="A270" s="7"/>
      <c r="B270" s="7"/>
      <c r="C270" s="7"/>
      <c r="D270" s="7"/>
      <c r="E270" s="7"/>
    </row>
    <row r="271" spans="1:5" ht="15.75">
      <c r="A271" s="7"/>
      <c r="B271" s="7"/>
      <c r="C271" s="7"/>
      <c r="D271" s="7"/>
      <c r="E271" s="7"/>
    </row>
    <row r="272" spans="1:5" ht="15.75">
      <c r="A272" s="7"/>
      <c r="B272" s="7"/>
      <c r="C272" s="7"/>
      <c r="D272" s="7"/>
      <c r="E272" s="7"/>
    </row>
    <row r="273" spans="1:5" ht="15.75">
      <c r="A273" s="7"/>
      <c r="B273" s="7"/>
      <c r="C273" s="7"/>
      <c r="D273" s="7"/>
      <c r="E273" s="7"/>
    </row>
    <row r="274" spans="1:5" ht="15.75">
      <c r="A274" s="7"/>
      <c r="B274" s="7"/>
      <c r="C274" s="7"/>
      <c r="D274" s="7"/>
      <c r="E274" s="7"/>
    </row>
    <row r="275" spans="1:5" ht="15.75">
      <c r="A275" s="7"/>
      <c r="B275" s="7"/>
      <c r="C275" s="7"/>
      <c r="D275" s="7"/>
      <c r="E275" s="7"/>
    </row>
    <row r="276" spans="1:5" ht="15.75">
      <c r="A276" s="7"/>
      <c r="B276" s="7"/>
      <c r="C276" s="7"/>
      <c r="D276" s="7"/>
      <c r="E276" s="7"/>
    </row>
    <row r="277" spans="1:5" ht="15.75">
      <c r="A277" s="7"/>
      <c r="B277" s="7"/>
      <c r="C277" s="7"/>
      <c r="D277" s="7"/>
      <c r="E277" s="7"/>
    </row>
    <row r="278" spans="1:5" ht="15.75">
      <c r="A278" s="7"/>
      <c r="B278" s="7"/>
      <c r="C278" s="7"/>
      <c r="D278" s="7"/>
      <c r="E278" s="7"/>
    </row>
    <row r="279" spans="1:5" ht="15.75">
      <c r="A279" s="7"/>
      <c r="B279" s="7"/>
      <c r="C279" s="7"/>
      <c r="D279" s="7"/>
      <c r="E279" s="7"/>
    </row>
    <row r="280" spans="1:5" ht="15.75">
      <c r="A280" s="7"/>
      <c r="B280" s="7"/>
      <c r="C280" s="7"/>
      <c r="D280" s="7"/>
      <c r="E280" s="7"/>
    </row>
    <row r="281" spans="1:5" ht="15.75">
      <c r="A281" s="7"/>
      <c r="B281" s="7"/>
      <c r="C281" s="7"/>
      <c r="D281" s="7"/>
      <c r="E281" s="7"/>
    </row>
    <row r="282" spans="1:5" ht="15.75">
      <c r="A282" s="7"/>
      <c r="B282" s="7"/>
      <c r="C282" s="7"/>
      <c r="D282" s="7"/>
      <c r="E282" s="7"/>
    </row>
    <row r="283" spans="1:5" ht="15.75">
      <c r="A283" s="7"/>
      <c r="B283" s="7"/>
      <c r="C283" s="7"/>
      <c r="D283" s="7"/>
      <c r="E283" s="7"/>
    </row>
    <row r="284" spans="1:5" ht="15.75">
      <c r="A284" s="7"/>
      <c r="B284" s="7"/>
      <c r="C284" s="7"/>
      <c r="D284" s="7"/>
      <c r="E284" s="7"/>
    </row>
    <row r="285" spans="1:5" ht="15.75">
      <c r="A285" s="7"/>
      <c r="B285" s="7"/>
      <c r="C285" s="7"/>
      <c r="D285" s="7"/>
      <c r="E285" s="7"/>
    </row>
    <row r="286" spans="1:5" ht="15.75">
      <c r="A286" s="7"/>
      <c r="B286" s="7"/>
      <c r="C286" s="7"/>
      <c r="D286" s="7"/>
      <c r="E286" s="7"/>
    </row>
    <row r="287" spans="1:5" ht="15.75">
      <c r="A287" s="7"/>
      <c r="B287" s="7"/>
      <c r="C287" s="7"/>
      <c r="D287" s="7"/>
      <c r="E287" s="7"/>
    </row>
    <row r="288" spans="1:5" ht="15.75">
      <c r="A288" s="7"/>
      <c r="B288" s="7"/>
      <c r="C288" s="7"/>
      <c r="D288" s="7"/>
      <c r="E288" s="7"/>
    </row>
    <row r="289" spans="1:5" ht="15.75">
      <c r="A289" s="7"/>
      <c r="B289" s="7"/>
      <c r="C289" s="7"/>
      <c r="D289" s="7"/>
      <c r="E289" s="7"/>
    </row>
    <row r="290" spans="1:5" ht="15.75">
      <c r="A290" s="7"/>
      <c r="B290" s="7"/>
      <c r="C290" s="7"/>
      <c r="D290" s="7"/>
      <c r="E290" s="7"/>
    </row>
    <row r="291" spans="1:5" ht="15.75">
      <c r="A291" s="7"/>
      <c r="B291" s="7"/>
      <c r="C291" s="7"/>
      <c r="D291" s="7"/>
      <c r="E291" s="7"/>
    </row>
    <row r="292" spans="1:5" ht="15.75">
      <c r="A292" s="7"/>
      <c r="B292" s="7"/>
      <c r="C292" s="7"/>
      <c r="D292" s="7"/>
      <c r="E292" s="7"/>
    </row>
    <row r="293" spans="1:5" ht="15.75">
      <c r="A293" s="7"/>
      <c r="B293" s="7"/>
      <c r="C293" s="7"/>
      <c r="D293" s="7"/>
      <c r="E293" s="7"/>
    </row>
    <row r="294" spans="1:5" ht="15.75">
      <c r="A294" s="7"/>
      <c r="B294" s="7"/>
      <c r="C294" s="7"/>
      <c r="D294" s="7"/>
      <c r="E294" s="7"/>
    </row>
    <row r="295" spans="1:5" ht="15.75">
      <c r="A295" s="7"/>
      <c r="B295" s="7"/>
      <c r="C295" s="7"/>
      <c r="D295" s="7"/>
      <c r="E295" s="7"/>
    </row>
    <row r="296" spans="1:5" ht="15.75">
      <c r="A296" s="7"/>
      <c r="B296" s="7"/>
      <c r="C296" s="7"/>
      <c r="D296" s="7"/>
      <c r="E296" s="7"/>
    </row>
    <row r="297" spans="1:5" ht="15.75">
      <c r="A297" s="7"/>
      <c r="B297" s="7"/>
      <c r="C297" s="7"/>
      <c r="D297" s="7"/>
      <c r="E297" s="7"/>
    </row>
    <row r="298" spans="1:5" ht="15.75">
      <c r="A298" s="7"/>
      <c r="B298" s="7"/>
      <c r="C298" s="7"/>
      <c r="D298" s="7"/>
      <c r="E298" s="7"/>
    </row>
    <row r="299" spans="1:5" ht="15.75">
      <c r="A299" s="7"/>
      <c r="B299" s="7"/>
      <c r="C299" s="7"/>
      <c r="D299" s="7"/>
      <c r="E299" s="7"/>
    </row>
    <row r="300" spans="1:5" ht="15.75">
      <c r="A300" s="7"/>
      <c r="B300" s="7"/>
      <c r="C300" s="7"/>
      <c r="D300" s="7"/>
      <c r="E300" s="7"/>
    </row>
    <row r="301" spans="1:5" ht="15.75">
      <c r="A301" s="7"/>
      <c r="B301" s="7"/>
      <c r="C301" s="7"/>
      <c r="D301" s="7"/>
      <c r="E301" s="7"/>
    </row>
    <row r="302" spans="1:5" ht="15.75">
      <c r="A302" s="7"/>
      <c r="B302" s="7"/>
      <c r="C302" s="7"/>
      <c r="D302" s="7"/>
      <c r="E302" s="7"/>
    </row>
    <row r="303" spans="1:5" ht="15.75">
      <c r="A303" s="7"/>
      <c r="B303" s="7"/>
      <c r="C303" s="7"/>
      <c r="D303" s="7"/>
      <c r="E303" s="7"/>
    </row>
    <row r="304" spans="1:5" ht="15.75">
      <c r="A304" s="7"/>
      <c r="B304" s="7"/>
      <c r="C304" s="7"/>
      <c r="D304" s="7"/>
      <c r="E304" s="7"/>
    </row>
    <row r="305" spans="1:5" ht="15.75">
      <c r="A305" s="7"/>
      <c r="B305" s="7"/>
      <c r="C305" s="7"/>
      <c r="D305" s="7"/>
      <c r="E305" s="7"/>
    </row>
    <row r="306" spans="1:5" ht="15.75">
      <c r="A306" s="7"/>
      <c r="B306" s="7"/>
      <c r="C306" s="7"/>
      <c r="D306" s="7"/>
      <c r="E306" s="7"/>
    </row>
    <row r="307" spans="1:5" ht="15.75">
      <c r="A307" s="7"/>
      <c r="B307" s="7"/>
      <c r="C307" s="7"/>
      <c r="D307" s="7"/>
      <c r="E307" s="7"/>
    </row>
    <row r="308" spans="1:5" ht="15.75">
      <c r="A308" s="7"/>
      <c r="B308" s="7"/>
      <c r="C308" s="7"/>
      <c r="D308" s="7"/>
      <c r="E308" s="7"/>
    </row>
    <row r="309" spans="1:5" ht="15.75">
      <c r="A309" s="7"/>
      <c r="B309" s="7"/>
      <c r="C309" s="7"/>
      <c r="D309" s="7"/>
      <c r="E309" s="7"/>
    </row>
    <row r="310" spans="1:5" ht="15.75">
      <c r="A310" s="7"/>
      <c r="B310" s="7"/>
      <c r="C310" s="7"/>
      <c r="D310" s="7"/>
      <c r="E310" s="7"/>
    </row>
    <row r="311" spans="1:5" ht="15.75">
      <c r="A311" s="7"/>
      <c r="B311" s="7"/>
      <c r="C311" s="7"/>
      <c r="D311" s="7"/>
      <c r="E311" s="7"/>
    </row>
    <row r="312" spans="1:5" ht="15.75">
      <c r="A312" s="7"/>
      <c r="B312" s="7"/>
      <c r="C312" s="7"/>
      <c r="D312" s="7"/>
      <c r="E312" s="7"/>
    </row>
    <row r="313" spans="1:5" ht="15.75">
      <c r="A313" s="7"/>
      <c r="B313" s="7"/>
      <c r="C313" s="7"/>
      <c r="D313" s="7"/>
      <c r="E313" s="7"/>
    </row>
    <row r="314" spans="1:5" ht="15.75">
      <c r="A314" s="7"/>
      <c r="B314" s="7"/>
      <c r="C314" s="7"/>
      <c r="D314" s="7"/>
      <c r="E314" s="7"/>
    </row>
    <row r="315" spans="1:5" ht="15.75">
      <c r="A315" s="7"/>
      <c r="B315" s="7"/>
      <c r="C315" s="7"/>
      <c r="D315" s="7"/>
      <c r="E315" s="7"/>
    </row>
    <row r="316" spans="1:5" ht="15.75">
      <c r="A316" s="7"/>
      <c r="B316" s="7"/>
      <c r="C316" s="7"/>
      <c r="D316" s="7"/>
      <c r="E316" s="7"/>
    </row>
    <row r="317" spans="1:5" ht="15.75">
      <c r="A317" s="7"/>
      <c r="B317" s="7"/>
      <c r="C317" s="7"/>
      <c r="D317" s="7"/>
      <c r="E317" s="7"/>
    </row>
    <row r="318" spans="1:5" ht="15.75">
      <c r="A318" s="7"/>
      <c r="B318" s="7"/>
      <c r="C318" s="7"/>
      <c r="D318" s="7"/>
      <c r="E318" s="7"/>
    </row>
    <row r="319" spans="1:5" ht="15.75">
      <c r="A319" s="7"/>
      <c r="B319" s="7"/>
      <c r="C319" s="7"/>
      <c r="D319" s="7"/>
      <c r="E319" s="7"/>
    </row>
    <row r="320" spans="1:5" ht="15.75">
      <c r="A320" s="7"/>
      <c r="B320" s="7"/>
      <c r="C320" s="7"/>
      <c r="D320" s="7"/>
      <c r="E320" s="7"/>
    </row>
    <row r="321" spans="1:5" ht="15.75">
      <c r="A321" s="7"/>
      <c r="B321" s="7"/>
      <c r="C321" s="7"/>
      <c r="D321" s="7"/>
      <c r="E321" s="7"/>
    </row>
    <row r="322" spans="1:5" ht="15.75">
      <c r="A322" s="7"/>
      <c r="B322" s="7"/>
      <c r="C322" s="7"/>
      <c r="D322" s="7"/>
      <c r="E322" s="7"/>
    </row>
    <row r="323" spans="1:5" ht="15.75">
      <c r="A323" s="7"/>
      <c r="B323" s="7"/>
      <c r="C323" s="7"/>
      <c r="D323" s="7"/>
      <c r="E323" s="7"/>
    </row>
    <row r="324" spans="1:5" ht="15.75">
      <c r="A324" s="7"/>
      <c r="B324" s="7"/>
      <c r="C324" s="7"/>
      <c r="D324" s="7"/>
      <c r="E324" s="7"/>
    </row>
    <row r="325" spans="1:5" ht="15.75">
      <c r="A325" s="7"/>
      <c r="B325" s="7"/>
      <c r="C325" s="7"/>
      <c r="D325" s="7"/>
      <c r="E325" s="7"/>
    </row>
    <row r="326" spans="1:5" ht="15.75">
      <c r="A326" s="7"/>
      <c r="B326" s="7"/>
      <c r="C326" s="7"/>
      <c r="D326" s="7"/>
      <c r="E326" s="7"/>
    </row>
    <row r="327" spans="1:5" ht="15.75">
      <c r="A327" s="7"/>
      <c r="B327" s="7"/>
      <c r="C327" s="7"/>
      <c r="D327" s="7"/>
      <c r="E327" s="7"/>
    </row>
    <row r="328" spans="1:5" ht="15.75">
      <c r="A328" s="7"/>
      <c r="B328" s="7"/>
      <c r="C328" s="7"/>
      <c r="D328" s="7"/>
      <c r="E328" s="7"/>
    </row>
    <row r="329" spans="1:5" ht="15.75">
      <c r="A329" s="7"/>
      <c r="B329" s="7"/>
      <c r="C329" s="7"/>
      <c r="D329" s="7"/>
      <c r="E329" s="7"/>
    </row>
    <row r="330" spans="1:5" ht="15.75">
      <c r="A330" s="7"/>
      <c r="B330" s="7"/>
      <c r="C330" s="7"/>
      <c r="D330" s="7"/>
      <c r="E330" s="7"/>
    </row>
    <row r="331" spans="1:5" ht="15.75">
      <c r="A331" s="7"/>
      <c r="B331" s="7"/>
      <c r="C331" s="7"/>
      <c r="D331" s="7"/>
      <c r="E331" s="7"/>
    </row>
    <row r="332" spans="1:5" ht="15.75">
      <c r="A332" s="7"/>
      <c r="B332" s="7"/>
      <c r="C332" s="7"/>
      <c r="D332" s="7"/>
      <c r="E332" s="7"/>
    </row>
    <row r="333" spans="1:5" ht="15.75">
      <c r="A333" s="7"/>
      <c r="B333" s="7"/>
      <c r="C333" s="7"/>
      <c r="D333" s="7"/>
      <c r="E333" s="7"/>
    </row>
    <row r="334" spans="1:5" ht="15.75">
      <c r="A334" s="7"/>
      <c r="B334" s="7"/>
      <c r="C334" s="7"/>
      <c r="D334" s="7"/>
      <c r="E334" s="7"/>
    </row>
    <row r="335" spans="1:5" ht="15.75">
      <c r="A335" s="7"/>
      <c r="B335" s="7"/>
      <c r="C335" s="7"/>
      <c r="D335" s="7"/>
      <c r="E335" s="7"/>
    </row>
    <row r="336" spans="1:5" ht="15.75">
      <c r="A336" s="7"/>
      <c r="B336" s="7"/>
      <c r="C336" s="7"/>
      <c r="D336" s="7"/>
      <c r="E336" s="7"/>
    </row>
    <row r="337" spans="1:5" ht="15.75">
      <c r="A337" s="7"/>
      <c r="B337" s="7"/>
      <c r="C337" s="7"/>
      <c r="D337" s="7"/>
      <c r="E337" s="7"/>
    </row>
    <row r="338" spans="1:5" ht="15.75">
      <c r="A338" s="7"/>
      <c r="B338" s="7"/>
      <c r="C338" s="7"/>
      <c r="D338" s="7"/>
      <c r="E338" s="7"/>
    </row>
    <row r="339" spans="1:5" ht="15.75">
      <c r="A339" s="7"/>
      <c r="B339" s="7"/>
      <c r="C339" s="7"/>
      <c r="D339" s="7"/>
      <c r="E339" s="7"/>
    </row>
    <row r="340" spans="1:5" ht="15.75">
      <c r="A340" s="7"/>
      <c r="B340" s="7"/>
      <c r="C340" s="7"/>
      <c r="D340" s="7"/>
      <c r="E340" s="7"/>
    </row>
    <row r="341" spans="1:5" ht="15.75">
      <c r="A341" s="7"/>
      <c r="B341" s="7"/>
      <c r="C341" s="7"/>
      <c r="D341" s="7"/>
      <c r="E341" s="7"/>
    </row>
    <row r="342" spans="1:5" ht="15.75">
      <c r="A342" s="7"/>
      <c r="B342" s="7"/>
      <c r="C342" s="7"/>
      <c r="D342" s="7"/>
      <c r="E342" s="7"/>
    </row>
    <row r="343" spans="1:5" ht="15.75">
      <c r="A343" s="7"/>
      <c r="B343" s="7"/>
      <c r="C343" s="7"/>
      <c r="D343" s="7"/>
      <c r="E343" s="7"/>
    </row>
    <row r="344" spans="1:5" ht="15.75">
      <c r="A344" s="7"/>
      <c r="B344" s="7"/>
      <c r="C344" s="7"/>
      <c r="D344" s="7"/>
      <c r="E344" s="7"/>
    </row>
    <row r="345" spans="1:5" ht="15.75">
      <c r="A345" s="7"/>
      <c r="B345" s="7"/>
      <c r="C345" s="7"/>
      <c r="D345" s="7"/>
      <c r="E345" s="7"/>
    </row>
    <row r="346" spans="1:5" ht="15.75">
      <c r="A346" s="7"/>
      <c r="B346" s="7"/>
      <c r="C346" s="7"/>
      <c r="D346" s="7"/>
      <c r="E346" s="7"/>
    </row>
    <row r="347" spans="1:5" ht="15.75">
      <c r="A347" s="7"/>
      <c r="B347" s="7"/>
      <c r="C347" s="7"/>
      <c r="D347" s="7"/>
      <c r="E347" s="7"/>
    </row>
    <row r="348" spans="1:5" ht="15.75">
      <c r="A348" s="7"/>
      <c r="B348" s="7"/>
      <c r="C348" s="7"/>
      <c r="D348" s="7"/>
      <c r="E348" s="7"/>
    </row>
    <row r="349" spans="1:5" ht="15.75">
      <c r="A349" s="7"/>
      <c r="B349" s="7"/>
      <c r="C349" s="7"/>
      <c r="D349" s="7"/>
      <c r="E349" s="7"/>
    </row>
    <row r="350" spans="1:5" ht="15.75">
      <c r="A350" s="7"/>
      <c r="B350" s="7"/>
      <c r="C350" s="7"/>
      <c r="D350" s="7"/>
      <c r="E350" s="7"/>
    </row>
    <row r="351" spans="1:5" ht="15.75">
      <c r="A351" s="7"/>
      <c r="B351" s="7"/>
      <c r="C351" s="7"/>
      <c r="D351" s="7"/>
      <c r="E351" s="7"/>
    </row>
    <row r="352" spans="1:5" ht="15.75">
      <c r="A352" s="7"/>
      <c r="B352" s="7"/>
      <c r="C352" s="7"/>
      <c r="D352" s="7"/>
      <c r="E352" s="7"/>
    </row>
    <row r="353" spans="1:5" ht="15.75">
      <c r="A353" s="7"/>
      <c r="B353" s="7"/>
      <c r="C353" s="7"/>
      <c r="D353" s="7"/>
      <c r="E353" s="7"/>
    </row>
    <row r="354" spans="1:5" ht="15.75">
      <c r="A354" s="7"/>
      <c r="B354" s="7"/>
      <c r="C354" s="7"/>
      <c r="D354" s="7"/>
      <c r="E354" s="7"/>
    </row>
    <row r="355" spans="1:5" ht="15.75">
      <c r="A355" s="7"/>
      <c r="B355" s="7"/>
      <c r="C355" s="7"/>
      <c r="D355" s="7"/>
      <c r="E355" s="7"/>
    </row>
    <row r="356" spans="1:5" ht="15.75">
      <c r="A356" s="7"/>
      <c r="B356" s="7"/>
      <c r="C356" s="7"/>
      <c r="D356" s="7"/>
      <c r="E356" s="7"/>
    </row>
    <row r="357" spans="1:5" ht="15.75">
      <c r="A357" s="7"/>
      <c r="B357" s="7"/>
      <c r="C357" s="7"/>
      <c r="D357" s="7"/>
      <c r="E357" s="7"/>
    </row>
    <row r="358" spans="1:5" ht="15.75">
      <c r="A358" s="7"/>
      <c r="B358" s="7"/>
      <c r="C358" s="7"/>
      <c r="D358" s="7"/>
      <c r="E358" s="7"/>
    </row>
    <row r="359" spans="1:5" ht="15.75">
      <c r="A359" s="7"/>
      <c r="B359" s="7"/>
      <c r="C359" s="7"/>
      <c r="D359" s="7"/>
      <c r="E359" s="7"/>
    </row>
    <row r="360" spans="1:5" ht="15.75">
      <c r="A360" s="7"/>
      <c r="B360" s="7"/>
      <c r="C360" s="7"/>
      <c r="D360" s="7"/>
      <c r="E360" s="7"/>
    </row>
    <row r="361" spans="1:5" ht="15.75">
      <c r="A361" s="7"/>
      <c r="B361" s="7"/>
      <c r="C361" s="7"/>
      <c r="D361" s="7"/>
      <c r="E361" s="7"/>
    </row>
    <row r="362" spans="1:5" ht="15.75">
      <c r="A362" s="7"/>
      <c r="B362" s="7"/>
      <c r="C362" s="7"/>
      <c r="D362" s="7"/>
      <c r="E362" s="7"/>
    </row>
    <row r="363" spans="1:5" ht="15.75">
      <c r="A363" s="7"/>
      <c r="B363" s="7"/>
      <c r="C363" s="7"/>
      <c r="D363" s="7"/>
      <c r="E363" s="7"/>
    </row>
    <row r="364" spans="1:5" ht="15.75">
      <c r="A364" s="7"/>
      <c r="B364" s="7"/>
      <c r="C364" s="7"/>
      <c r="D364" s="7"/>
      <c r="E364" s="7"/>
    </row>
    <row r="365" spans="1:5" ht="15.75">
      <c r="A365" s="7"/>
      <c r="B365" s="7"/>
      <c r="C365" s="7"/>
      <c r="D365" s="7"/>
      <c r="E365" s="7"/>
    </row>
    <row r="366" spans="1:5" ht="15.75">
      <c r="A366" s="7"/>
      <c r="B366" s="7"/>
      <c r="C366" s="7"/>
      <c r="D366" s="7"/>
      <c r="E366" s="7"/>
    </row>
    <row r="367" spans="1:5" ht="15.75">
      <c r="A367" s="7"/>
      <c r="B367" s="7"/>
      <c r="C367" s="7"/>
      <c r="D367" s="7"/>
      <c r="E367" s="7"/>
    </row>
    <row r="368" spans="1:5" ht="15.75">
      <c r="A368" s="7"/>
      <c r="B368" s="7"/>
      <c r="C368" s="7"/>
      <c r="D368" s="7"/>
      <c r="E368" s="7"/>
    </row>
    <row r="369" spans="1:5" ht="15.75">
      <c r="A369" s="7"/>
      <c r="B369" s="7"/>
      <c r="C369" s="7"/>
      <c r="D369" s="7"/>
      <c r="E369" s="7"/>
    </row>
    <row r="370" spans="1:5" ht="15.75">
      <c r="A370" s="7"/>
      <c r="B370" s="7"/>
      <c r="C370" s="7"/>
      <c r="D370" s="7"/>
      <c r="E370" s="7"/>
    </row>
    <row r="371" spans="1:5" ht="15.75">
      <c r="A371" s="7"/>
      <c r="B371" s="7"/>
      <c r="C371" s="7"/>
      <c r="D371" s="7"/>
      <c r="E371" s="7"/>
    </row>
    <row r="372" spans="1:5" ht="15.75">
      <c r="A372" s="7"/>
      <c r="B372" s="7"/>
      <c r="C372" s="7"/>
      <c r="D372" s="7"/>
      <c r="E372" s="7"/>
    </row>
    <row r="373" spans="1:5" ht="15.75">
      <c r="A373" s="7"/>
      <c r="B373" s="7"/>
      <c r="C373" s="7"/>
      <c r="D373" s="7"/>
      <c r="E373" s="7"/>
    </row>
    <row r="374" spans="1:5" ht="15.75">
      <c r="A374" s="7"/>
      <c r="B374" s="7"/>
      <c r="C374" s="7"/>
      <c r="D374" s="7"/>
      <c r="E374" s="7"/>
    </row>
    <row r="375" spans="1:5" ht="15.75">
      <c r="A375" s="7"/>
      <c r="B375" s="7"/>
      <c r="C375" s="7"/>
      <c r="D375" s="7"/>
      <c r="E375" s="7"/>
    </row>
    <row r="376" spans="1:5" ht="15.75">
      <c r="A376" s="7"/>
      <c r="B376" s="7"/>
      <c r="C376" s="7"/>
      <c r="D376" s="7"/>
      <c r="E376" s="7"/>
    </row>
    <row r="377" spans="1:5" ht="15.75">
      <c r="A377" s="7"/>
      <c r="B377" s="7"/>
      <c r="C377" s="7"/>
      <c r="D377" s="7"/>
      <c r="E377" s="7"/>
    </row>
    <row r="378" spans="1:5" ht="15.75">
      <c r="A378" s="7"/>
      <c r="B378" s="7"/>
      <c r="C378" s="7"/>
      <c r="D378" s="7"/>
      <c r="E378" s="7"/>
    </row>
    <row r="379" spans="1:5" ht="15.75">
      <c r="A379" s="7"/>
      <c r="B379" s="7"/>
      <c r="C379" s="7"/>
      <c r="D379" s="7"/>
      <c r="E379" s="7"/>
    </row>
    <row r="380" spans="1:5" ht="15.75">
      <c r="A380" s="7"/>
      <c r="B380" s="7"/>
      <c r="C380" s="7"/>
      <c r="D380" s="7"/>
      <c r="E380" s="7"/>
    </row>
    <row r="381" spans="1:5" ht="15.75">
      <c r="A381" s="7"/>
      <c r="B381" s="7"/>
      <c r="C381" s="7"/>
      <c r="D381" s="7"/>
      <c r="E381" s="7"/>
    </row>
    <row r="382" spans="1:5" ht="15.75">
      <c r="A382" s="7"/>
      <c r="B382" s="7"/>
      <c r="C382" s="7"/>
      <c r="D382" s="7"/>
      <c r="E382" s="7"/>
    </row>
    <row r="383" spans="1:5" ht="15.75">
      <c r="A383" s="7"/>
      <c r="B383" s="7"/>
      <c r="C383" s="7"/>
      <c r="D383" s="7"/>
      <c r="E383" s="7"/>
    </row>
    <row r="384" spans="1:5" ht="15.75">
      <c r="A384" s="7"/>
      <c r="B384" s="7"/>
      <c r="C384" s="7"/>
      <c r="D384" s="7"/>
      <c r="E384" s="7"/>
    </row>
    <row r="385" spans="1:5" ht="15.75">
      <c r="A385" s="7"/>
      <c r="B385" s="7"/>
      <c r="C385" s="7"/>
      <c r="D385" s="7"/>
      <c r="E385" s="7"/>
    </row>
    <row r="386" spans="1:5" ht="15.75">
      <c r="A386" s="7"/>
      <c r="B386" s="7"/>
      <c r="C386" s="7"/>
      <c r="D386" s="7"/>
      <c r="E386" s="7"/>
    </row>
    <row r="387" spans="1:5" ht="15.75">
      <c r="A387" s="7"/>
      <c r="B387" s="7"/>
      <c r="C387" s="7"/>
      <c r="D387" s="7"/>
      <c r="E387" s="7"/>
    </row>
    <row r="388" spans="1:5" ht="15.75">
      <c r="A388" s="7"/>
      <c r="B388" s="7"/>
      <c r="C388" s="7"/>
      <c r="D388" s="7"/>
      <c r="E388" s="7"/>
    </row>
    <row r="389" spans="1:5" ht="15.75">
      <c r="A389" s="7"/>
      <c r="B389" s="7"/>
      <c r="C389" s="7"/>
      <c r="D389" s="7"/>
      <c r="E389" s="7"/>
    </row>
    <row r="390" spans="1:5" ht="15.75">
      <c r="A390" s="7"/>
      <c r="B390" s="7"/>
      <c r="C390" s="7"/>
      <c r="D390" s="7"/>
      <c r="E390" s="7"/>
    </row>
    <row r="391" spans="1:5" ht="15.75">
      <c r="A391" s="7"/>
      <c r="B391" s="7"/>
      <c r="C391" s="7"/>
      <c r="D391" s="7"/>
      <c r="E391" s="7"/>
    </row>
    <row r="392" spans="1:5" ht="15.75">
      <c r="A392" s="7"/>
      <c r="B392" s="7"/>
      <c r="C392" s="7"/>
      <c r="D392" s="7"/>
      <c r="E392" s="7"/>
    </row>
    <row r="393" spans="1:5" ht="15.75">
      <c r="A393" s="7"/>
      <c r="B393" s="7"/>
      <c r="C393" s="7"/>
      <c r="D393" s="7"/>
      <c r="E393" s="7"/>
    </row>
    <row r="394" spans="1:5" ht="15.75">
      <c r="A394" s="7"/>
      <c r="B394" s="7"/>
      <c r="C394" s="7"/>
      <c r="D394" s="7"/>
      <c r="E394" s="7"/>
    </row>
    <row r="395" spans="1:5" ht="15.75">
      <c r="A395" s="7"/>
      <c r="B395" s="7"/>
      <c r="C395" s="7"/>
      <c r="D395" s="7"/>
      <c r="E395" s="7"/>
    </row>
    <row r="396" spans="1:5" ht="15.75">
      <c r="A396" s="7"/>
      <c r="B396" s="7"/>
      <c r="C396" s="7"/>
      <c r="D396" s="7"/>
      <c r="E396" s="7"/>
    </row>
    <row r="397" spans="1:5" ht="15.75">
      <c r="A397" s="7"/>
      <c r="B397" s="7"/>
      <c r="C397" s="7"/>
      <c r="D397" s="7"/>
      <c r="E397" s="7"/>
    </row>
    <row r="398" spans="1:5" ht="15.75">
      <c r="A398" s="7"/>
      <c r="B398" s="7"/>
      <c r="C398" s="7"/>
      <c r="D398" s="7"/>
      <c r="E398" s="7"/>
    </row>
    <row r="399" spans="1:5" ht="15.75">
      <c r="A399" s="7"/>
      <c r="B399" s="7"/>
      <c r="C399" s="7"/>
      <c r="D399" s="7"/>
      <c r="E399" s="7"/>
    </row>
    <row r="400" spans="1:5" ht="15.75">
      <c r="A400" s="7"/>
      <c r="B400" s="7"/>
      <c r="C400" s="7"/>
      <c r="D400" s="7"/>
      <c r="E400" s="7"/>
    </row>
    <row r="401" spans="1:5" ht="15.75">
      <c r="A401" s="7"/>
      <c r="B401" s="7"/>
      <c r="C401" s="7"/>
      <c r="D401" s="7"/>
      <c r="E401" s="7"/>
    </row>
    <row r="402" spans="1:5" ht="15.75">
      <c r="A402" s="7"/>
      <c r="B402" s="7"/>
      <c r="C402" s="7"/>
      <c r="D402" s="7"/>
      <c r="E402" s="7"/>
    </row>
    <row r="403" spans="1:5" ht="15.75">
      <c r="A403" s="7"/>
      <c r="B403" s="7"/>
      <c r="C403" s="7"/>
      <c r="D403" s="7"/>
      <c r="E403" s="7"/>
    </row>
    <row r="404" spans="1:5" ht="15.75">
      <c r="A404" s="7"/>
      <c r="B404" s="7"/>
      <c r="C404" s="7"/>
      <c r="D404" s="7"/>
      <c r="E404" s="7"/>
    </row>
    <row r="405" spans="1:5" ht="15.75">
      <c r="A405" s="7"/>
      <c r="B405" s="7"/>
      <c r="C405" s="7"/>
      <c r="D405" s="7"/>
      <c r="E405" s="7"/>
    </row>
    <row r="406" spans="1:5" ht="15.75">
      <c r="A406" s="7"/>
      <c r="B406" s="7"/>
      <c r="C406" s="7"/>
      <c r="D406" s="7"/>
      <c r="E406" s="7"/>
    </row>
    <row r="407" spans="1:5" ht="15.75">
      <c r="A407" s="7"/>
      <c r="B407" s="7"/>
      <c r="C407" s="7"/>
      <c r="D407" s="7"/>
      <c r="E407" s="7"/>
    </row>
    <row r="408" spans="1:5" ht="15.75">
      <c r="A408" s="7"/>
      <c r="B408" s="7"/>
      <c r="C408" s="7"/>
      <c r="D408" s="7"/>
      <c r="E408" s="7"/>
    </row>
    <row r="409" spans="1:5" ht="15.75">
      <c r="A409" s="7"/>
      <c r="B409" s="7"/>
      <c r="C409" s="7"/>
      <c r="D409" s="7"/>
      <c r="E409" s="7"/>
    </row>
    <row r="410" spans="1:5" ht="15.75">
      <c r="A410" s="7"/>
      <c r="B410" s="7"/>
      <c r="C410" s="7"/>
      <c r="D410" s="7"/>
      <c r="E410" s="7"/>
    </row>
    <row r="411" spans="1:5" ht="15.75">
      <c r="A411" s="7"/>
      <c r="B411" s="7"/>
      <c r="C411" s="7"/>
      <c r="D411" s="7"/>
      <c r="E411" s="7"/>
    </row>
    <row r="412" spans="1:5" ht="15.75">
      <c r="A412" s="7"/>
      <c r="B412" s="7"/>
      <c r="C412" s="7"/>
      <c r="D412" s="7"/>
      <c r="E412" s="7"/>
    </row>
    <row r="413" spans="1:5" ht="15.75">
      <c r="A413" s="7"/>
      <c r="B413" s="7"/>
      <c r="C413" s="7"/>
      <c r="D413" s="7"/>
      <c r="E413" s="7"/>
    </row>
    <row r="414" spans="1:5" ht="15.75">
      <c r="A414" s="7"/>
      <c r="B414" s="7"/>
      <c r="C414" s="7"/>
      <c r="D414" s="7"/>
      <c r="E414" s="7"/>
    </row>
    <row r="415" spans="1:5" ht="15.75">
      <c r="A415" s="7"/>
      <c r="B415" s="7"/>
      <c r="C415" s="7"/>
      <c r="D415" s="7"/>
      <c r="E415" s="7"/>
    </row>
    <row r="416" spans="1:5" ht="15.75">
      <c r="A416" s="7"/>
      <c r="B416" s="7"/>
      <c r="C416" s="7"/>
      <c r="D416" s="7"/>
      <c r="E416" s="7"/>
    </row>
    <row r="417" spans="1:5" ht="15.75">
      <c r="A417" s="7"/>
      <c r="B417" s="7"/>
      <c r="C417" s="7"/>
      <c r="D417" s="7"/>
      <c r="E417" s="7"/>
    </row>
    <row r="418" spans="1:5" ht="15.75">
      <c r="A418" s="7"/>
      <c r="B418" s="7"/>
      <c r="C418" s="7"/>
      <c r="D418" s="7"/>
      <c r="E418" s="7"/>
    </row>
    <row r="419" spans="1:5" ht="15.75">
      <c r="A419" s="7"/>
      <c r="B419" s="7"/>
      <c r="C419" s="7"/>
      <c r="D419" s="7"/>
      <c r="E419" s="7"/>
    </row>
    <row r="420" spans="1:5" ht="15.75">
      <c r="A420" s="7"/>
      <c r="B420" s="7"/>
      <c r="C420" s="7"/>
      <c r="D420" s="7"/>
      <c r="E420" s="7"/>
    </row>
    <row r="421" spans="1:5" ht="15.75">
      <c r="A421" s="7"/>
      <c r="B421" s="7"/>
      <c r="C421" s="7"/>
      <c r="D421" s="7"/>
      <c r="E421" s="7"/>
    </row>
    <row r="422" spans="1:5" ht="15.75">
      <c r="A422" s="7"/>
      <c r="B422" s="7"/>
      <c r="C422" s="7"/>
      <c r="D422" s="7"/>
      <c r="E422" s="7"/>
    </row>
    <row r="423" spans="1:5" ht="15.75">
      <c r="A423" s="7"/>
      <c r="B423" s="7"/>
      <c r="C423" s="7"/>
      <c r="D423" s="7"/>
      <c r="E423" s="7"/>
    </row>
    <row r="424" spans="1:5" ht="15.75">
      <c r="A424" s="7"/>
      <c r="B424" s="7"/>
      <c r="C424" s="7"/>
      <c r="D424" s="7"/>
      <c r="E424" s="7"/>
    </row>
    <row r="425" spans="1:5" ht="15.75">
      <c r="A425" s="7"/>
      <c r="B425" s="7"/>
      <c r="C425" s="7"/>
      <c r="D425" s="7"/>
      <c r="E425" s="7"/>
    </row>
    <row r="426" spans="1:5" ht="15.75">
      <c r="A426" s="7"/>
      <c r="B426" s="7"/>
      <c r="C426" s="7"/>
      <c r="D426" s="7"/>
      <c r="E426" s="7"/>
    </row>
    <row r="427" spans="1:5" ht="15.75">
      <c r="A427" s="7"/>
      <c r="B427" s="7"/>
      <c r="C427" s="7"/>
      <c r="D427" s="7"/>
      <c r="E427" s="7"/>
    </row>
    <row r="428" spans="1:5" ht="15.75">
      <c r="A428" s="7"/>
      <c r="B428" s="7"/>
      <c r="C428" s="7"/>
      <c r="D428" s="7"/>
      <c r="E428" s="7"/>
    </row>
    <row r="429" spans="1:5" ht="15.75">
      <c r="A429" s="7"/>
      <c r="B429" s="7"/>
      <c r="C429" s="7"/>
      <c r="D429" s="7"/>
      <c r="E429" s="7"/>
    </row>
    <row r="430" spans="1:5" ht="15.75">
      <c r="A430" s="7"/>
      <c r="B430" s="7"/>
      <c r="C430" s="7"/>
      <c r="D430" s="7"/>
      <c r="E430" s="7"/>
    </row>
    <row r="431" spans="1:5" ht="15.75">
      <c r="A431" s="7"/>
      <c r="B431" s="7"/>
      <c r="C431" s="7"/>
      <c r="D431" s="7"/>
      <c r="E431" s="7"/>
    </row>
    <row r="432" spans="1:5" ht="15.75">
      <c r="A432" s="7"/>
      <c r="B432" s="7"/>
      <c r="C432" s="7"/>
      <c r="D432" s="7"/>
      <c r="E432" s="7"/>
    </row>
    <row r="433" spans="1:5" ht="15.75">
      <c r="A433" s="7"/>
      <c r="B433" s="7"/>
      <c r="C433" s="7"/>
      <c r="D433" s="7"/>
      <c r="E433" s="7"/>
    </row>
    <row r="434" spans="1:5" ht="15.75">
      <c r="A434" s="7"/>
      <c r="B434" s="7"/>
      <c r="C434" s="7"/>
      <c r="D434" s="7"/>
      <c r="E434" s="7"/>
    </row>
    <row r="435" spans="1:5" ht="15.75">
      <c r="A435" s="7"/>
      <c r="B435" s="7"/>
      <c r="C435" s="7"/>
      <c r="D435" s="7"/>
      <c r="E435" s="7"/>
    </row>
    <row r="436" spans="1:5" ht="15.75">
      <c r="A436" s="7"/>
      <c r="B436" s="7"/>
      <c r="C436" s="7"/>
      <c r="D436" s="7"/>
      <c r="E436" s="7"/>
    </row>
    <row r="437" spans="1:5" ht="15.75">
      <c r="A437" s="7"/>
      <c r="B437" s="7"/>
      <c r="C437" s="7"/>
      <c r="D437" s="7"/>
      <c r="E437" s="7"/>
    </row>
    <row r="438" spans="1:5" ht="15.75">
      <c r="A438" s="7"/>
      <c r="B438" s="7"/>
      <c r="C438" s="7"/>
      <c r="D438" s="7"/>
      <c r="E438" s="7"/>
    </row>
    <row r="439" spans="1:5" ht="15.75">
      <c r="A439" s="7"/>
      <c r="B439" s="7"/>
      <c r="C439" s="7"/>
      <c r="D439" s="7"/>
      <c r="E439" s="7"/>
    </row>
    <row r="440" spans="1:5" ht="15.75">
      <c r="A440" s="7"/>
      <c r="B440" s="7"/>
      <c r="C440" s="7"/>
      <c r="D440" s="7"/>
      <c r="E440" s="7"/>
    </row>
    <row r="441" spans="1:5" ht="15.75">
      <c r="A441" s="7"/>
      <c r="B441" s="7"/>
      <c r="C441" s="7"/>
      <c r="D441" s="7"/>
      <c r="E441" s="7"/>
    </row>
    <row r="442" spans="1:5" ht="15.75">
      <c r="A442" s="7"/>
      <c r="B442" s="7"/>
      <c r="C442" s="7"/>
      <c r="D442" s="7"/>
      <c r="E442" s="7"/>
    </row>
    <row r="443" spans="1:5" ht="15.75">
      <c r="A443" s="7"/>
      <c r="B443" s="7"/>
      <c r="C443" s="7"/>
      <c r="D443" s="7"/>
      <c r="E443" s="7"/>
    </row>
    <row r="444" spans="1:5" ht="15.75">
      <c r="A444" s="7"/>
      <c r="B444" s="7"/>
      <c r="C444" s="7"/>
      <c r="D444" s="7"/>
      <c r="E444" s="7"/>
    </row>
    <row r="445" spans="1:5" ht="15.75">
      <c r="A445" s="7"/>
      <c r="B445" s="7"/>
      <c r="C445" s="7"/>
      <c r="D445" s="7"/>
      <c r="E445" s="7"/>
    </row>
    <row r="446" spans="1:5" ht="15.75">
      <c r="A446" s="7"/>
      <c r="B446" s="7"/>
      <c r="C446" s="7"/>
      <c r="D446" s="7"/>
      <c r="E446" s="7"/>
    </row>
    <row r="447" spans="1:5" ht="15.75">
      <c r="A447" s="7"/>
      <c r="B447" s="7"/>
      <c r="C447" s="7"/>
      <c r="D447" s="7"/>
      <c r="E447" s="7"/>
    </row>
    <row r="448" spans="1:5" ht="15.75">
      <c r="A448" s="7"/>
      <c r="B448" s="7"/>
      <c r="C448" s="7"/>
      <c r="D448" s="7"/>
      <c r="E448" s="7"/>
    </row>
    <row r="449" spans="1:5" ht="15.75">
      <c r="A449" s="7"/>
      <c r="B449" s="7"/>
      <c r="C449" s="7"/>
      <c r="D449" s="7"/>
      <c r="E449" s="7"/>
    </row>
    <row r="450" spans="1:5" ht="15.75">
      <c r="A450" s="7"/>
      <c r="B450" s="7"/>
      <c r="C450" s="7"/>
      <c r="D450" s="7"/>
      <c r="E450" s="7"/>
    </row>
    <row r="451" spans="1:5" ht="15.75">
      <c r="A451" s="7"/>
      <c r="B451" s="7"/>
      <c r="C451" s="7"/>
      <c r="D451" s="7"/>
      <c r="E451" s="7"/>
    </row>
    <row r="452" spans="1:5" ht="15.75">
      <c r="A452" s="7"/>
      <c r="B452" s="7"/>
      <c r="C452" s="7"/>
      <c r="D452" s="7"/>
      <c r="E452" s="7"/>
    </row>
    <row r="453" spans="1:5" ht="15.75">
      <c r="A453" s="7"/>
      <c r="B453" s="7"/>
      <c r="C453" s="7"/>
      <c r="D453" s="7"/>
      <c r="E453" s="7"/>
    </row>
    <row r="454" spans="1:5" ht="15.75">
      <c r="A454" s="7"/>
      <c r="B454" s="7"/>
      <c r="C454" s="7"/>
      <c r="D454" s="7"/>
      <c r="E454" s="7"/>
    </row>
    <row r="455" spans="1:5" ht="15.75">
      <c r="A455" s="7"/>
      <c r="B455" s="7"/>
      <c r="C455" s="7"/>
      <c r="D455" s="7"/>
      <c r="E455" s="7"/>
    </row>
    <row r="456" spans="1:5" ht="15.75">
      <c r="A456" s="7"/>
      <c r="B456" s="7"/>
      <c r="C456" s="7"/>
      <c r="D456" s="7"/>
      <c r="E456" s="7"/>
    </row>
    <row r="457" spans="1:5" ht="15.75">
      <c r="A457" s="7"/>
      <c r="B457" s="7"/>
      <c r="C457" s="7"/>
      <c r="D457" s="7"/>
      <c r="E457" s="7"/>
    </row>
    <row r="458" spans="1:5" ht="15.75">
      <c r="A458" s="7"/>
      <c r="B458" s="7"/>
      <c r="C458" s="7"/>
      <c r="D458" s="7"/>
      <c r="E458" s="7"/>
    </row>
    <row r="459" spans="1:5" ht="15.75">
      <c r="A459" s="7"/>
      <c r="B459" s="7"/>
      <c r="C459" s="7"/>
      <c r="D459" s="7"/>
      <c r="E459" s="7"/>
    </row>
    <row r="460" spans="1:5" ht="15.75">
      <c r="A460" s="7"/>
      <c r="B460" s="7"/>
      <c r="C460" s="7"/>
      <c r="D460" s="7"/>
      <c r="E460" s="7"/>
    </row>
    <row r="461" spans="1:5" ht="15.75">
      <c r="A461" s="7"/>
      <c r="B461" s="7"/>
      <c r="C461" s="7"/>
      <c r="D461" s="7"/>
      <c r="E461" s="7"/>
    </row>
    <row r="462" spans="1:5" ht="15.75">
      <c r="A462" s="7"/>
      <c r="B462" s="7"/>
      <c r="C462" s="7"/>
      <c r="D462" s="7"/>
      <c r="E462" s="7"/>
    </row>
    <row r="463" spans="1:5" ht="15.75">
      <c r="A463" s="7"/>
      <c r="B463" s="7"/>
      <c r="C463" s="7"/>
      <c r="D463" s="7"/>
      <c r="E463" s="7"/>
    </row>
    <row r="464" spans="1:5" ht="15.75">
      <c r="A464" s="7"/>
      <c r="B464" s="7"/>
      <c r="C464" s="7"/>
      <c r="D464" s="7"/>
      <c r="E464" s="7"/>
    </row>
    <row r="465" spans="1:5" ht="15.75">
      <c r="A465" s="7"/>
      <c r="B465" s="7"/>
      <c r="C465" s="7"/>
      <c r="D465" s="7"/>
      <c r="E465" s="7"/>
    </row>
    <row r="466" spans="1:5" ht="15.75">
      <c r="A466" s="7"/>
      <c r="B466" s="7"/>
      <c r="C466" s="7"/>
      <c r="D466" s="7"/>
      <c r="E466" s="7"/>
    </row>
    <row r="467" spans="1:5" ht="15.75">
      <c r="A467" s="7"/>
      <c r="B467" s="7"/>
      <c r="C467" s="7"/>
      <c r="D467" s="7"/>
      <c r="E467" s="7"/>
    </row>
    <row r="468" spans="1:5" ht="15.75">
      <c r="A468" s="7"/>
      <c r="B468" s="7"/>
      <c r="C468" s="7"/>
      <c r="D468" s="7"/>
      <c r="E468" s="7"/>
    </row>
    <row r="469" spans="1:5" ht="15.75">
      <c r="A469" s="7"/>
      <c r="B469" s="7"/>
      <c r="C469" s="7"/>
      <c r="D469" s="7"/>
      <c r="E469" s="7"/>
    </row>
    <row r="470" spans="1:5" ht="15.75">
      <c r="A470" s="7"/>
      <c r="B470" s="7"/>
      <c r="C470" s="7"/>
      <c r="D470" s="7"/>
      <c r="E470" s="7"/>
    </row>
    <row r="471" spans="1:5" ht="15.75">
      <c r="A471" s="7"/>
      <c r="B471" s="7"/>
      <c r="C471" s="7"/>
      <c r="D471" s="7"/>
      <c r="E471" s="7"/>
    </row>
    <row r="472" spans="1:5" ht="15.75">
      <c r="A472" s="7"/>
      <c r="B472" s="7"/>
      <c r="C472" s="7"/>
      <c r="D472" s="7"/>
      <c r="E472" s="7"/>
    </row>
    <row r="473" spans="1:5" ht="15.75">
      <c r="A473" s="7"/>
      <c r="B473" s="7"/>
      <c r="C473" s="7"/>
      <c r="D473" s="7"/>
      <c r="E473" s="7"/>
    </row>
    <row r="474" spans="1:5" ht="15.75">
      <c r="A474" s="7"/>
      <c r="B474" s="7"/>
      <c r="C474" s="7"/>
      <c r="D474" s="7"/>
      <c r="E474" s="7"/>
    </row>
    <row r="475" spans="1:5" ht="15.75">
      <c r="A475" s="7"/>
      <c r="B475" s="7"/>
      <c r="C475" s="7"/>
      <c r="D475" s="7"/>
      <c r="E475" s="7"/>
    </row>
    <row r="476" spans="1:5" ht="15.75">
      <c r="A476" s="7"/>
      <c r="B476" s="7"/>
      <c r="C476" s="7"/>
      <c r="D476" s="7"/>
      <c r="E476" s="7"/>
    </row>
    <row r="477" spans="1:5" ht="15.75">
      <c r="A477" s="7"/>
      <c r="B477" s="7"/>
      <c r="C477" s="7"/>
      <c r="D477" s="7"/>
      <c r="E477" s="7"/>
    </row>
    <row r="478" spans="1:5" ht="15.75">
      <c r="A478" s="7"/>
      <c r="B478" s="7"/>
      <c r="C478" s="7"/>
      <c r="D478" s="7"/>
      <c r="E478" s="7"/>
    </row>
    <row r="479" spans="1:5" ht="15.75">
      <c r="A479" s="7"/>
      <c r="B479" s="7"/>
      <c r="C479" s="7"/>
      <c r="D479" s="7"/>
      <c r="E479" s="7"/>
    </row>
    <row r="480" spans="1:5" ht="15.75">
      <c r="A480" s="7"/>
      <c r="B480" s="7"/>
      <c r="C480" s="7"/>
      <c r="D480" s="7"/>
      <c r="E480" s="7"/>
    </row>
    <row r="481" spans="1:5" ht="15.75">
      <c r="A481" s="7"/>
      <c r="B481" s="7"/>
      <c r="C481" s="7"/>
      <c r="D481" s="7"/>
      <c r="E481" s="7"/>
    </row>
    <row r="482" spans="1:5" ht="15.75">
      <c r="A482" s="7"/>
      <c r="B482" s="7"/>
      <c r="C482" s="7"/>
      <c r="D482" s="7"/>
      <c r="E482" s="7"/>
    </row>
    <row r="483" spans="1:5" ht="15.75">
      <c r="A483" s="7"/>
      <c r="B483" s="7"/>
      <c r="C483" s="7"/>
      <c r="D483" s="7"/>
      <c r="E483" s="7"/>
    </row>
    <row r="484" spans="1:5" ht="15.75">
      <c r="A484" s="7"/>
      <c r="B484" s="7"/>
      <c r="C484" s="7"/>
      <c r="D484" s="7"/>
      <c r="E484" s="7"/>
    </row>
    <row r="485" spans="1:5" ht="15.75">
      <c r="A485" s="7"/>
      <c r="B485" s="7"/>
      <c r="C485" s="7"/>
      <c r="D485" s="7"/>
      <c r="E485" s="7"/>
    </row>
    <row r="486" spans="1:5" ht="15.75">
      <c r="A486" s="7"/>
      <c r="B486" s="7"/>
      <c r="C486" s="7"/>
      <c r="D486" s="7"/>
      <c r="E486" s="7"/>
    </row>
    <row r="487" spans="1:5" ht="15.75">
      <c r="A487" s="7"/>
      <c r="B487" s="7"/>
      <c r="C487" s="7"/>
      <c r="D487" s="7"/>
      <c r="E487" s="7"/>
    </row>
    <row r="488" spans="1:5" ht="15.75">
      <c r="A488" s="7"/>
      <c r="B488" s="7"/>
      <c r="C488" s="7"/>
      <c r="D488" s="7"/>
      <c r="E488" s="7"/>
    </row>
    <row r="489" spans="1:5" ht="15.75">
      <c r="A489" s="7"/>
      <c r="B489" s="7"/>
      <c r="C489" s="7"/>
      <c r="D489" s="7"/>
      <c r="E489" s="7"/>
    </row>
    <row r="490" spans="1:5" ht="15.75">
      <c r="A490" s="7"/>
      <c r="B490" s="7"/>
      <c r="C490" s="7"/>
      <c r="D490" s="7"/>
      <c r="E490" s="7"/>
    </row>
    <row r="491" spans="1:5" ht="15.75">
      <c r="A491" s="7"/>
      <c r="B491" s="7"/>
      <c r="C491" s="7"/>
      <c r="D491" s="7"/>
      <c r="E491" s="7"/>
    </row>
    <row r="492" spans="1:5" ht="15.75">
      <c r="A492" s="7"/>
      <c r="B492" s="7"/>
      <c r="C492" s="7"/>
      <c r="D492" s="7"/>
      <c r="E492" s="7"/>
    </row>
    <row r="493" spans="1:5" ht="15.75">
      <c r="A493" s="7"/>
      <c r="B493" s="7"/>
      <c r="C493" s="7"/>
      <c r="D493" s="7"/>
      <c r="E493" s="7"/>
    </row>
    <row r="494" spans="1:5" ht="15.75">
      <c r="A494" s="7"/>
      <c r="B494" s="7"/>
      <c r="C494" s="7"/>
      <c r="D494" s="7"/>
      <c r="E494" s="7"/>
    </row>
    <row r="495" spans="1:5" ht="15.75">
      <c r="A495" s="7"/>
      <c r="B495" s="7"/>
      <c r="C495" s="7"/>
      <c r="D495" s="7"/>
      <c r="E495" s="7"/>
    </row>
    <row r="496" spans="1:5" ht="15.75">
      <c r="A496" s="7"/>
      <c r="B496" s="7"/>
      <c r="C496" s="7"/>
      <c r="D496" s="7"/>
      <c r="E496" s="7"/>
    </row>
    <row r="497" spans="1:5" ht="15.75">
      <c r="A497" s="7"/>
      <c r="B497" s="7"/>
      <c r="C497" s="7"/>
      <c r="D497" s="7"/>
      <c r="E497" s="7"/>
    </row>
    <row r="498" spans="1:5" ht="15.75">
      <c r="A498" s="7"/>
      <c r="B498" s="7"/>
      <c r="C498" s="7"/>
      <c r="D498" s="7"/>
      <c r="E498" s="7"/>
    </row>
    <row r="499" spans="1:5" ht="15.75">
      <c r="A499" s="7"/>
      <c r="B499" s="7"/>
      <c r="C499" s="7"/>
      <c r="D499" s="7"/>
      <c r="E499" s="7"/>
    </row>
    <row r="500" spans="1:5" ht="15.75">
      <c r="A500" s="7"/>
      <c r="B500" s="7"/>
      <c r="C500" s="7"/>
      <c r="D500" s="7"/>
      <c r="E500" s="7"/>
    </row>
    <row r="501" spans="1:5" ht="15.75">
      <c r="A501" s="7"/>
      <c r="B501" s="7"/>
      <c r="C501" s="7"/>
      <c r="D501" s="7"/>
      <c r="E501" s="7"/>
    </row>
    <row r="502" spans="1:5" ht="15.75">
      <c r="A502" s="7"/>
      <c r="B502" s="7"/>
      <c r="C502" s="7"/>
      <c r="D502" s="7"/>
      <c r="E502" s="7"/>
    </row>
    <row r="503" spans="1:5" ht="15.75">
      <c r="A503" s="7"/>
      <c r="B503" s="7"/>
      <c r="C503" s="7"/>
      <c r="D503" s="7"/>
      <c r="E503" s="7"/>
    </row>
    <row r="504" spans="1:5" ht="15.75">
      <c r="A504" s="7"/>
      <c r="B504" s="7"/>
      <c r="C504" s="7"/>
      <c r="D504" s="7"/>
      <c r="E504" s="7"/>
    </row>
    <row r="505" spans="1:5" ht="15.75">
      <c r="A505" s="7"/>
      <c r="B505" s="7"/>
      <c r="C505" s="7"/>
      <c r="D505" s="7"/>
      <c r="E505" s="7"/>
    </row>
    <row r="506" spans="1:5" ht="15.75">
      <c r="A506" s="7"/>
      <c r="B506" s="7"/>
      <c r="C506" s="7"/>
      <c r="D506" s="7"/>
      <c r="E506" s="7"/>
    </row>
    <row r="507" spans="1:5" ht="15.75">
      <c r="A507" s="7"/>
      <c r="B507" s="7"/>
      <c r="C507" s="7"/>
      <c r="D507" s="7"/>
      <c r="E507" s="7"/>
    </row>
    <row r="508" spans="1:5" ht="15.75">
      <c r="A508" s="7"/>
      <c r="B508" s="7"/>
      <c r="C508" s="7"/>
      <c r="D508" s="7"/>
      <c r="E508" s="7"/>
    </row>
    <row r="509" spans="1:5" ht="15.75">
      <c r="A509" s="7"/>
      <c r="B509" s="7"/>
      <c r="C509" s="7"/>
      <c r="D509" s="7"/>
      <c r="E509" s="7"/>
    </row>
    <row r="510" spans="1:5" ht="15.75">
      <c r="A510" s="7"/>
      <c r="B510" s="7"/>
      <c r="C510" s="7"/>
      <c r="D510" s="7"/>
      <c r="E510" s="7"/>
    </row>
    <row r="511" spans="1:5" ht="15.75">
      <c r="A511" s="7"/>
      <c r="B511" s="7"/>
      <c r="C511" s="7"/>
      <c r="D511" s="7"/>
      <c r="E511" s="7"/>
    </row>
    <row r="512" spans="1:5" ht="15.75">
      <c r="A512" s="7"/>
      <c r="B512" s="7"/>
      <c r="C512" s="7"/>
      <c r="D512" s="7"/>
      <c r="E512" s="7"/>
    </row>
    <row r="513" spans="1:5" ht="15.75">
      <c r="A513" s="7"/>
      <c r="B513" s="7"/>
      <c r="C513" s="7"/>
      <c r="D513" s="7"/>
      <c r="E513" s="7"/>
    </row>
    <row r="514" spans="1:5" ht="15.75">
      <c r="A514" s="7"/>
      <c r="B514" s="7"/>
      <c r="C514" s="7"/>
      <c r="D514" s="7"/>
      <c r="E514" s="7"/>
    </row>
    <row r="515" spans="1:5" ht="15.75">
      <c r="A515" s="7"/>
      <c r="B515" s="7"/>
      <c r="C515" s="7"/>
      <c r="D515" s="7"/>
      <c r="E515" s="7"/>
    </row>
    <row r="516" spans="1:5" ht="15.75">
      <c r="A516" s="7"/>
      <c r="B516" s="7"/>
      <c r="C516" s="7"/>
      <c r="D516" s="7"/>
      <c r="E516" s="7"/>
    </row>
    <row r="517" spans="1:5" ht="15.75">
      <c r="A517" s="7"/>
      <c r="B517" s="7"/>
      <c r="C517" s="7"/>
      <c r="D517" s="7"/>
      <c r="E517" s="7"/>
    </row>
    <row r="518" spans="1:5" ht="15.75">
      <c r="A518" s="7"/>
      <c r="B518" s="7"/>
      <c r="C518" s="7"/>
      <c r="D518" s="7"/>
      <c r="E518" s="7"/>
    </row>
    <row r="519" spans="1:5" ht="15.75">
      <c r="A519" s="7"/>
      <c r="B519" s="7"/>
      <c r="C519" s="7"/>
      <c r="D519" s="7"/>
      <c r="E519" s="7"/>
    </row>
    <row r="520" spans="1:5" ht="15.75">
      <c r="A520" s="7"/>
      <c r="B520" s="7"/>
      <c r="C520" s="7"/>
      <c r="D520" s="7"/>
      <c r="E520" s="7"/>
    </row>
    <row r="521" spans="1:5" ht="15.75">
      <c r="A521" s="7"/>
      <c r="B521" s="7"/>
      <c r="C521" s="7"/>
      <c r="D521" s="7"/>
      <c r="E521" s="7"/>
    </row>
    <row r="522" spans="1:5" ht="15.75">
      <c r="A522" s="7"/>
      <c r="B522" s="7"/>
      <c r="C522" s="7"/>
      <c r="D522" s="7"/>
      <c r="E522" s="7"/>
    </row>
    <row r="523" spans="1:5" ht="15.75">
      <c r="A523" s="7"/>
      <c r="B523" s="7"/>
      <c r="C523" s="7"/>
      <c r="D523" s="7"/>
      <c r="E523" s="7"/>
    </row>
    <row r="524" spans="1:5" ht="15.75">
      <c r="A524" s="7"/>
      <c r="B524" s="7"/>
      <c r="C524" s="7"/>
      <c r="D524" s="7"/>
      <c r="E524" s="7"/>
    </row>
    <row r="525" spans="1:5" ht="15.75">
      <c r="A525" s="7"/>
      <c r="B525" s="7"/>
      <c r="C525" s="7"/>
      <c r="D525" s="7"/>
      <c r="E525" s="7"/>
    </row>
    <row r="526" spans="1:5" ht="15.75">
      <c r="A526" s="7"/>
      <c r="B526" s="7"/>
      <c r="C526" s="7"/>
      <c r="D526" s="7"/>
      <c r="E526" s="7"/>
    </row>
    <row r="527" spans="1:5" ht="15.75">
      <c r="A527" s="7"/>
      <c r="B527" s="7"/>
      <c r="C527" s="7"/>
      <c r="D527" s="7"/>
      <c r="E527" s="7"/>
    </row>
    <row r="528" spans="1:5" ht="15.75">
      <c r="A528" s="7"/>
      <c r="B528" s="7"/>
      <c r="C528" s="7"/>
      <c r="D528" s="7"/>
      <c r="E528" s="7"/>
    </row>
    <row r="529" spans="1:5" ht="15.75">
      <c r="A529" s="7"/>
      <c r="B529" s="7"/>
      <c r="C529" s="7"/>
      <c r="D529" s="7"/>
      <c r="E529" s="7"/>
    </row>
    <row r="530" spans="1:5" ht="15.75">
      <c r="A530" s="7"/>
      <c r="B530" s="7"/>
      <c r="C530" s="7"/>
      <c r="D530" s="7"/>
      <c r="E530" s="7"/>
    </row>
    <row r="531" spans="1:5" ht="15.75">
      <c r="A531" s="7"/>
      <c r="B531" s="7"/>
      <c r="C531" s="7"/>
      <c r="D531" s="7"/>
      <c r="E531" s="7"/>
    </row>
    <row r="532" spans="1:5" ht="15.75">
      <c r="A532" s="7"/>
      <c r="B532" s="7"/>
      <c r="C532" s="7"/>
      <c r="D532" s="7"/>
      <c r="E532" s="7"/>
    </row>
    <row r="533" spans="1:5" ht="15.75">
      <c r="A533" s="7"/>
      <c r="B533" s="7"/>
      <c r="C533" s="7"/>
      <c r="D533" s="7"/>
      <c r="E533" s="7"/>
    </row>
    <row r="534" spans="1:5" ht="15.75">
      <c r="A534" s="7"/>
      <c r="B534" s="7"/>
      <c r="C534" s="7"/>
      <c r="D534" s="7"/>
      <c r="E534" s="7"/>
    </row>
    <row r="535" spans="1:5" ht="15.75">
      <c r="A535" s="7"/>
      <c r="B535" s="7"/>
      <c r="C535" s="7"/>
      <c r="D535" s="7"/>
      <c r="E535" s="7"/>
    </row>
    <row r="536" spans="1:5" ht="15.75">
      <c r="A536" s="7"/>
      <c r="B536" s="7"/>
      <c r="C536" s="7"/>
      <c r="D536" s="7"/>
      <c r="E536" s="7"/>
    </row>
    <row r="537" spans="1:5" ht="15.75">
      <c r="A537" s="7"/>
      <c r="B537" s="7"/>
      <c r="C537" s="7"/>
      <c r="D537" s="7"/>
      <c r="E537" s="7"/>
    </row>
    <row r="538" spans="1:5" ht="15.75">
      <c r="A538" s="7"/>
      <c r="B538" s="7"/>
      <c r="C538" s="7"/>
      <c r="D538" s="7"/>
      <c r="E538" s="7"/>
    </row>
    <row r="539" spans="1:5" ht="15.75">
      <c r="A539" s="7"/>
      <c r="B539" s="7"/>
      <c r="C539" s="7"/>
      <c r="D539" s="7"/>
      <c r="E539" s="7"/>
    </row>
    <row r="540" spans="1:5" ht="15.75">
      <c r="A540" s="7"/>
      <c r="B540" s="7"/>
      <c r="C540" s="7"/>
      <c r="D540" s="7"/>
      <c r="E540" s="7"/>
    </row>
    <row r="541" spans="1:5" ht="15.75">
      <c r="A541" s="7"/>
      <c r="B541" s="7"/>
      <c r="C541" s="7"/>
      <c r="D541" s="7"/>
      <c r="E541" s="7"/>
    </row>
    <row r="542" spans="1:5" ht="15.75">
      <c r="A542" s="7"/>
      <c r="B542" s="7"/>
      <c r="C542" s="7"/>
      <c r="D542" s="7"/>
      <c r="E542" s="7"/>
    </row>
    <row r="543" spans="1:5" ht="15.75">
      <c r="A543" s="7"/>
      <c r="B543" s="7"/>
      <c r="C543" s="7"/>
      <c r="D543" s="7"/>
      <c r="E543" s="7"/>
    </row>
    <row r="544" spans="1:5" ht="15.75">
      <c r="A544" s="7"/>
      <c r="B544" s="7"/>
      <c r="C544" s="7"/>
      <c r="D544" s="7"/>
      <c r="E544" s="7"/>
    </row>
    <row r="545" spans="1:5" ht="15.75">
      <c r="A545" s="7"/>
      <c r="B545" s="7"/>
      <c r="C545" s="7"/>
      <c r="D545" s="7"/>
      <c r="E545" s="7"/>
    </row>
    <row r="546" spans="1:5" ht="15.75">
      <c r="A546" s="7"/>
      <c r="B546" s="7"/>
      <c r="C546" s="7"/>
      <c r="D546" s="7"/>
      <c r="E546" s="7"/>
    </row>
    <row r="547" spans="1:5" ht="15.75">
      <c r="A547" s="7"/>
      <c r="B547" s="7"/>
      <c r="C547" s="7"/>
      <c r="D547" s="7"/>
      <c r="E547" s="7"/>
    </row>
    <row r="548" spans="1:5" ht="15.75">
      <c r="A548" s="7"/>
      <c r="B548" s="7"/>
      <c r="C548" s="7"/>
      <c r="D548" s="7"/>
      <c r="E548" s="7"/>
    </row>
    <row r="549" spans="1:5" ht="15.75">
      <c r="A549" s="7"/>
      <c r="B549" s="7"/>
      <c r="C549" s="7"/>
      <c r="D549" s="7"/>
      <c r="E549" s="7"/>
    </row>
    <row r="550" spans="1:5" ht="15.75">
      <c r="A550" s="7"/>
      <c r="B550" s="7"/>
      <c r="C550" s="7"/>
      <c r="D550" s="7"/>
      <c r="E550" s="7"/>
    </row>
    <row r="551" spans="1:5" ht="15.75">
      <c r="A551" s="7"/>
      <c r="B551" s="7"/>
      <c r="C551" s="7"/>
      <c r="D551" s="7"/>
      <c r="E551" s="7"/>
    </row>
    <row r="552" spans="1:5" ht="15.75">
      <c r="A552" s="7"/>
      <c r="B552" s="7"/>
      <c r="C552" s="7"/>
      <c r="D552" s="7"/>
      <c r="E552" s="7"/>
    </row>
    <row r="553" spans="1:5" ht="15.75">
      <c r="A553" s="7"/>
      <c r="B553" s="7"/>
      <c r="C553" s="7"/>
      <c r="D553" s="7"/>
      <c r="E553" s="7"/>
    </row>
    <row r="554" spans="1:5" ht="15.75">
      <c r="A554" s="7"/>
      <c r="B554" s="7"/>
      <c r="C554" s="7"/>
      <c r="D554" s="7"/>
      <c r="E554" s="7"/>
    </row>
    <row r="555" spans="1:5" ht="15.75">
      <c r="A555" s="7"/>
      <c r="B555" s="7"/>
      <c r="C555" s="7"/>
      <c r="D555" s="7"/>
      <c r="E555" s="7"/>
    </row>
    <row r="556" spans="1:5" ht="15.75">
      <c r="A556" s="7"/>
      <c r="B556" s="7"/>
      <c r="C556" s="7"/>
      <c r="D556" s="7"/>
      <c r="E556" s="7"/>
    </row>
    <row r="557" spans="1:5" ht="15.75">
      <c r="A557" s="7"/>
      <c r="B557" s="7"/>
      <c r="C557" s="7"/>
      <c r="D557" s="7"/>
      <c r="E557" s="7"/>
    </row>
    <row r="558" spans="1:5" ht="15.75">
      <c r="A558" s="7"/>
      <c r="B558" s="7"/>
      <c r="C558" s="7"/>
      <c r="D558" s="7"/>
      <c r="E558" s="7"/>
    </row>
    <row r="559" spans="1:5" ht="15.75">
      <c r="A559" s="7"/>
      <c r="B559" s="7"/>
      <c r="C559" s="7"/>
      <c r="D559" s="7"/>
      <c r="E559" s="7"/>
    </row>
    <row r="560" spans="1:5" ht="15.75">
      <c r="A560" s="7"/>
      <c r="B560" s="7"/>
      <c r="C560" s="7"/>
      <c r="D560" s="7"/>
      <c r="E560" s="7"/>
    </row>
    <row r="561" spans="1:5" ht="15.75">
      <c r="A561" s="7"/>
      <c r="B561" s="7"/>
      <c r="C561" s="7"/>
      <c r="D561" s="7"/>
      <c r="E561" s="7"/>
    </row>
    <row r="562" spans="1:5" ht="15.75">
      <c r="A562" s="7"/>
      <c r="B562" s="7"/>
      <c r="C562" s="7"/>
      <c r="D562" s="7"/>
      <c r="E562" s="7"/>
    </row>
    <row r="563" spans="1:5" ht="15.75">
      <c r="A563" s="7"/>
      <c r="B563" s="7"/>
      <c r="C563" s="7"/>
      <c r="D563" s="7"/>
      <c r="E563" s="7"/>
    </row>
    <row r="564" spans="1:5" ht="15.75">
      <c r="A564" s="7"/>
      <c r="B564" s="7"/>
      <c r="C564" s="7"/>
      <c r="D564" s="7"/>
      <c r="E564" s="7"/>
    </row>
    <row r="565" spans="1:5" ht="15.75">
      <c r="A565" s="7"/>
      <c r="B565" s="7"/>
      <c r="C565" s="7"/>
      <c r="D565" s="7"/>
      <c r="E565" s="7"/>
    </row>
    <row r="566" spans="1:5" ht="15.75">
      <c r="A566" s="7"/>
      <c r="B566" s="7"/>
      <c r="C566" s="7"/>
      <c r="D566" s="7"/>
      <c r="E566" s="7"/>
    </row>
    <row r="567" spans="1:5" ht="15.75">
      <c r="A567" s="7"/>
      <c r="B567" s="7"/>
      <c r="C567" s="7"/>
      <c r="D567" s="7"/>
      <c r="E567" s="7"/>
    </row>
    <row r="568" spans="1:5" ht="15.75">
      <c r="A568" s="7"/>
      <c r="B568" s="7"/>
      <c r="C568" s="7"/>
      <c r="D568" s="7"/>
      <c r="E568" s="7"/>
    </row>
    <row r="569" spans="1:5" ht="15.75">
      <c r="A569" s="7"/>
      <c r="B569" s="7"/>
      <c r="C569" s="7"/>
      <c r="D569" s="7"/>
      <c r="E569" s="7"/>
    </row>
    <row r="570" spans="1:5" ht="15.75">
      <c r="A570" s="7"/>
      <c r="B570" s="7"/>
      <c r="C570" s="7"/>
      <c r="D570" s="7"/>
      <c r="E570" s="7"/>
    </row>
    <row r="571" spans="1:5" ht="15.75">
      <c r="A571" s="7"/>
      <c r="B571" s="7"/>
      <c r="C571" s="7"/>
      <c r="D571" s="7"/>
      <c r="E571" s="7"/>
    </row>
    <row r="572" spans="1:5" ht="15.75">
      <c r="A572" s="7"/>
      <c r="B572" s="7"/>
      <c r="C572" s="7"/>
      <c r="D572" s="7"/>
      <c r="E572" s="7"/>
    </row>
    <row r="573" spans="1:5" ht="15.75">
      <c r="A573" s="7"/>
      <c r="B573" s="7"/>
      <c r="C573" s="7"/>
      <c r="D573" s="7"/>
      <c r="E573" s="7"/>
    </row>
    <row r="574" spans="1:5" ht="15.75">
      <c r="A574" s="7"/>
      <c r="B574" s="7"/>
      <c r="C574" s="7"/>
      <c r="D574" s="7"/>
      <c r="E574" s="7"/>
    </row>
    <row r="575" spans="1:5" ht="15.75">
      <c r="A575" s="7"/>
      <c r="B575" s="7"/>
      <c r="C575" s="7"/>
      <c r="D575" s="7"/>
      <c r="E575" s="7"/>
    </row>
    <row r="576" spans="1:5" ht="15.75">
      <c r="A576" s="7"/>
      <c r="B576" s="7"/>
      <c r="C576" s="7"/>
      <c r="D576" s="7"/>
      <c r="E576" s="7"/>
    </row>
    <row r="577" spans="1:5" ht="15.75">
      <c r="A577" s="7"/>
      <c r="B577" s="7"/>
      <c r="C577" s="7"/>
      <c r="D577" s="7"/>
      <c r="E577" s="7"/>
    </row>
    <row r="578" spans="1:5" ht="15.75">
      <c r="A578" s="7"/>
      <c r="B578" s="7"/>
      <c r="C578" s="7"/>
      <c r="D578" s="7"/>
      <c r="E578" s="7"/>
    </row>
    <row r="579" spans="1:5" ht="15.75">
      <c r="A579" s="7"/>
      <c r="B579" s="7"/>
      <c r="C579" s="7"/>
      <c r="D579" s="7"/>
      <c r="E579" s="7"/>
    </row>
    <row r="580" spans="1:5" ht="15.75">
      <c r="A580" s="7"/>
      <c r="B580" s="7"/>
      <c r="C580" s="7"/>
      <c r="D580" s="7"/>
      <c r="E580" s="7"/>
    </row>
    <row r="581" spans="1:5" ht="15.75">
      <c r="A581" s="7"/>
      <c r="B581" s="7"/>
      <c r="C581" s="7"/>
      <c r="D581" s="7"/>
      <c r="E581" s="7"/>
    </row>
    <row r="582" spans="1:5" ht="15.75">
      <c r="A582" s="7"/>
      <c r="B582" s="7"/>
      <c r="C582" s="7"/>
      <c r="D582" s="7"/>
      <c r="E582" s="7"/>
    </row>
    <row r="583" spans="1:5" ht="15.75">
      <c r="A583" s="7"/>
      <c r="B583" s="7"/>
      <c r="C583" s="7"/>
      <c r="D583" s="7"/>
      <c r="E583" s="7"/>
    </row>
    <row r="584" spans="1:5" ht="15.75">
      <c r="A584" s="7"/>
      <c r="B584" s="7"/>
      <c r="C584" s="7"/>
      <c r="D584" s="7"/>
      <c r="E584" s="7"/>
    </row>
    <row r="585" spans="1:5" ht="15.75">
      <c r="A585" s="7"/>
      <c r="B585" s="7"/>
      <c r="C585" s="7"/>
      <c r="D585" s="7"/>
      <c r="E585" s="7"/>
    </row>
    <row r="586" spans="1:5" ht="15.75">
      <c r="A586" s="7"/>
      <c r="B586" s="7"/>
      <c r="C586" s="7"/>
      <c r="D586" s="7"/>
      <c r="E586" s="7"/>
    </row>
    <row r="587" spans="1:5" ht="15.75">
      <c r="A587" s="7"/>
      <c r="B587" s="7"/>
      <c r="C587" s="7"/>
      <c r="D587" s="7"/>
      <c r="E587" s="7"/>
    </row>
    <row r="588" spans="1:5" ht="15.75">
      <c r="A588" s="7"/>
      <c r="B588" s="7"/>
      <c r="C588" s="7"/>
      <c r="D588" s="7"/>
      <c r="E588" s="7"/>
    </row>
    <row r="589" spans="1:5" ht="15.75">
      <c r="A589" s="7"/>
      <c r="B589" s="7"/>
      <c r="C589" s="7"/>
      <c r="D589" s="7"/>
      <c r="E589" s="7"/>
    </row>
    <row r="590" spans="1:5" ht="15.75">
      <c r="A590" s="7"/>
      <c r="B590" s="7"/>
      <c r="C590" s="7"/>
      <c r="D590" s="7"/>
      <c r="E590" s="7"/>
    </row>
    <row r="591" spans="1:5" ht="15.75">
      <c r="A591" s="7"/>
      <c r="B591" s="7"/>
      <c r="C591" s="7"/>
      <c r="D591" s="7"/>
      <c r="E591" s="7"/>
    </row>
    <row r="592" spans="1:5" ht="15.75">
      <c r="A592" s="7"/>
      <c r="B592" s="7"/>
      <c r="C592" s="7"/>
      <c r="D592" s="7"/>
      <c r="E592" s="7"/>
    </row>
    <row r="593" spans="1:5" ht="15.75">
      <c r="A593" s="7"/>
      <c r="B593" s="7"/>
      <c r="C593" s="7"/>
      <c r="D593" s="7"/>
      <c r="E593" s="7"/>
    </row>
    <row r="594" spans="1:5" ht="15.75">
      <c r="A594" s="7"/>
      <c r="B594" s="7"/>
      <c r="C594" s="7"/>
      <c r="D594" s="7"/>
      <c r="E594" s="7"/>
    </row>
    <row r="595" spans="1:5" ht="15.75">
      <c r="A595" s="7"/>
      <c r="B595" s="7"/>
      <c r="C595" s="7"/>
      <c r="D595" s="7"/>
      <c r="E595" s="7"/>
    </row>
    <row r="596" spans="1:5" ht="15.75">
      <c r="A596" s="7"/>
      <c r="B596" s="7"/>
      <c r="C596" s="7"/>
      <c r="D596" s="7"/>
      <c r="E596" s="7"/>
    </row>
    <row r="597" spans="1:5" ht="15.75">
      <c r="A597" s="7"/>
      <c r="B597" s="7"/>
      <c r="C597" s="7"/>
      <c r="D597" s="7"/>
      <c r="E597" s="7"/>
    </row>
    <row r="598" spans="1:5" ht="15.75">
      <c r="A598" s="7"/>
      <c r="B598" s="7"/>
      <c r="C598" s="7"/>
      <c r="D598" s="7"/>
      <c r="E598" s="7"/>
    </row>
    <row r="599" spans="1:5" ht="15.75">
      <c r="A599" s="7"/>
      <c r="B599" s="7"/>
      <c r="C599" s="7"/>
      <c r="D599" s="7"/>
      <c r="E599" s="7"/>
    </row>
    <row r="600" spans="1:5" ht="15.75">
      <c r="A600" s="7"/>
      <c r="B600" s="7"/>
      <c r="C600" s="7"/>
      <c r="D600" s="7"/>
      <c r="E600" s="7"/>
    </row>
    <row r="601" spans="1:5" ht="15.75">
      <c r="A601" s="7"/>
      <c r="B601" s="7"/>
      <c r="C601" s="7"/>
      <c r="D601" s="7"/>
      <c r="E601" s="7"/>
    </row>
    <row r="602" spans="1:5" ht="15.75">
      <c r="A602" s="7"/>
      <c r="B602" s="7"/>
      <c r="C602" s="7"/>
      <c r="D602" s="7"/>
      <c r="E602" s="7"/>
    </row>
    <row r="603" spans="1:5" ht="15.75">
      <c r="A603" s="7"/>
      <c r="B603" s="7"/>
      <c r="C603" s="7"/>
      <c r="D603" s="7"/>
      <c r="E603" s="7"/>
    </row>
    <row r="604" spans="1:5" ht="15.75">
      <c r="A604" s="7"/>
      <c r="B604" s="7"/>
      <c r="C604" s="7"/>
      <c r="D604" s="7"/>
      <c r="E604" s="7"/>
    </row>
    <row r="605" spans="1:5" ht="15.75">
      <c r="A605" s="7"/>
      <c r="B605" s="7"/>
      <c r="C605" s="7"/>
      <c r="D605" s="7"/>
      <c r="E605" s="7"/>
    </row>
    <row r="606" spans="1:5" ht="15.75">
      <c r="A606" s="7"/>
      <c r="B606" s="7"/>
      <c r="C606" s="7"/>
      <c r="D606" s="7"/>
      <c r="E606" s="7"/>
    </row>
    <row r="607" spans="1:5" ht="15.75">
      <c r="A607" s="7"/>
      <c r="B607" s="7"/>
      <c r="C607" s="7"/>
      <c r="D607" s="7"/>
      <c r="E607" s="7"/>
    </row>
    <row r="608" spans="1:5" ht="15.75">
      <c r="A608" s="7"/>
      <c r="B608" s="7"/>
      <c r="C608" s="7"/>
      <c r="D608" s="7"/>
      <c r="E608" s="7"/>
    </row>
    <row r="609" spans="1:5" ht="15.75">
      <c r="A609" s="7"/>
      <c r="B609" s="7"/>
      <c r="C609" s="7"/>
      <c r="D609" s="7"/>
      <c r="E609" s="7"/>
    </row>
    <row r="610" spans="1:5" ht="15.75">
      <c r="A610" s="7"/>
      <c r="B610" s="7"/>
      <c r="C610" s="7"/>
      <c r="D610" s="7"/>
      <c r="E610" s="7"/>
    </row>
    <row r="611" spans="1:5" ht="15.75">
      <c r="A611" s="7"/>
      <c r="B611" s="7"/>
      <c r="C611" s="7"/>
      <c r="D611" s="7"/>
      <c r="E611" s="7"/>
    </row>
    <row r="612" spans="1:5" ht="15.75">
      <c r="A612" s="7"/>
      <c r="B612" s="7"/>
      <c r="C612" s="7"/>
      <c r="D612" s="7"/>
      <c r="E612" s="7"/>
    </row>
    <row r="613" spans="1:5" ht="15.75">
      <c r="A613" s="7"/>
      <c r="B613" s="7"/>
      <c r="C613" s="7"/>
      <c r="D613" s="7"/>
      <c r="E613" s="7"/>
    </row>
    <row r="614" spans="1:5" ht="15.75">
      <c r="A614" s="7"/>
      <c r="B614" s="7"/>
      <c r="C614" s="7"/>
      <c r="D614" s="7"/>
      <c r="E614" s="7"/>
    </row>
    <row r="615" spans="1:5" ht="15.75">
      <c r="A615" s="7"/>
      <c r="B615" s="7"/>
      <c r="C615" s="7"/>
      <c r="D615" s="7"/>
      <c r="E615" s="7"/>
    </row>
    <row r="616" spans="1:5" ht="15.75">
      <c r="A616" s="7"/>
      <c r="B616" s="7"/>
      <c r="C616" s="7"/>
      <c r="D616" s="7"/>
      <c r="E616" s="7"/>
    </row>
    <row r="617" spans="1:5" ht="15.75">
      <c r="A617" s="7"/>
      <c r="B617" s="7"/>
      <c r="C617" s="7"/>
      <c r="D617" s="7"/>
      <c r="E617" s="7"/>
    </row>
    <row r="618" spans="1:5" ht="15.75">
      <c r="A618" s="7"/>
      <c r="B618" s="7"/>
      <c r="C618" s="7"/>
      <c r="D618" s="7"/>
      <c r="E618" s="7"/>
    </row>
    <row r="619" spans="1:5" ht="15.75">
      <c r="A619" s="7"/>
      <c r="B619" s="7"/>
      <c r="C619" s="7"/>
      <c r="D619" s="7"/>
      <c r="E619" s="7"/>
    </row>
    <row r="620" spans="1:5" ht="15.75">
      <c r="A620" s="7"/>
      <c r="B620" s="7"/>
      <c r="C620" s="7"/>
      <c r="D620" s="7"/>
      <c r="E620" s="7"/>
    </row>
    <row r="621" spans="1:5" ht="15.75">
      <c r="A621" s="7"/>
      <c r="B621" s="7"/>
      <c r="C621" s="7"/>
      <c r="D621" s="7"/>
      <c r="E621" s="7"/>
    </row>
    <row r="622" spans="1:5" ht="15.75">
      <c r="A622" s="7"/>
      <c r="B622" s="7"/>
      <c r="C622" s="7"/>
      <c r="D622" s="7"/>
      <c r="E622" s="7"/>
    </row>
    <row r="623" spans="1:5" ht="15.75">
      <c r="A623" s="7"/>
      <c r="B623" s="7"/>
      <c r="C623" s="7"/>
      <c r="D623" s="7"/>
      <c r="E623" s="7"/>
    </row>
    <row r="624" spans="1:5" ht="15.75">
      <c r="A624" s="7"/>
      <c r="B624" s="7"/>
      <c r="C624" s="7"/>
      <c r="D624" s="7"/>
      <c r="E624" s="7"/>
    </row>
    <row r="625" spans="1:5" ht="15.75">
      <c r="A625" s="7"/>
      <c r="B625" s="7"/>
      <c r="C625" s="7"/>
      <c r="D625" s="7"/>
      <c r="E625" s="7"/>
    </row>
    <row r="626" spans="1:5" ht="15.75">
      <c r="A626" s="7"/>
      <c r="B626" s="7"/>
      <c r="C626" s="7"/>
      <c r="D626" s="7"/>
      <c r="E626" s="7"/>
    </row>
    <row r="627" spans="1:5" ht="15.75">
      <c r="A627" s="7"/>
      <c r="B627" s="7"/>
      <c r="C627" s="7"/>
      <c r="D627" s="7"/>
      <c r="E627" s="7"/>
    </row>
    <row r="628" spans="1:5" ht="15.75">
      <c r="A628" s="7"/>
      <c r="B628" s="7"/>
      <c r="C628" s="7"/>
      <c r="D628" s="7"/>
      <c r="E628" s="7"/>
    </row>
    <row r="629" spans="1:5" ht="15.75">
      <c r="A629" s="7"/>
      <c r="B629" s="7"/>
      <c r="C629" s="7"/>
      <c r="D629" s="7"/>
      <c r="E629" s="7"/>
    </row>
    <row r="630" spans="1:5" ht="15.75">
      <c r="A630" s="7"/>
      <c r="B630" s="7"/>
      <c r="C630" s="7"/>
      <c r="D630" s="7"/>
      <c r="E630" s="7"/>
    </row>
    <row r="631" spans="1:5" ht="15.75">
      <c r="A631" s="7"/>
      <c r="B631" s="7"/>
      <c r="C631" s="7"/>
      <c r="D631" s="7"/>
      <c r="E631" s="7"/>
    </row>
    <row r="632" spans="1:5" ht="15.75">
      <c r="A632" s="7"/>
      <c r="B632" s="7"/>
      <c r="C632" s="7"/>
      <c r="D632" s="7"/>
      <c r="E632" s="7"/>
    </row>
    <row r="633" spans="1:5" ht="15.75">
      <c r="A633" s="7"/>
      <c r="B633" s="7"/>
      <c r="C633" s="7"/>
      <c r="D633" s="7"/>
      <c r="E633" s="7"/>
    </row>
    <row r="634" spans="1:5" ht="15.75">
      <c r="A634" s="7"/>
      <c r="B634" s="7"/>
      <c r="C634" s="7"/>
      <c r="D634" s="7"/>
      <c r="E634" s="7"/>
    </row>
    <row r="635" spans="1:5" ht="15.75">
      <c r="A635" s="7"/>
      <c r="B635" s="7"/>
      <c r="C635" s="7"/>
      <c r="D635" s="7"/>
      <c r="E635" s="7"/>
    </row>
    <row r="636" spans="1:5" ht="15.75">
      <c r="A636" s="7"/>
      <c r="B636" s="7"/>
      <c r="C636" s="7"/>
      <c r="D636" s="7"/>
      <c r="E636" s="7"/>
    </row>
    <row r="637" spans="1:5" ht="15.75">
      <c r="A637" s="7"/>
      <c r="B637" s="7"/>
      <c r="C637" s="7"/>
      <c r="D637" s="7"/>
      <c r="E637" s="7"/>
    </row>
    <row r="638" spans="1:5" ht="15.75">
      <c r="A638" s="7"/>
      <c r="B638" s="7"/>
      <c r="C638" s="7"/>
      <c r="D638" s="7"/>
      <c r="E638" s="7"/>
    </row>
    <row r="639" spans="1:5" ht="15.75">
      <c r="A639" s="7"/>
      <c r="B639" s="7"/>
      <c r="C639" s="7"/>
      <c r="D639" s="7"/>
      <c r="E639" s="7"/>
    </row>
    <row r="640" spans="1:5" ht="15.75">
      <c r="A640" s="7"/>
      <c r="B640" s="7"/>
      <c r="C640" s="7"/>
      <c r="D640" s="7"/>
      <c r="E640" s="7"/>
    </row>
    <row r="641" spans="1:5" ht="15.75">
      <c r="A641" s="7"/>
      <c r="B641" s="7"/>
      <c r="C641" s="7"/>
      <c r="D641" s="7"/>
      <c r="E641" s="7"/>
    </row>
    <row r="642" spans="1:5" ht="15.75">
      <c r="A642" s="7"/>
      <c r="B642" s="7"/>
      <c r="C642" s="7"/>
      <c r="D642" s="7"/>
      <c r="E642" s="7"/>
    </row>
    <row r="643" spans="1:5" ht="15.75">
      <c r="A643" s="7"/>
      <c r="B643" s="7"/>
      <c r="C643" s="7"/>
      <c r="D643" s="7"/>
      <c r="E643" s="7"/>
    </row>
    <row r="644" spans="1:5" ht="15.75">
      <c r="A644" s="7"/>
      <c r="B644" s="7"/>
      <c r="C644" s="7"/>
      <c r="D644" s="7"/>
      <c r="E644" s="7"/>
    </row>
    <row r="645" spans="1:5" ht="15.75">
      <c r="A645" s="7"/>
      <c r="B645" s="7"/>
      <c r="C645" s="7"/>
      <c r="D645" s="7"/>
      <c r="E645" s="7"/>
    </row>
    <row r="646" spans="1:5" ht="15.75">
      <c r="A646" s="7"/>
      <c r="B646" s="7"/>
      <c r="C646" s="7"/>
      <c r="D646" s="7"/>
      <c r="E646" s="7"/>
    </row>
    <row r="647" spans="1:5" ht="15.75">
      <c r="A647" s="7"/>
      <c r="B647" s="7"/>
      <c r="C647" s="7"/>
      <c r="D647" s="7"/>
      <c r="E647" s="7"/>
    </row>
    <row r="648" spans="1:5" ht="15.75">
      <c r="A648" s="7"/>
      <c r="B648" s="7"/>
      <c r="C648" s="7"/>
      <c r="D648" s="7"/>
      <c r="E648" s="7"/>
    </row>
    <row r="649" spans="1:5" ht="15.75">
      <c r="A649" s="7"/>
      <c r="B649" s="7"/>
      <c r="C649" s="7"/>
      <c r="D649" s="7"/>
      <c r="E649" s="7"/>
    </row>
    <row r="650" spans="1:5" ht="15.75">
      <c r="A650" s="7"/>
      <c r="B650" s="7"/>
      <c r="C650" s="7"/>
      <c r="D650" s="7"/>
      <c r="E650" s="7"/>
    </row>
    <row r="651" spans="1:5" ht="15.75">
      <c r="A651" s="7"/>
      <c r="B651" s="7"/>
      <c r="C651" s="7"/>
      <c r="D651" s="7"/>
      <c r="E651" s="7"/>
    </row>
    <row r="652" spans="1:5" ht="15.75">
      <c r="A652" s="7"/>
      <c r="B652" s="7"/>
      <c r="C652" s="7"/>
      <c r="D652" s="7"/>
      <c r="E652" s="7"/>
    </row>
    <row r="653" spans="1:5" ht="15.75">
      <c r="A653" s="7"/>
      <c r="B653" s="7"/>
      <c r="C653" s="7"/>
      <c r="D653" s="7"/>
      <c r="E653" s="7"/>
    </row>
    <row r="654" spans="1:5" ht="15.75">
      <c r="A654" s="7"/>
      <c r="B654" s="7"/>
      <c r="C654" s="7"/>
      <c r="D654" s="7"/>
      <c r="E654" s="7"/>
    </row>
    <row r="655" spans="1:5" ht="15.75">
      <c r="A655" s="7"/>
      <c r="B655" s="7"/>
      <c r="C655" s="7"/>
      <c r="D655" s="7"/>
      <c r="E655" s="7"/>
    </row>
    <row r="656" spans="1:5" ht="15.75">
      <c r="A656" s="7"/>
      <c r="B656" s="7"/>
      <c r="C656" s="7"/>
      <c r="D656" s="7"/>
      <c r="E656" s="7"/>
    </row>
    <row r="657" spans="1:5" ht="15.75">
      <c r="A657" s="7"/>
      <c r="B657" s="7"/>
      <c r="C657" s="7"/>
      <c r="D657" s="7"/>
      <c r="E657" s="7"/>
    </row>
    <row r="658" spans="1:5" ht="15.75">
      <c r="A658" s="7"/>
      <c r="B658" s="7"/>
      <c r="C658" s="7"/>
      <c r="D658" s="7"/>
      <c r="E658" s="7"/>
    </row>
    <row r="659" spans="1:5" ht="15.75">
      <c r="A659" s="7"/>
      <c r="B659" s="7"/>
      <c r="C659" s="7"/>
      <c r="D659" s="7"/>
      <c r="E659" s="7"/>
    </row>
    <row r="660" spans="1:5" ht="15.75">
      <c r="A660" s="7"/>
      <c r="B660" s="7"/>
      <c r="C660" s="7"/>
      <c r="D660" s="7"/>
      <c r="E660" s="7"/>
    </row>
    <row r="661" spans="1:5" ht="15.75">
      <c r="A661" s="7"/>
      <c r="B661" s="7"/>
      <c r="C661" s="7"/>
      <c r="D661" s="7"/>
      <c r="E661" s="7"/>
    </row>
    <row r="662" spans="1:5" ht="15.75">
      <c r="A662" s="7"/>
      <c r="B662" s="7"/>
      <c r="C662" s="7"/>
      <c r="D662" s="7"/>
      <c r="E662" s="7"/>
    </row>
    <row r="663" spans="1:5" ht="15.75">
      <c r="A663" s="7"/>
      <c r="B663" s="7"/>
      <c r="C663" s="7"/>
      <c r="D663" s="7"/>
      <c r="E663" s="7"/>
    </row>
    <row r="664" spans="1:5" ht="15.75">
      <c r="A664" s="7"/>
      <c r="B664" s="7"/>
      <c r="C664" s="7"/>
      <c r="D664" s="7"/>
      <c r="E664" s="7"/>
    </row>
    <row r="665" spans="1:5" ht="15.75">
      <c r="A665" s="7"/>
      <c r="B665" s="7"/>
      <c r="C665" s="7"/>
      <c r="D665" s="7"/>
      <c r="E665" s="7"/>
    </row>
    <row r="666" spans="1:5" ht="15.75">
      <c r="A666" s="7"/>
      <c r="B666" s="7"/>
      <c r="C666" s="7"/>
      <c r="D666" s="7"/>
      <c r="E666" s="7"/>
    </row>
    <row r="667" spans="1:5" ht="15.75">
      <c r="A667" s="7"/>
      <c r="B667" s="7"/>
      <c r="C667" s="7"/>
      <c r="D667" s="7"/>
      <c r="E667" s="7"/>
    </row>
    <row r="668" spans="1:5" ht="15.75">
      <c r="A668" s="7"/>
      <c r="B668" s="7"/>
      <c r="C668" s="7"/>
      <c r="D668" s="7"/>
      <c r="E668" s="7"/>
    </row>
    <row r="669" spans="1:5" ht="15.75">
      <c r="A669" s="7"/>
      <c r="B669" s="7"/>
      <c r="C669" s="7"/>
      <c r="D669" s="7"/>
      <c r="E669" s="7"/>
    </row>
    <row r="670" spans="1:5" ht="15.75">
      <c r="A670" s="7"/>
      <c r="B670" s="7"/>
      <c r="C670" s="7"/>
      <c r="D670" s="7"/>
      <c r="E670" s="7"/>
    </row>
    <row r="671" spans="1:5" ht="15.75">
      <c r="A671" s="7"/>
      <c r="B671" s="7"/>
      <c r="C671" s="7"/>
      <c r="D671" s="7"/>
      <c r="E671" s="7"/>
    </row>
    <row r="672" spans="1:5" ht="15.75">
      <c r="A672" s="7"/>
      <c r="B672" s="7"/>
      <c r="C672" s="7"/>
      <c r="D672" s="7"/>
      <c r="E672" s="7"/>
    </row>
    <row r="673" spans="1:5" ht="15.75">
      <c r="A673" s="7"/>
      <c r="B673" s="7"/>
      <c r="C673" s="7"/>
      <c r="D673" s="7"/>
      <c r="E673" s="7"/>
    </row>
    <row r="674" spans="1:5" ht="15.75">
      <c r="A674" s="7"/>
      <c r="B674" s="7"/>
      <c r="C674" s="7"/>
      <c r="D674" s="7"/>
      <c r="E674" s="7"/>
    </row>
    <row r="675" spans="1:5" ht="15.75">
      <c r="A675" s="7"/>
      <c r="B675" s="7"/>
      <c r="C675" s="7"/>
      <c r="D675" s="7"/>
      <c r="E675" s="7"/>
    </row>
    <row r="676" spans="1:5" ht="15.75">
      <c r="A676" s="7"/>
      <c r="B676" s="7"/>
      <c r="C676" s="7"/>
      <c r="D676" s="7"/>
      <c r="E676" s="7"/>
    </row>
    <row r="677" spans="1:5" ht="15.75">
      <c r="A677" s="7"/>
      <c r="B677" s="7"/>
      <c r="C677" s="7"/>
      <c r="D677" s="7"/>
      <c r="E677" s="7"/>
    </row>
    <row r="678" spans="1:5" ht="15.75">
      <c r="A678" s="7"/>
      <c r="B678" s="7"/>
      <c r="C678" s="7"/>
      <c r="D678" s="7"/>
      <c r="E678" s="7"/>
    </row>
    <row r="679" spans="1:5" ht="15.75">
      <c r="A679" s="7"/>
      <c r="B679" s="7"/>
      <c r="C679" s="7"/>
      <c r="D679" s="7"/>
      <c r="E679" s="7"/>
    </row>
    <row r="680" spans="1:5" ht="15.75">
      <c r="A680" s="7"/>
      <c r="B680" s="7"/>
      <c r="C680" s="7"/>
      <c r="D680" s="7"/>
      <c r="E680" s="7"/>
    </row>
    <row r="681" spans="1:5" ht="15.75">
      <c r="A681" s="7"/>
      <c r="B681" s="7"/>
      <c r="C681" s="7"/>
      <c r="D681" s="7"/>
      <c r="E681" s="7"/>
    </row>
    <row r="682" spans="1:5" ht="15.75">
      <c r="A682" s="7"/>
      <c r="B682" s="7"/>
      <c r="C682" s="7"/>
      <c r="D682" s="7"/>
      <c r="E682" s="7"/>
    </row>
    <row r="683" spans="1:5" ht="15.75">
      <c r="A683" s="7"/>
      <c r="B683" s="7"/>
      <c r="C683" s="7"/>
      <c r="D683" s="7"/>
      <c r="E683" s="7"/>
    </row>
    <row r="684" spans="1:5" ht="15.75">
      <c r="A684" s="7"/>
      <c r="B684" s="7"/>
      <c r="C684" s="7"/>
      <c r="D684" s="7"/>
      <c r="E684" s="7"/>
    </row>
    <row r="685" spans="1:5" ht="15.75">
      <c r="A685" s="7"/>
      <c r="B685" s="7"/>
      <c r="C685" s="7"/>
      <c r="D685" s="7"/>
      <c r="E685" s="7"/>
    </row>
    <row r="686" spans="1:5" ht="15.75">
      <c r="A686" s="7"/>
      <c r="B686" s="7"/>
      <c r="C686" s="7"/>
      <c r="D686" s="7"/>
      <c r="E686" s="7"/>
    </row>
    <row r="687" spans="1:5" ht="15.75">
      <c r="A687" s="7"/>
      <c r="B687" s="7"/>
      <c r="C687" s="7"/>
      <c r="D687" s="7"/>
      <c r="E687" s="7"/>
    </row>
    <row r="688" spans="1:5" ht="15.75">
      <c r="A688" s="7"/>
      <c r="B688" s="7"/>
      <c r="C688" s="7"/>
      <c r="D688" s="7"/>
      <c r="E688" s="7"/>
    </row>
    <row r="689" spans="1:5" ht="15.75">
      <c r="A689" s="7"/>
      <c r="B689" s="7"/>
      <c r="C689" s="7"/>
      <c r="D689" s="7"/>
      <c r="E689" s="7"/>
    </row>
    <row r="690" spans="1:5" ht="15.75">
      <c r="A690" s="7"/>
      <c r="B690" s="7"/>
      <c r="C690" s="7"/>
      <c r="D690" s="7"/>
      <c r="E690" s="7"/>
    </row>
    <row r="691" spans="1:5" ht="15.75">
      <c r="A691" s="7"/>
      <c r="B691" s="7"/>
      <c r="C691" s="7"/>
      <c r="D691" s="7"/>
      <c r="E691" s="7"/>
    </row>
    <row r="692" spans="1:5" ht="15.75">
      <c r="A692" s="7"/>
      <c r="B692" s="7"/>
      <c r="C692" s="7"/>
      <c r="D692" s="7"/>
      <c r="E692" s="7"/>
    </row>
    <row r="693" spans="1:5" ht="15.75">
      <c r="A693" s="7"/>
      <c r="B693" s="7"/>
      <c r="C693" s="7"/>
      <c r="D693" s="7"/>
      <c r="E693" s="7"/>
    </row>
    <row r="694" spans="1:5" ht="15.75">
      <c r="A694" s="7"/>
      <c r="B694" s="7"/>
      <c r="C694" s="7"/>
      <c r="D694" s="7"/>
      <c r="E694" s="7"/>
    </row>
    <row r="695" spans="1:5" ht="15.75">
      <c r="A695" s="7"/>
      <c r="B695" s="7"/>
      <c r="C695" s="7"/>
      <c r="D695" s="7"/>
      <c r="E695" s="7"/>
    </row>
    <row r="696" spans="1:5" ht="15.75">
      <c r="A696" s="7"/>
      <c r="B696" s="7"/>
      <c r="C696" s="7"/>
      <c r="D696" s="7"/>
      <c r="E696" s="7"/>
    </row>
    <row r="697" spans="1:5" ht="15.75">
      <c r="A697" s="7"/>
      <c r="B697" s="7"/>
      <c r="C697" s="7"/>
      <c r="D697" s="7"/>
      <c r="E697" s="7"/>
    </row>
    <row r="698" spans="1:5" ht="15.75">
      <c r="A698" s="7"/>
      <c r="B698" s="7"/>
      <c r="C698" s="7"/>
      <c r="D698" s="7"/>
      <c r="E698" s="7"/>
    </row>
    <row r="699" spans="1:5" ht="15.75">
      <c r="A699" s="7"/>
      <c r="B699" s="7"/>
      <c r="C699" s="7"/>
      <c r="D699" s="7"/>
      <c r="E699" s="7"/>
    </row>
    <row r="700" spans="1:5" ht="15.75">
      <c r="A700" s="7"/>
      <c r="B700" s="7"/>
      <c r="C700" s="7"/>
      <c r="D700" s="7"/>
      <c r="E700" s="7"/>
    </row>
    <row r="701" spans="1:5" ht="15.75">
      <c r="A701" s="7"/>
      <c r="B701" s="7"/>
      <c r="C701" s="7"/>
      <c r="D701" s="7"/>
      <c r="E701" s="7"/>
    </row>
    <row r="702" spans="1:5" ht="15.75">
      <c r="A702" s="7"/>
      <c r="B702" s="7"/>
      <c r="C702" s="7"/>
      <c r="D702" s="7"/>
      <c r="E702" s="7"/>
    </row>
    <row r="703" spans="1:5" ht="15.75">
      <c r="A703" s="7"/>
      <c r="B703" s="7"/>
      <c r="C703" s="7"/>
      <c r="D703" s="7"/>
      <c r="E703" s="7"/>
    </row>
    <row r="704" spans="1:5" ht="15.75">
      <c r="A704" s="7"/>
      <c r="B704" s="7"/>
      <c r="C704" s="7"/>
      <c r="D704" s="7"/>
      <c r="E704" s="7"/>
    </row>
    <row r="705" spans="1:5" ht="15.75">
      <c r="A705" s="7"/>
      <c r="B705" s="7"/>
      <c r="C705" s="7"/>
      <c r="D705" s="7"/>
      <c r="E705" s="7"/>
    </row>
    <row r="706" spans="1:5" ht="15.75">
      <c r="A706" s="7"/>
      <c r="B706" s="7"/>
      <c r="C706" s="7"/>
      <c r="D706" s="7"/>
      <c r="E706" s="7"/>
    </row>
    <row r="707" spans="1:5" ht="15.75">
      <c r="A707" s="7"/>
      <c r="B707" s="7"/>
      <c r="C707" s="7"/>
      <c r="D707" s="7"/>
      <c r="E707" s="7"/>
    </row>
    <row r="708" spans="1:5" ht="15.75">
      <c r="A708" s="7"/>
      <c r="B708" s="7"/>
      <c r="C708" s="7"/>
      <c r="D708" s="7"/>
      <c r="E708" s="7"/>
    </row>
    <row r="709" spans="1:5" ht="15.75">
      <c r="A709" s="7"/>
      <c r="B709" s="7"/>
      <c r="C709" s="7"/>
      <c r="D709" s="7"/>
      <c r="E709" s="7"/>
    </row>
    <row r="710" spans="1:5" ht="15.75">
      <c r="A710" s="7"/>
      <c r="B710" s="7"/>
      <c r="C710" s="7"/>
      <c r="D710" s="7"/>
      <c r="E710" s="7"/>
    </row>
    <row r="711" spans="1:5" ht="15.75">
      <c r="A711" s="7"/>
      <c r="B711" s="7"/>
      <c r="C711" s="7"/>
      <c r="D711" s="7"/>
      <c r="E711" s="7"/>
    </row>
    <row r="712" spans="1:5" ht="15.75">
      <c r="A712" s="7"/>
      <c r="B712" s="7"/>
      <c r="C712" s="7"/>
      <c r="D712" s="7"/>
      <c r="E712" s="7"/>
    </row>
    <row r="713" spans="1:5" ht="15.75">
      <c r="A713" s="7"/>
      <c r="B713" s="7"/>
      <c r="C713" s="7"/>
      <c r="D713" s="7"/>
      <c r="E713" s="7"/>
    </row>
    <row r="714" spans="1:5" ht="15.75">
      <c r="A714" s="7"/>
      <c r="B714" s="7"/>
      <c r="C714" s="7"/>
      <c r="D714" s="7"/>
      <c r="E714" s="7"/>
    </row>
    <row r="715" spans="1:5" ht="15.75">
      <c r="A715" s="7"/>
      <c r="B715" s="7"/>
      <c r="C715" s="7"/>
      <c r="D715" s="7"/>
      <c r="E715" s="7"/>
    </row>
    <row r="716" spans="1:5" ht="15.75">
      <c r="A716" s="7"/>
      <c r="B716" s="7"/>
      <c r="C716" s="7"/>
      <c r="D716" s="7"/>
      <c r="E716" s="7"/>
    </row>
    <row r="717" spans="1:5" ht="15.75">
      <c r="A717" s="7"/>
      <c r="B717" s="7"/>
      <c r="C717" s="7"/>
      <c r="D717" s="7"/>
      <c r="E717" s="7"/>
    </row>
    <row r="718" spans="1:5" ht="15.75">
      <c r="A718" s="7"/>
      <c r="B718" s="7"/>
      <c r="C718" s="7"/>
      <c r="D718" s="7"/>
      <c r="E718" s="7"/>
    </row>
    <row r="719" spans="1:5" ht="15.75">
      <c r="A719" s="7"/>
      <c r="B719" s="7"/>
      <c r="C719" s="7"/>
      <c r="D719" s="7"/>
      <c r="E719" s="7"/>
    </row>
    <row r="720" spans="1:5" ht="15.75">
      <c r="A720" s="7"/>
      <c r="B720" s="7"/>
      <c r="C720" s="7"/>
      <c r="D720" s="7"/>
      <c r="E720" s="7"/>
    </row>
    <row r="721" spans="1:5" ht="15.75">
      <c r="A721" s="7"/>
      <c r="B721" s="7"/>
      <c r="C721" s="7"/>
      <c r="D721" s="7"/>
      <c r="E721" s="7"/>
    </row>
    <row r="722" spans="1:5" ht="15.75">
      <c r="A722" s="7"/>
      <c r="B722" s="7"/>
      <c r="C722" s="7"/>
      <c r="D722" s="7"/>
      <c r="E722" s="7"/>
    </row>
    <row r="723" spans="1:5" ht="15.75">
      <c r="A723" s="7"/>
      <c r="B723" s="7"/>
      <c r="C723" s="7"/>
      <c r="D723" s="7"/>
      <c r="E723" s="7"/>
    </row>
    <row r="724" spans="1:5" ht="15.75">
      <c r="A724" s="7"/>
      <c r="B724" s="7"/>
      <c r="C724" s="7"/>
      <c r="D724" s="7"/>
      <c r="E724" s="7"/>
    </row>
    <row r="725" spans="1:5" ht="15.75">
      <c r="A725" s="7"/>
      <c r="B725" s="7"/>
      <c r="C725" s="7"/>
      <c r="D725" s="7"/>
      <c r="E725" s="7"/>
    </row>
    <row r="726" spans="1:5" ht="15.75">
      <c r="A726" s="7"/>
      <c r="B726" s="7"/>
      <c r="C726" s="7"/>
      <c r="D726" s="7"/>
      <c r="E726" s="7"/>
    </row>
    <row r="727" spans="1:5" ht="15.75">
      <c r="A727" s="7"/>
      <c r="B727" s="7"/>
      <c r="C727" s="7"/>
      <c r="D727" s="7"/>
      <c r="E727" s="7"/>
    </row>
    <row r="728" spans="1:5" ht="15.75">
      <c r="A728" s="7"/>
      <c r="B728" s="7"/>
      <c r="C728" s="7"/>
      <c r="D728" s="7"/>
      <c r="E728" s="7"/>
    </row>
    <row r="729" spans="1:5" ht="15.75">
      <c r="A729" s="7"/>
      <c r="B729" s="7"/>
      <c r="C729" s="7"/>
      <c r="D729" s="7"/>
      <c r="E729" s="7"/>
    </row>
    <row r="730" spans="1:5" ht="15.75">
      <c r="A730" s="7"/>
      <c r="B730" s="7"/>
      <c r="C730" s="7"/>
      <c r="D730" s="7"/>
      <c r="E730" s="7"/>
    </row>
    <row r="731" spans="1:5" ht="15.75">
      <c r="A731" s="7"/>
      <c r="B731" s="7"/>
      <c r="C731" s="7"/>
      <c r="D731" s="7"/>
      <c r="E731" s="7"/>
    </row>
    <row r="732" spans="1:5" ht="15.75">
      <c r="A732" s="7"/>
      <c r="B732" s="7"/>
      <c r="C732" s="7"/>
      <c r="D732" s="7"/>
      <c r="E732" s="7"/>
    </row>
    <row r="733" spans="1:5" ht="15.75">
      <c r="A733" s="7"/>
      <c r="B733" s="7"/>
      <c r="C733" s="7"/>
      <c r="D733" s="7"/>
      <c r="E733" s="7"/>
    </row>
    <row r="734" spans="1:5" ht="15.75">
      <c r="A734" s="7"/>
      <c r="B734" s="7"/>
      <c r="C734" s="7"/>
      <c r="D734" s="7"/>
      <c r="E734" s="7"/>
    </row>
    <row r="735" spans="1:5" ht="15.75">
      <c r="A735" s="7"/>
      <c r="B735" s="7"/>
      <c r="C735" s="7"/>
      <c r="D735" s="7"/>
      <c r="E735" s="7"/>
    </row>
    <row r="736" spans="1:5" ht="15.75">
      <c r="A736" s="7"/>
      <c r="B736" s="7"/>
      <c r="C736" s="7"/>
      <c r="D736" s="7"/>
      <c r="E736" s="7"/>
    </row>
    <row r="737" spans="1:5" ht="15.75">
      <c r="A737" s="7"/>
      <c r="B737" s="7"/>
      <c r="C737" s="7"/>
      <c r="D737" s="7"/>
      <c r="E737" s="7"/>
    </row>
    <row r="738" spans="1:5" ht="15.75">
      <c r="A738" s="7"/>
      <c r="B738" s="7"/>
      <c r="C738" s="7"/>
      <c r="D738" s="7"/>
      <c r="E738" s="7"/>
    </row>
    <row r="739" spans="1:5" ht="15.75">
      <c r="A739" s="7"/>
      <c r="B739" s="7"/>
      <c r="C739" s="7"/>
      <c r="D739" s="7"/>
      <c r="E739" s="7"/>
    </row>
    <row r="740" spans="1:5" ht="15.75">
      <c r="A740" s="7"/>
      <c r="B740" s="7"/>
      <c r="C740" s="7"/>
      <c r="D740" s="7"/>
      <c r="E740" s="7"/>
    </row>
    <row r="741" spans="1:5" ht="15.75">
      <c r="A741" s="7"/>
      <c r="B741" s="7"/>
      <c r="C741" s="7"/>
      <c r="D741" s="7"/>
      <c r="E741" s="7"/>
    </row>
    <row r="742" spans="1:5" ht="15.75">
      <c r="A742" s="7"/>
      <c r="B742" s="7"/>
      <c r="C742" s="7"/>
      <c r="D742" s="7"/>
      <c r="E742" s="7"/>
    </row>
    <row r="743" spans="1:5" ht="15.75">
      <c r="A743" s="7"/>
      <c r="B743" s="7"/>
      <c r="C743" s="7"/>
      <c r="D743" s="7"/>
      <c r="E743" s="7"/>
    </row>
    <row r="744" spans="1:5" ht="15.75">
      <c r="A744" s="7"/>
      <c r="B744" s="7"/>
      <c r="C744" s="7"/>
      <c r="D744" s="7"/>
      <c r="E744" s="7"/>
    </row>
    <row r="745" spans="1:5" ht="15.75">
      <c r="A745" s="7"/>
      <c r="B745" s="7"/>
      <c r="C745" s="7"/>
      <c r="D745" s="7"/>
      <c r="E745" s="7"/>
    </row>
    <row r="746" spans="1:5" ht="15.75">
      <c r="A746" s="7"/>
      <c r="B746" s="7"/>
      <c r="C746" s="7"/>
      <c r="D746" s="7"/>
      <c r="E746" s="7"/>
    </row>
    <row r="747" spans="1:5" ht="15.75">
      <c r="A747" s="7"/>
      <c r="B747" s="7"/>
      <c r="C747" s="7"/>
      <c r="D747" s="7"/>
      <c r="E747" s="7"/>
    </row>
    <row r="748" spans="1:5" ht="15.75">
      <c r="A748" s="7"/>
      <c r="B748" s="7"/>
      <c r="C748" s="7"/>
      <c r="D748" s="7"/>
      <c r="E748" s="7"/>
    </row>
    <row r="749" spans="1:5" ht="15.75">
      <c r="A749" s="7"/>
      <c r="B749" s="7"/>
      <c r="C749" s="7"/>
      <c r="D749" s="7"/>
      <c r="E749" s="7"/>
    </row>
    <row r="750" spans="1:5" ht="15.75">
      <c r="A750" s="7"/>
      <c r="B750" s="7"/>
      <c r="C750" s="7"/>
      <c r="D750" s="7"/>
      <c r="E750" s="7"/>
    </row>
    <row r="751" spans="1:5" ht="15.75">
      <c r="A751" s="7"/>
      <c r="B751" s="7"/>
      <c r="C751" s="7"/>
      <c r="D751" s="7"/>
      <c r="E751" s="7"/>
    </row>
    <row r="752" spans="1:5" ht="15.75">
      <c r="A752" s="7"/>
      <c r="B752" s="7"/>
      <c r="C752" s="7"/>
      <c r="D752" s="7"/>
      <c r="E752" s="7"/>
    </row>
    <row r="753" spans="1:5" ht="15.75">
      <c r="A753" s="7"/>
      <c r="B753" s="7"/>
      <c r="C753" s="7"/>
      <c r="D753" s="7"/>
      <c r="E753" s="7"/>
    </row>
    <row r="754" spans="1:5" ht="15.75">
      <c r="A754" s="7"/>
      <c r="B754" s="7"/>
      <c r="C754" s="7"/>
      <c r="D754" s="7"/>
      <c r="E754" s="7"/>
    </row>
    <row r="755" spans="1:5" ht="15.75">
      <c r="A755" s="7"/>
      <c r="B755" s="7"/>
      <c r="C755" s="7"/>
      <c r="D755" s="7"/>
      <c r="E755" s="7"/>
    </row>
    <row r="756" spans="1:5" ht="15.75">
      <c r="A756" s="7"/>
      <c r="B756" s="7"/>
      <c r="C756" s="7"/>
      <c r="D756" s="7"/>
      <c r="E756" s="7"/>
    </row>
    <row r="757" spans="1:5" ht="15.75">
      <c r="A757" s="7"/>
      <c r="B757" s="7"/>
      <c r="C757" s="7"/>
      <c r="D757" s="7"/>
      <c r="E757" s="7"/>
    </row>
    <row r="758" spans="1:5" ht="15.75">
      <c r="A758" s="7"/>
      <c r="B758" s="7"/>
      <c r="C758" s="7"/>
      <c r="D758" s="7"/>
      <c r="E758" s="7"/>
    </row>
    <row r="759" spans="1:5" ht="15.75">
      <c r="A759" s="7"/>
      <c r="B759" s="7"/>
      <c r="C759" s="7"/>
      <c r="D759" s="7"/>
      <c r="E759" s="7"/>
    </row>
    <row r="760" spans="1:5" ht="15.75">
      <c r="A760" s="7"/>
      <c r="B760" s="7"/>
      <c r="C760" s="7"/>
      <c r="D760" s="7"/>
      <c r="E760" s="7"/>
    </row>
    <row r="761" spans="1:5" ht="15.75">
      <c r="A761" s="7"/>
      <c r="B761" s="7"/>
      <c r="C761" s="7"/>
      <c r="D761" s="7"/>
      <c r="E761" s="7"/>
    </row>
    <row r="762" spans="1:5" ht="15.75">
      <c r="A762" s="7"/>
      <c r="B762" s="7"/>
      <c r="C762" s="7"/>
      <c r="D762" s="7"/>
      <c r="E762" s="7"/>
    </row>
    <row r="763" spans="1:5" ht="15.75">
      <c r="A763" s="7"/>
      <c r="B763" s="7"/>
      <c r="C763" s="7"/>
      <c r="D763" s="7"/>
      <c r="E763" s="7"/>
    </row>
    <row r="764" spans="1:5" ht="15.75">
      <c r="A764" s="7"/>
      <c r="B764" s="7"/>
      <c r="C764" s="7"/>
      <c r="D764" s="7"/>
      <c r="E764" s="7"/>
    </row>
    <row r="765" spans="1:5" ht="15.75">
      <c r="A765" s="7"/>
      <c r="B765" s="7"/>
      <c r="C765" s="7"/>
      <c r="D765" s="7"/>
      <c r="E765" s="7"/>
    </row>
    <row r="766" spans="1:5" ht="15.75">
      <c r="A766" s="7"/>
      <c r="B766" s="7"/>
      <c r="C766" s="7"/>
      <c r="D766" s="7"/>
      <c r="E766" s="7"/>
    </row>
    <row r="767" spans="1:5" ht="15.75">
      <c r="A767" s="7"/>
      <c r="B767" s="7"/>
      <c r="C767" s="7"/>
      <c r="D767" s="7"/>
      <c r="E767" s="7"/>
    </row>
    <row r="768" spans="1:5" ht="15.75">
      <c r="A768" s="7"/>
      <c r="B768" s="7"/>
      <c r="C768" s="7"/>
      <c r="D768" s="7"/>
      <c r="E768" s="7"/>
    </row>
    <row r="769" spans="1:5" ht="15.75">
      <c r="A769" s="7"/>
      <c r="B769" s="7"/>
      <c r="C769" s="7"/>
      <c r="D769" s="7"/>
      <c r="E769" s="7"/>
    </row>
    <row r="770" spans="1:5" ht="15.75">
      <c r="A770" s="7"/>
      <c r="B770" s="7"/>
      <c r="C770" s="7"/>
      <c r="D770" s="7"/>
      <c r="E770" s="7"/>
    </row>
    <row r="771" spans="1:5" ht="15.75">
      <c r="A771" s="7"/>
      <c r="B771" s="7"/>
      <c r="C771" s="7"/>
      <c r="D771" s="7"/>
      <c r="E771" s="7"/>
    </row>
    <row r="772" spans="1:5" ht="15.75">
      <c r="A772" s="7"/>
      <c r="B772" s="7"/>
      <c r="C772" s="7"/>
      <c r="D772" s="7"/>
      <c r="E772" s="7"/>
    </row>
    <row r="773" spans="1:5" ht="15.75">
      <c r="A773" s="7"/>
      <c r="B773" s="7"/>
      <c r="C773" s="7"/>
      <c r="D773" s="7"/>
      <c r="E773" s="7"/>
    </row>
    <row r="774" spans="1:5" ht="15.75">
      <c r="A774" s="7"/>
      <c r="B774" s="7"/>
      <c r="C774" s="7"/>
      <c r="D774" s="7"/>
      <c r="E774" s="7"/>
    </row>
    <row r="775" spans="1:5" ht="15.75">
      <c r="A775" s="7"/>
      <c r="B775" s="7"/>
      <c r="C775" s="7"/>
      <c r="D775" s="7"/>
      <c r="E775" s="7"/>
    </row>
    <row r="776" spans="1:5" ht="15.75">
      <c r="A776" s="7"/>
      <c r="B776" s="7"/>
      <c r="C776" s="7"/>
      <c r="D776" s="7"/>
      <c r="E776" s="7"/>
    </row>
    <row r="777" spans="1:5" ht="15.75">
      <c r="A777" s="7"/>
      <c r="B777" s="7"/>
      <c r="C777" s="7"/>
      <c r="D777" s="7"/>
      <c r="E777" s="7"/>
    </row>
    <row r="778" spans="1:5" ht="15.75">
      <c r="A778" s="7"/>
      <c r="B778" s="7"/>
      <c r="C778" s="7"/>
      <c r="D778" s="7"/>
      <c r="E778" s="7"/>
    </row>
    <row r="779" spans="1:5" ht="15.75">
      <c r="A779" s="7"/>
      <c r="B779" s="7"/>
      <c r="C779" s="7"/>
      <c r="D779" s="7"/>
      <c r="E779" s="7"/>
    </row>
    <row r="780" spans="1:5" ht="15.75">
      <c r="A780" s="7"/>
      <c r="B780" s="7"/>
      <c r="C780" s="7"/>
      <c r="D780" s="7"/>
      <c r="E780" s="7"/>
    </row>
    <row r="781" spans="1:5" ht="15.75">
      <c r="A781" s="7"/>
      <c r="B781" s="7"/>
      <c r="C781" s="7"/>
      <c r="D781" s="7"/>
      <c r="E781" s="7"/>
    </row>
    <row r="782" spans="1:5" ht="15.75">
      <c r="A782" s="7"/>
      <c r="B782" s="7"/>
      <c r="C782" s="7"/>
      <c r="D782" s="7"/>
      <c r="E782" s="7"/>
    </row>
    <row r="783" spans="1:5" ht="15.75">
      <c r="A783" s="7"/>
      <c r="B783" s="7"/>
      <c r="C783" s="7"/>
      <c r="D783" s="7"/>
      <c r="E783" s="7"/>
    </row>
    <row r="784" spans="1:5" ht="15.75">
      <c r="A784" s="7"/>
      <c r="B784" s="7"/>
      <c r="C784" s="7"/>
      <c r="D784" s="7"/>
      <c r="E784" s="7"/>
    </row>
    <row r="785" spans="1:5" ht="15.75">
      <c r="A785" s="7"/>
      <c r="B785" s="7"/>
      <c r="C785" s="7"/>
      <c r="D785" s="7"/>
      <c r="E785" s="7"/>
    </row>
    <row r="786" spans="1:5" ht="15.75">
      <c r="A786" s="7"/>
      <c r="B786" s="7"/>
      <c r="C786" s="7"/>
      <c r="D786" s="7"/>
      <c r="E786" s="7"/>
    </row>
    <row r="787" spans="1:5" ht="15.75">
      <c r="A787" s="7"/>
      <c r="B787" s="7"/>
      <c r="C787" s="7"/>
      <c r="D787" s="7"/>
      <c r="E787" s="7"/>
    </row>
    <row r="788" spans="1:5" ht="15.75">
      <c r="A788" s="7"/>
      <c r="B788" s="7"/>
      <c r="C788" s="7"/>
      <c r="D788" s="7"/>
      <c r="E788" s="7"/>
    </row>
    <row r="789" spans="1:5" ht="15.75">
      <c r="A789" s="7"/>
      <c r="B789" s="7"/>
      <c r="C789" s="7"/>
      <c r="D789" s="7"/>
      <c r="E789" s="7"/>
    </row>
    <row r="790" spans="1:5" ht="15.75">
      <c r="A790" s="7"/>
      <c r="B790" s="7"/>
      <c r="C790" s="7"/>
      <c r="D790" s="7"/>
      <c r="E790" s="7"/>
    </row>
    <row r="791" spans="1:5" ht="15.75">
      <c r="A791" s="7"/>
      <c r="B791" s="7"/>
      <c r="C791" s="7"/>
      <c r="D791" s="7"/>
      <c r="E791" s="7"/>
    </row>
    <row r="792" spans="1:5" ht="15.75">
      <c r="A792" s="7"/>
      <c r="B792" s="7"/>
      <c r="C792" s="7"/>
      <c r="D792" s="7"/>
      <c r="E792" s="7"/>
    </row>
    <row r="793" spans="1:5" ht="15.75">
      <c r="A793" s="7"/>
      <c r="B793" s="7"/>
      <c r="C793" s="7"/>
      <c r="D793" s="7"/>
      <c r="E793" s="7"/>
    </row>
    <row r="794" spans="1:5" ht="15.75">
      <c r="A794" s="7"/>
      <c r="B794" s="7"/>
      <c r="C794" s="7"/>
      <c r="D794" s="7"/>
      <c r="E794" s="7"/>
    </row>
    <row r="795" spans="1:5" ht="15.75">
      <c r="A795" s="7"/>
      <c r="B795" s="7"/>
      <c r="C795" s="7"/>
      <c r="D795" s="7"/>
      <c r="E795" s="7"/>
    </row>
    <row r="796" spans="1:5" ht="15.75">
      <c r="A796" s="7"/>
      <c r="B796" s="7"/>
      <c r="C796" s="7"/>
      <c r="D796" s="7"/>
      <c r="E796" s="7"/>
    </row>
    <row r="797" spans="1:5" ht="15.75">
      <c r="A797" s="7"/>
      <c r="B797" s="7"/>
      <c r="C797" s="7"/>
      <c r="D797" s="7"/>
      <c r="E797" s="7"/>
    </row>
    <row r="798" spans="1:5" ht="15.75">
      <c r="A798" s="7"/>
      <c r="B798" s="7"/>
      <c r="C798" s="7"/>
      <c r="D798" s="7"/>
      <c r="E798" s="7"/>
    </row>
    <row r="799" spans="1:5" ht="15.75">
      <c r="A799" s="7"/>
      <c r="B799" s="7"/>
      <c r="C799" s="7"/>
      <c r="D799" s="7"/>
      <c r="E799" s="7"/>
    </row>
    <row r="800" spans="1:5" ht="15.75">
      <c r="A800" s="7"/>
      <c r="B800" s="7"/>
      <c r="C800" s="7"/>
      <c r="D800" s="7"/>
      <c r="E800" s="7"/>
    </row>
    <row r="801" spans="1:5" ht="15.75">
      <c r="A801" s="7"/>
      <c r="B801" s="7"/>
      <c r="C801" s="7"/>
      <c r="D801" s="7"/>
      <c r="E801" s="7"/>
    </row>
    <row r="802" spans="1:5" ht="15.75">
      <c r="A802" s="7"/>
      <c r="B802" s="7"/>
      <c r="C802" s="7"/>
      <c r="D802" s="7"/>
      <c r="E802" s="7"/>
    </row>
    <row r="803" spans="1:5" ht="15.75">
      <c r="A803" s="7"/>
      <c r="B803" s="7"/>
      <c r="C803" s="7"/>
      <c r="D803" s="7"/>
      <c r="E803" s="7"/>
    </row>
    <row r="804" spans="1:5" ht="15.75">
      <c r="A804" s="7"/>
      <c r="B804" s="7"/>
      <c r="C804" s="7"/>
      <c r="D804" s="7"/>
      <c r="E804" s="7"/>
    </row>
    <row r="805" spans="1:5" ht="15.75">
      <c r="A805" s="7"/>
      <c r="B805" s="7"/>
      <c r="C805" s="7"/>
      <c r="D805" s="7"/>
      <c r="E805" s="7"/>
    </row>
    <row r="806" spans="1:5" ht="15.75">
      <c r="A806" s="7"/>
      <c r="B806" s="7"/>
      <c r="C806" s="7"/>
      <c r="D806" s="7"/>
      <c r="E806" s="7"/>
    </row>
    <row r="807" spans="1:5" ht="15.75">
      <c r="A807" s="7"/>
      <c r="B807" s="7"/>
      <c r="C807" s="7"/>
      <c r="D807" s="7"/>
      <c r="E807" s="7"/>
    </row>
    <row r="808" spans="1:5" ht="15.75">
      <c r="A808" s="7"/>
      <c r="B808" s="7"/>
      <c r="C808" s="7"/>
      <c r="D808" s="7"/>
      <c r="E808" s="7"/>
    </row>
    <row r="809" spans="1:5" ht="15.75">
      <c r="A809" s="7"/>
      <c r="B809" s="7"/>
      <c r="C809" s="7"/>
      <c r="D809" s="7"/>
      <c r="E809" s="7"/>
    </row>
    <row r="810" spans="1:5" ht="15.75">
      <c r="A810" s="7"/>
      <c r="B810" s="7"/>
      <c r="C810" s="7"/>
      <c r="D810" s="7"/>
      <c r="E810" s="7"/>
    </row>
    <row r="811" spans="1:5" ht="15.75">
      <c r="A811" s="7"/>
      <c r="B811" s="7"/>
      <c r="C811" s="7"/>
      <c r="D811" s="7"/>
      <c r="E811" s="7"/>
    </row>
    <row r="812" spans="1:5" ht="15.75">
      <c r="A812" s="7"/>
      <c r="B812" s="7"/>
      <c r="C812" s="7"/>
      <c r="D812" s="7"/>
      <c r="E812" s="7"/>
    </row>
    <row r="813" spans="1:5" ht="15.75">
      <c r="A813" s="7"/>
      <c r="B813" s="7"/>
      <c r="C813" s="7"/>
      <c r="D813" s="7"/>
      <c r="E813" s="7"/>
    </row>
    <row r="814" spans="1:5" ht="15.75">
      <c r="A814" s="7"/>
      <c r="B814" s="7"/>
      <c r="C814" s="7"/>
      <c r="D814" s="7"/>
      <c r="E814" s="7"/>
    </row>
    <row r="815" spans="1:5" ht="15.75">
      <c r="A815" s="7"/>
      <c r="B815" s="7"/>
      <c r="C815" s="7"/>
      <c r="D815" s="7"/>
      <c r="E815" s="7"/>
    </row>
    <row r="816" spans="1:5" ht="15.75">
      <c r="A816" s="7"/>
      <c r="B816" s="7"/>
      <c r="C816" s="7"/>
      <c r="D816" s="7"/>
      <c r="E816" s="7"/>
    </row>
    <row r="817" spans="1:5" ht="15.75">
      <c r="A817" s="7"/>
      <c r="B817" s="7"/>
      <c r="C817" s="7"/>
      <c r="D817" s="7"/>
      <c r="E817" s="7"/>
    </row>
    <row r="818" spans="1:5" ht="15.75">
      <c r="A818" s="7"/>
      <c r="B818" s="7"/>
      <c r="C818" s="7"/>
      <c r="D818" s="7"/>
      <c r="E818" s="7"/>
    </row>
    <row r="819" spans="1:5" ht="15.75">
      <c r="A819" s="7"/>
      <c r="B819" s="7"/>
      <c r="C819" s="7"/>
      <c r="D819" s="7"/>
      <c r="E819" s="7"/>
    </row>
    <row r="820" spans="1:5" ht="15.75">
      <c r="A820" s="7"/>
      <c r="B820" s="7"/>
      <c r="C820" s="7"/>
      <c r="D820" s="7"/>
      <c r="E820" s="7"/>
    </row>
    <row r="821" spans="1:5" ht="15.75">
      <c r="A821" s="7"/>
      <c r="B821" s="7"/>
      <c r="C821" s="7"/>
      <c r="D821" s="7"/>
      <c r="E821" s="7"/>
    </row>
    <row r="822" spans="1:5" ht="15.75">
      <c r="A822" s="7"/>
      <c r="B822" s="7"/>
      <c r="C822" s="7"/>
      <c r="D822" s="7"/>
      <c r="E822" s="7"/>
    </row>
    <row r="823" spans="1:5" ht="15.75">
      <c r="A823" s="7"/>
      <c r="B823" s="7"/>
      <c r="C823" s="7"/>
      <c r="D823" s="7"/>
      <c r="E823" s="7"/>
    </row>
    <row r="824" spans="1:5" ht="15.75">
      <c r="A824" s="7"/>
      <c r="B824" s="7"/>
      <c r="C824" s="7"/>
      <c r="D824" s="7"/>
      <c r="E824" s="7"/>
    </row>
    <row r="825" spans="1:5" ht="15.75">
      <c r="A825" s="7"/>
      <c r="B825" s="7"/>
      <c r="C825" s="7"/>
      <c r="D825" s="7"/>
      <c r="E825" s="7"/>
    </row>
    <row r="826" spans="1:5" ht="15.75">
      <c r="A826" s="7"/>
      <c r="B826" s="7"/>
      <c r="C826" s="7"/>
      <c r="D826" s="7"/>
      <c r="E826" s="7"/>
    </row>
    <row r="827" spans="1:5" ht="15.75">
      <c r="A827" s="7"/>
      <c r="B827" s="7"/>
      <c r="C827" s="7"/>
      <c r="D827" s="7"/>
      <c r="E827" s="7"/>
    </row>
    <row r="828" spans="1:5" ht="15.75">
      <c r="A828" s="7"/>
      <c r="B828" s="7"/>
      <c r="C828" s="7"/>
      <c r="D828" s="7"/>
      <c r="E828" s="7"/>
    </row>
    <row r="829" spans="1:5" ht="15.75">
      <c r="A829" s="7"/>
      <c r="B829" s="7"/>
      <c r="C829" s="7"/>
      <c r="D829" s="7"/>
      <c r="E829" s="7"/>
    </row>
    <row r="830" spans="1:5" ht="15.75">
      <c r="A830" s="7"/>
      <c r="B830" s="7"/>
      <c r="C830" s="7"/>
      <c r="D830" s="7"/>
      <c r="E830" s="7"/>
    </row>
    <row r="831" spans="1:5" ht="15.75">
      <c r="A831" s="7"/>
      <c r="B831" s="7"/>
      <c r="C831" s="7"/>
      <c r="D831" s="7"/>
      <c r="E831" s="7"/>
    </row>
    <row r="832" spans="1:5" ht="15.75">
      <c r="A832" s="7"/>
      <c r="B832" s="7"/>
      <c r="C832" s="7"/>
      <c r="D832" s="7"/>
      <c r="E832" s="7"/>
    </row>
    <row r="833" spans="1:5" ht="15.75">
      <c r="A833" s="7"/>
      <c r="B833" s="7"/>
      <c r="C833" s="7"/>
      <c r="D833" s="7"/>
      <c r="E833" s="7"/>
    </row>
    <row r="834" spans="1:5" ht="15.75">
      <c r="A834" s="7"/>
      <c r="B834" s="7"/>
      <c r="C834" s="7"/>
      <c r="D834" s="7"/>
      <c r="E834" s="7"/>
    </row>
    <row r="835" spans="1:5" ht="15.75">
      <c r="A835" s="7"/>
      <c r="B835" s="7"/>
      <c r="C835" s="7"/>
      <c r="D835" s="7"/>
      <c r="E835" s="7"/>
    </row>
    <row r="836" spans="1:5" ht="15.75">
      <c r="A836" s="7"/>
      <c r="B836" s="7"/>
      <c r="C836" s="7"/>
      <c r="D836" s="7"/>
      <c r="E836" s="7"/>
    </row>
    <row r="837" spans="1:5" ht="15.75">
      <c r="A837" s="7"/>
      <c r="B837" s="7"/>
      <c r="C837" s="7"/>
      <c r="D837" s="7"/>
      <c r="E837" s="7"/>
    </row>
    <row r="838" spans="1:5" ht="15.75">
      <c r="A838" s="7"/>
      <c r="B838" s="7"/>
      <c r="C838" s="7"/>
      <c r="D838" s="7"/>
      <c r="E838" s="7"/>
    </row>
    <row r="839" spans="1:5" ht="15.75">
      <c r="A839" s="7"/>
      <c r="B839" s="7"/>
      <c r="C839" s="7"/>
      <c r="D839" s="7"/>
      <c r="E839" s="7"/>
    </row>
    <row r="840" spans="1:5" ht="15.75">
      <c r="A840" s="7"/>
      <c r="B840" s="7"/>
      <c r="C840" s="7"/>
      <c r="D840" s="7"/>
      <c r="E840" s="7"/>
    </row>
    <row r="841" spans="1:5" ht="15.75">
      <c r="A841" s="7"/>
      <c r="B841" s="7"/>
      <c r="C841" s="7"/>
      <c r="D841" s="7"/>
      <c r="E841" s="7"/>
    </row>
    <row r="842" spans="1:5" ht="15.75">
      <c r="A842" s="7"/>
      <c r="B842" s="7"/>
      <c r="C842" s="7"/>
      <c r="D842" s="7"/>
      <c r="E842" s="7"/>
    </row>
    <row r="843" spans="1:5" ht="15.75">
      <c r="A843" s="7"/>
      <c r="B843" s="7"/>
      <c r="C843" s="7"/>
      <c r="D843" s="7"/>
      <c r="E843" s="7"/>
    </row>
    <row r="844" spans="1:5" ht="15.75">
      <c r="A844" s="7"/>
      <c r="B844" s="7"/>
      <c r="C844" s="7"/>
      <c r="D844" s="7"/>
      <c r="E844" s="7"/>
    </row>
    <row r="845" spans="1:5" ht="15.75">
      <c r="A845" s="7"/>
      <c r="B845" s="7"/>
      <c r="C845" s="7"/>
      <c r="D845" s="7"/>
      <c r="E845" s="7"/>
    </row>
    <row r="846" spans="1:5" ht="15.75">
      <c r="A846" s="7"/>
      <c r="B846" s="7"/>
      <c r="C846" s="7"/>
      <c r="D846" s="7"/>
      <c r="E846" s="7"/>
    </row>
    <row r="847" spans="1:5" ht="15.75">
      <c r="A847" s="7"/>
      <c r="B847" s="7"/>
      <c r="C847" s="7"/>
      <c r="D847" s="7"/>
      <c r="E847" s="7"/>
    </row>
    <row r="848" spans="1:5" ht="15.75">
      <c r="A848" s="7"/>
      <c r="B848" s="7"/>
      <c r="C848" s="7"/>
      <c r="D848" s="7"/>
      <c r="E848" s="7"/>
    </row>
    <row r="849" spans="1:5" ht="15.75">
      <c r="A849" s="7"/>
      <c r="B849" s="7"/>
      <c r="C849" s="7"/>
      <c r="D849" s="7"/>
      <c r="E849" s="7"/>
    </row>
    <row r="850" spans="1:5" ht="15.75">
      <c r="A850" s="7"/>
      <c r="B850" s="7"/>
      <c r="C850" s="7"/>
      <c r="D850" s="7"/>
      <c r="E850" s="7"/>
    </row>
    <row r="851" spans="1:5" ht="15.75">
      <c r="A851" s="7"/>
      <c r="B851" s="7"/>
      <c r="C851" s="7"/>
      <c r="D851" s="7"/>
      <c r="E851" s="7"/>
    </row>
    <row r="852" spans="1:5" ht="15.75">
      <c r="A852" s="7"/>
      <c r="B852" s="7"/>
      <c r="C852" s="7"/>
      <c r="D852" s="7"/>
      <c r="E852" s="7"/>
    </row>
    <row r="853" spans="1:5" ht="15.75">
      <c r="A853" s="7"/>
      <c r="B853" s="7"/>
      <c r="C853" s="7"/>
      <c r="D853" s="7"/>
      <c r="E853" s="7"/>
    </row>
    <row r="854" spans="1:5" ht="15.75">
      <c r="A854" s="7"/>
      <c r="B854" s="7"/>
      <c r="C854" s="7"/>
      <c r="D854" s="7"/>
      <c r="E854" s="7"/>
    </row>
    <row r="855" spans="1:5" ht="15.75">
      <c r="A855" s="7"/>
      <c r="B855" s="7"/>
      <c r="C855" s="7"/>
      <c r="D855" s="7"/>
      <c r="E855" s="7"/>
    </row>
    <row r="856" spans="1:5" ht="15.75">
      <c r="A856" s="7"/>
      <c r="B856" s="7"/>
      <c r="C856" s="7"/>
      <c r="D856" s="7"/>
      <c r="E856" s="7"/>
    </row>
    <row r="857" spans="1:5" ht="15.75">
      <c r="A857" s="7"/>
      <c r="B857" s="7"/>
      <c r="C857" s="7"/>
      <c r="D857" s="7"/>
      <c r="E857" s="7"/>
    </row>
    <row r="858" spans="1:5" ht="15.75">
      <c r="A858" s="7"/>
      <c r="B858" s="7"/>
      <c r="C858" s="7"/>
      <c r="D858" s="7"/>
      <c r="E858" s="7"/>
    </row>
    <row r="859" spans="1:5" ht="15.75">
      <c r="A859" s="7"/>
      <c r="B859" s="7"/>
      <c r="C859" s="7"/>
      <c r="D859" s="7"/>
      <c r="E859" s="7"/>
    </row>
    <row r="860" spans="1:5" ht="15.75">
      <c r="A860" s="7"/>
      <c r="B860" s="7"/>
      <c r="C860" s="7"/>
      <c r="D860" s="7"/>
      <c r="E860" s="7"/>
    </row>
    <row r="861" spans="1:5" ht="15.75">
      <c r="A861" s="7"/>
      <c r="B861" s="7"/>
      <c r="C861" s="7"/>
      <c r="D861" s="7"/>
      <c r="E861" s="7"/>
    </row>
    <row r="862" spans="1:5" ht="15.75">
      <c r="A862" s="7"/>
      <c r="B862" s="7"/>
      <c r="C862" s="7"/>
      <c r="D862" s="7"/>
      <c r="E862" s="7"/>
    </row>
    <row r="863" spans="1:5" ht="15.75">
      <c r="A863" s="7"/>
      <c r="B863" s="7"/>
      <c r="C863" s="7"/>
      <c r="D863" s="7"/>
      <c r="E863" s="7"/>
    </row>
    <row r="864" spans="1:5" ht="15.75">
      <c r="A864" s="7"/>
      <c r="B864" s="7"/>
      <c r="C864" s="7"/>
      <c r="D864" s="7"/>
      <c r="E864" s="7"/>
    </row>
    <row r="865" spans="1:5" ht="15.75">
      <c r="A865" s="7"/>
      <c r="B865" s="7"/>
      <c r="C865" s="7"/>
      <c r="D865" s="7"/>
      <c r="E865" s="7"/>
    </row>
    <row r="866" spans="1:5" ht="15.75">
      <c r="A866" s="7"/>
      <c r="B866" s="7"/>
      <c r="C866" s="7"/>
      <c r="D866" s="7"/>
      <c r="E866" s="7"/>
    </row>
    <row r="867" spans="1:5" ht="15.75">
      <c r="A867" s="7"/>
      <c r="B867" s="7"/>
      <c r="C867" s="7"/>
      <c r="D867" s="7"/>
      <c r="E867" s="7"/>
    </row>
    <row r="868" spans="1:5" ht="15.75">
      <c r="A868" s="7"/>
      <c r="B868" s="7"/>
      <c r="C868" s="7"/>
      <c r="D868" s="7"/>
      <c r="E868" s="7"/>
    </row>
    <row r="869" spans="1:5" ht="15.75">
      <c r="A869" s="7"/>
      <c r="B869" s="7"/>
      <c r="C869" s="7"/>
      <c r="D869" s="7"/>
      <c r="E869" s="7"/>
    </row>
    <row r="870" spans="1:5" ht="15.75">
      <c r="A870" s="7"/>
      <c r="B870" s="7"/>
      <c r="C870" s="7"/>
      <c r="D870" s="7"/>
      <c r="E870" s="7"/>
    </row>
    <row r="871" spans="1:5" ht="15.75">
      <c r="A871" s="7"/>
      <c r="B871" s="7"/>
      <c r="C871" s="7"/>
      <c r="D871" s="7"/>
      <c r="E871" s="7"/>
    </row>
    <row r="872" spans="1:5" ht="15.75">
      <c r="A872" s="7"/>
      <c r="B872" s="7"/>
      <c r="C872" s="7"/>
      <c r="D872" s="7"/>
      <c r="E872" s="7"/>
    </row>
    <row r="873" spans="1:5" ht="15.75">
      <c r="A873" s="7"/>
      <c r="B873" s="7"/>
      <c r="C873" s="7"/>
      <c r="D873" s="7"/>
      <c r="E873" s="7"/>
    </row>
    <row r="874" spans="1:5" ht="15.75">
      <c r="A874" s="7"/>
      <c r="B874" s="7"/>
      <c r="C874" s="7"/>
      <c r="D874" s="7"/>
      <c r="E874" s="7"/>
    </row>
    <row r="875" spans="1:5" ht="15.75">
      <c r="A875" s="7"/>
      <c r="B875" s="7"/>
      <c r="C875" s="7"/>
      <c r="D875" s="7"/>
      <c r="E875" s="7"/>
    </row>
    <row r="876" spans="1:5" ht="15.75">
      <c r="A876" s="7"/>
      <c r="B876" s="7"/>
      <c r="C876" s="7"/>
      <c r="D876" s="7"/>
      <c r="E876" s="7"/>
    </row>
    <row r="877" spans="1:5" ht="15.75">
      <c r="A877" s="7"/>
      <c r="B877" s="7"/>
      <c r="C877" s="7"/>
      <c r="D877" s="7"/>
      <c r="E877" s="7"/>
    </row>
    <row r="878" spans="1:5" ht="15.75">
      <c r="A878" s="7"/>
      <c r="B878" s="7"/>
      <c r="C878" s="7"/>
      <c r="D878" s="7"/>
      <c r="E878" s="7"/>
    </row>
    <row r="879" spans="1:5" ht="15.75">
      <c r="A879" s="7"/>
      <c r="B879" s="7"/>
      <c r="C879" s="7"/>
      <c r="D879" s="7"/>
      <c r="E879" s="7"/>
    </row>
    <row r="880" spans="1:5" ht="15.75">
      <c r="A880" s="7"/>
      <c r="B880" s="7"/>
      <c r="C880" s="7"/>
      <c r="D880" s="7"/>
      <c r="E880" s="7"/>
    </row>
    <row r="881" spans="1:5" ht="15.75">
      <c r="A881" s="7"/>
      <c r="B881" s="7"/>
      <c r="C881" s="7"/>
      <c r="D881" s="7"/>
      <c r="E881" s="7"/>
    </row>
    <row r="882" spans="1:5" ht="15.75">
      <c r="A882" s="7"/>
      <c r="B882" s="7"/>
      <c r="C882" s="7"/>
      <c r="D882" s="7"/>
      <c r="E882" s="7"/>
    </row>
    <row r="883" spans="1:5" ht="15.75">
      <c r="A883" s="7"/>
      <c r="B883" s="7"/>
      <c r="C883" s="7"/>
      <c r="D883" s="7"/>
      <c r="E883" s="7"/>
    </row>
    <row r="884" spans="1:5" ht="15.75">
      <c r="A884" s="7"/>
      <c r="B884" s="7"/>
      <c r="C884" s="7"/>
      <c r="D884" s="7"/>
      <c r="E884" s="7"/>
    </row>
    <row r="885" spans="1:5" ht="15.75">
      <c r="A885" s="7"/>
      <c r="B885" s="7"/>
      <c r="C885" s="7"/>
      <c r="D885" s="7"/>
      <c r="E885" s="7"/>
    </row>
    <row r="886" spans="1:5" ht="15.75">
      <c r="A886" s="7"/>
      <c r="B886" s="7"/>
      <c r="C886" s="7"/>
      <c r="D886" s="7"/>
      <c r="E886" s="7"/>
    </row>
    <row r="887" spans="1:5" ht="15.75">
      <c r="A887" s="7"/>
      <c r="B887" s="7"/>
      <c r="C887" s="7"/>
      <c r="D887" s="7"/>
      <c r="E887" s="7"/>
    </row>
    <row r="888" spans="1:5" ht="15.75">
      <c r="A888" s="7"/>
      <c r="B888" s="7"/>
      <c r="C888" s="7"/>
      <c r="D888" s="7"/>
      <c r="E888" s="7"/>
    </row>
    <row r="889" spans="1:5" ht="15.75">
      <c r="A889" s="7"/>
      <c r="B889" s="7"/>
      <c r="C889" s="7"/>
      <c r="D889" s="7"/>
      <c r="E889" s="7"/>
    </row>
    <row r="890" spans="1:5" ht="15.75">
      <c r="A890" s="7"/>
      <c r="B890" s="7"/>
      <c r="C890" s="7"/>
      <c r="D890" s="7"/>
      <c r="E890" s="7"/>
    </row>
    <row r="891" spans="1:5" ht="15.75">
      <c r="A891" s="7"/>
      <c r="B891" s="7"/>
      <c r="C891" s="7"/>
      <c r="D891" s="7"/>
      <c r="E891" s="7"/>
    </row>
    <row r="892" spans="1:5" ht="15.75">
      <c r="A892" s="7"/>
      <c r="B892" s="7"/>
      <c r="C892" s="7"/>
      <c r="D892" s="7"/>
      <c r="E892" s="7"/>
    </row>
    <row r="893" spans="1:5" ht="15.75">
      <c r="A893" s="7"/>
      <c r="B893" s="7"/>
      <c r="C893" s="7"/>
      <c r="D893" s="7"/>
      <c r="E893" s="7"/>
    </row>
    <row r="894" spans="1:5" ht="15.75">
      <c r="A894" s="7"/>
      <c r="B894" s="7"/>
      <c r="C894" s="7"/>
      <c r="D894" s="7"/>
      <c r="E894" s="7"/>
    </row>
    <row r="895" spans="1:5" ht="15.75">
      <c r="A895" s="7"/>
      <c r="B895" s="7"/>
      <c r="C895" s="7"/>
      <c r="D895" s="7"/>
      <c r="E895" s="7"/>
    </row>
    <row r="896" spans="1:5" ht="15.75">
      <c r="A896" s="7"/>
      <c r="B896" s="7"/>
      <c r="C896" s="7"/>
      <c r="D896" s="7"/>
      <c r="E896" s="7"/>
    </row>
    <row r="897" spans="1:5" ht="15.75">
      <c r="A897" s="7"/>
      <c r="B897" s="7"/>
      <c r="C897" s="7"/>
      <c r="D897" s="7"/>
      <c r="E897" s="7"/>
    </row>
    <row r="898" spans="1:5" ht="15.75">
      <c r="A898" s="7"/>
      <c r="B898" s="7"/>
      <c r="C898" s="7"/>
      <c r="D898" s="7"/>
      <c r="E898" s="7"/>
    </row>
    <row r="899" spans="1:5" ht="15.75">
      <c r="A899" s="7"/>
      <c r="B899" s="7"/>
      <c r="C899" s="7"/>
      <c r="D899" s="7"/>
      <c r="E899" s="7"/>
    </row>
    <row r="900" spans="1:5" ht="15.75">
      <c r="A900" s="7"/>
      <c r="B900" s="7"/>
      <c r="C900" s="7"/>
      <c r="D900" s="7"/>
      <c r="E900" s="7"/>
    </row>
    <row r="901" spans="1:5" ht="15.75">
      <c r="A901" s="7"/>
      <c r="B901" s="7"/>
      <c r="C901" s="7"/>
      <c r="D901" s="7"/>
      <c r="E901" s="7"/>
    </row>
    <row r="902" spans="1:5" ht="15.75">
      <c r="A902" s="7"/>
      <c r="B902" s="7"/>
      <c r="C902" s="7"/>
      <c r="D902" s="7"/>
      <c r="E902" s="7"/>
    </row>
    <row r="903" spans="1:5" ht="15.75">
      <c r="A903" s="7"/>
      <c r="B903" s="7"/>
      <c r="C903" s="7"/>
      <c r="D903" s="7"/>
      <c r="E903" s="7"/>
    </row>
    <row r="904" spans="1:5" ht="15.75">
      <c r="A904" s="7"/>
      <c r="B904" s="7"/>
      <c r="C904" s="7"/>
      <c r="D904" s="7"/>
      <c r="E904" s="7"/>
    </row>
    <row r="905" spans="1:5" ht="15.75">
      <c r="A905" s="7"/>
      <c r="B905" s="7"/>
      <c r="C905" s="7"/>
      <c r="D905" s="7"/>
      <c r="E905" s="7"/>
    </row>
    <row r="906" spans="1:5" ht="15.75">
      <c r="A906" s="7"/>
      <c r="B906" s="7"/>
      <c r="C906" s="7"/>
      <c r="D906" s="7"/>
      <c r="E906" s="7"/>
    </row>
    <row r="907" spans="1:5" ht="15.75">
      <c r="A907" s="7"/>
      <c r="B907" s="7"/>
      <c r="C907" s="7"/>
      <c r="D907" s="7"/>
      <c r="E907" s="7"/>
    </row>
    <row r="908" spans="1:5" ht="15.75">
      <c r="A908" s="7"/>
      <c r="B908" s="7"/>
      <c r="C908" s="7"/>
      <c r="D908" s="7"/>
      <c r="E908" s="7"/>
    </row>
    <row r="909" spans="1:5" ht="15.75">
      <c r="A909" s="7"/>
      <c r="B909" s="7"/>
      <c r="C909" s="7"/>
      <c r="D909" s="7"/>
      <c r="E909" s="7"/>
    </row>
    <row r="910" spans="1:5" ht="15.75">
      <c r="A910" s="7"/>
      <c r="B910" s="7"/>
      <c r="C910" s="7"/>
      <c r="D910" s="7"/>
      <c r="E910" s="7"/>
    </row>
    <row r="911" spans="1:5" ht="15.75">
      <c r="A911" s="7"/>
      <c r="B911" s="7"/>
      <c r="C911" s="7"/>
      <c r="D911" s="7"/>
      <c r="E911" s="7"/>
    </row>
    <row r="912" spans="1:5" ht="15.75">
      <c r="A912" s="7"/>
      <c r="B912" s="7"/>
      <c r="C912" s="7"/>
      <c r="D912" s="7"/>
      <c r="E912" s="7"/>
    </row>
    <row r="913" spans="1:5" ht="15.75">
      <c r="A913" s="7"/>
      <c r="B913" s="7"/>
      <c r="C913" s="7"/>
      <c r="D913" s="7"/>
      <c r="E913" s="7"/>
    </row>
    <row r="914" spans="1:5" ht="15.75">
      <c r="A914" s="7"/>
      <c r="B914" s="7"/>
      <c r="C914" s="7"/>
      <c r="D914" s="7"/>
      <c r="E914" s="7"/>
    </row>
    <row r="915" spans="1:5" ht="15.75">
      <c r="A915" s="7"/>
      <c r="B915" s="7"/>
      <c r="C915" s="7"/>
      <c r="D915" s="7"/>
      <c r="E915" s="7"/>
    </row>
    <row r="916" spans="1:5" ht="15.75">
      <c r="A916" s="7"/>
      <c r="B916" s="7"/>
      <c r="C916" s="7"/>
      <c r="D916" s="7"/>
      <c r="E916" s="7"/>
    </row>
    <row r="917" spans="1:5" ht="15.75">
      <c r="A917" s="7"/>
      <c r="B917" s="7"/>
      <c r="C917" s="7"/>
      <c r="D917" s="7"/>
      <c r="E917" s="7"/>
    </row>
    <row r="918" spans="1:5" ht="15.75">
      <c r="A918" s="7"/>
      <c r="B918" s="7"/>
      <c r="C918" s="7"/>
      <c r="D918" s="7"/>
      <c r="E918" s="7"/>
    </row>
    <row r="919" spans="1:5" ht="15.75">
      <c r="A919" s="7"/>
      <c r="B919" s="7"/>
      <c r="C919" s="7"/>
      <c r="D919" s="7"/>
      <c r="E919" s="7"/>
    </row>
    <row r="920" spans="1:5" ht="15.75">
      <c r="A920" s="7"/>
      <c r="B920" s="7"/>
      <c r="C920" s="7"/>
      <c r="D920" s="7"/>
      <c r="E920" s="7"/>
    </row>
    <row r="921" spans="1:5" ht="15.75">
      <c r="A921" s="7"/>
      <c r="B921" s="7"/>
      <c r="C921" s="7"/>
      <c r="D921" s="7"/>
      <c r="E921" s="7"/>
    </row>
    <row r="922" spans="1:5" ht="15.75">
      <c r="A922" s="7"/>
      <c r="B922" s="7"/>
      <c r="C922" s="7"/>
      <c r="D922" s="7"/>
      <c r="E922" s="7"/>
    </row>
    <row r="923" spans="1:5" ht="15.75">
      <c r="A923" s="7"/>
      <c r="B923" s="7"/>
      <c r="C923" s="7"/>
      <c r="D923" s="7"/>
      <c r="E923" s="7"/>
    </row>
    <row r="924" spans="1:5" ht="15.75">
      <c r="A924" s="7"/>
      <c r="B924" s="7"/>
      <c r="C924" s="7"/>
      <c r="D924" s="7"/>
      <c r="E924" s="7"/>
    </row>
    <row r="925" spans="1:5" ht="15.75">
      <c r="A925" s="7"/>
      <c r="B925" s="7"/>
      <c r="C925" s="7"/>
      <c r="D925" s="7"/>
      <c r="E925" s="7"/>
    </row>
    <row r="926" spans="1:5" ht="15.75">
      <c r="A926" s="7"/>
      <c r="B926" s="7"/>
      <c r="C926" s="7"/>
      <c r="D926" s="7"/>
      <c r="E926" s="7"/>
    </row>
    <row r="927" spans="1:5" ht="15.75">
      <c r="A927" s="7"/>
      <c r="B927" s="7"/>
      <c r="C927" s="7"/>
      <c r="D927" s="7"/>
      <c r="E927" s="7"/>
    </row>
    <row r="928" spans="1:5" ht="15.75">
      <c r="A928" s="7"/>
      <c r="B928" s="7"/>
      <c r="C928" s="7"/>
      <c r="D928" s="7"/>
      <c r="E928" s="7"/>
    </row>
    <row r="929" spans="1:5" ht="15.75">
      <c r="A929" s="7"/>
      <c r="B929" s="7"/>
      <c r="C929" s="7"/>
      <c r="D929" s="7"/>
      <c r="E929" s="7"/>
    </row>
    <row r="930" spans="1:5" ht="15.75">
      <c r="A930" s="7"/>
      <c r="B930" s="7"/>
      <c r="C930" s="7"/>
      <c r="D930" s="7"/>
      <c r="E930" s="7"/>
    </row>
    <row r="931" spans="1:5" ht="15.75">
      <c r="A931" s="7"/>
      <c r="B931" s="7"/>
      <c r="C931" s="7"/>
      <c r="D931" s="7"/>
      <c r="E931" s="7"/>
    </row>
    <row r="932" spans="1:5" ht="15.75">
      <c r="A932" s="7"/>
      <c r="B932" s="7"/>
      <c r="C932" s="7"/>
      <c r="D932" s="7"/>
      <c r="E932" s="7"/>
    </row>
    <row r="933" spans="1:5" ht="15.75">
      <c r="A933" s="7"/>
      <c r="B933" s="7"/>
      <c r="C933" s="7"/>
      <c r="D933" s="7"/>
      <c r="E933" s="7"/>
    </row>
    <row r="934" spans="1:5" ht="15.75">
      <c r="A934" s="7"/>
      <c r="B934" s="7"/>
      <c r="C934" s="7"/>
      <c r="D934" s="7"/>
      <c r="E934" s="7"/>
    </row>
    <row r="935" spans="1:5" ht="15.75">
      <c r="A935" s="7"/>
      <c r="B935" s="7"/>
      <c r="C935" s="7"/>
      <c r="D935" s="7"/>
      <c r="E935" s="7"/>
    </row>
    <row r="936" spans="1:5" ht="15.75">
      <c r="A936" s="7"/>
      <c r="B936" s="7"/>
      <c r="C936" s="7"/>
      <c r="D936" s="7"/>
      <c r="E936" s="7"/>
    </row>
    <row r="937" spans="1:5" ht="15.75">
      <c r="A937" s="7"/>
      <c r="B937" s="7"/>
      <c r="C937" s="7"/>
      <c r="D937" s="7"/>
      <c r="E937" s="7"/>
    </row>
    <row r="938" spans="1:5" ht="15.75">
      <c r="A938" s="7"/>
      <c r="B938" s="7"/>
      <c r="C938" s="7"/>
      <c r="D938" s="7"/>
      <c r="E938" s="7"/>
    </row>
    <row r="939" spans="1:5" ht="15.75">
      <c r="A939" s="7"/>
      <c r="B939" s="7"/>
      <c r="C939" s="7"/>
      <c r="D939" s="7"/>
      <c r="E939" s="7"/>
    </row>
    <row r="940" spans="1:5" ht="15.75">
      <c r="A940" s="7"/>
      <c r="B940" s="7"/>
      <c r="C940" s="7"/>
      <c r="D940" s="7"/>
      <c r="E940" s="7"/>
    </row>
    <row r="941" spans="1:5" ht="15.75">
      <c r="A941" s="7"/>
      <c r="B941" s="7"/>
      <c r="C941" s="7"/>
      <c r="D941" s="7"/>
      <c r="E941" s="7"/>
    </row>
    <row r="942" spans="1:5" ht="15.75">
      <c r="A942" s="7"/>
      <c r="B942" s="7"/>
      <c r="C942" s="7"/>
      <c r="D942" s="7"/>
      <c r="E942" s="7"/>
    </row>
    <row r="943" spans="1:5" ht="15.75">
      <c r="A943" s="7"/>
      <c r="B943" s="7"/>
      <c r="C943" s="7"/>
      <c r="D943" s="7"/>
      <c r="E943" s="7"/>
    </row>
    <row r="944" spans="1:5" ht="15.75">
      <c r="A944" s="7"/>
      <c r="B944" s="7"/>
      <c r="C944" s="7"/>
      <c r="D944" s="7"/>
      <c r="E944" s="7"/>
    </row>
    <row r="945" spans="1:5" ht="15.75">
      <c r="A945" s="7"/>
      <c r="B945" s="7"/>
      <c r="C945" s="7"/>
      <c r="D945" s="7"/>
      <c r="E945" s="7"/>
    </row>
    <row r="946" spans="1:5" ht="15.75">
      <c r="A946" s="7"/>
      <c r="B946" s="7"/>
      <c r="C946" s="7"/>
      <c r="D946" s="7"/>
      <c r="E946" s="7"/>
    </row>
    <row r="947" spans="1:5" ht="15.75">
      <c r="A947" s="7"/>
      <c r="B947" s="7"/>
      <c r="C947" s="7"/>
      <c r="D947" s="7"/>
      <c r="E947" s="7"/>
    </row>
    <row r="948" spans="1:5" ht="15.75">
      <c r="A948" s="7"/>
      <c r="B948" s="7"/>
      <c r="C948" s="7"/>
      <c r="D948" s="7"/>
      <c r="E948" s="7"/>
    </row>
    <row r="949" spans="1:5" ht="15.75">
      <c r="A949" s="7"/>
      <c r="B949" s="7"/>
      <c r="C949" s="7"/>
      <c r="D949" s="7"/>
      <c r="E949" s="7"/>
    </row>
    <row r="950" spans="1:5" ht="15.75">
      <c r="A950" s="7"/>
      <c r="B950" s="7"/>
      <c r="C950" s="7"/>
      <c r="D950" s="7"/>
      <c r="E950" s="7"/>
    </row>
    <row r="951" spans="1:5" ht="15.75">
      <c r="A951" s="7"/>
      <c r="B951" s="7"/>
      <c r="C951" s="7"/>
      <c r="D951" s="7"/>
      <c r="E951" s="7"/>
    </row>
    <row r="952" spans="1:5" ht="15.75">
      <c r="A952" s="7"/>
      <c r="B952" s="7"/>
      <c r="C952" s="7"/>
      <c r="D952" s="7"/>
      <c r="E952" s="7"/>
    </row>
    <row r="953" spans="1:5" ht="15.75">
      <c r="A953" s="7"/>
      <c r="B953" s="7"/>
      <c r="C953" s="7"/>
      <c r="D953" s="7"/>
      <c r="E953" s="7"/>
    </row>
    <row r="954" spans="1:5" ht="15.75">
      <c r="A954" s="7"/>
      <c r="B954" s="7"/>
      <c r="C954" s="7"/>
      <c r="D954" s="7"/>
      <c r="E954" s="7"/>
    </row>
    <row r="955" spans="1:5" ht="15.75">
      <c r="A955" s="7"/>
      <c r="B955" s="7"/>
      <c r="C955" s="7"/>
      <c r="D955" s="7"/>
      <c r="E955" s="7"/>
    </row>
    <row r="956" spans="1:5" ht="15.75">
      <c r="A956" s="7"/>
      <c r="B956" s="7"/>
      <c r="C956" s="7"/>
      <c r="D956" s="7"/>
      <c r="E956" s="7"/>
    </row>
    <row r="957" spans="1:5" ht="15.75">
      <c r="A957" s="7"/>
      <c r="B957" s="7"/>
      <c r="C957" s="7"/>
      <c r="D957" s="7"/>
      <c r="E957" s="7"/>
    </row>
    <row r="958" spans="1:5" ht="15.75">
      <c r="A958" s="7"/>
      <c r="B958" s="7"/>
      <c r="C958" s="7"/>
      <c r="D958" s="7"/>
      <c r="E958" s="7"/>
    </row>
    <row r="959" spans="1:5" ht="15.75">
      <c r="A959" s="7"/>
      <c r="B959" s="7"/>
      <c r="C959" s="7"/>
      <c r="D959" s="7"/>
      <c r="E959" s="7"/>
    </row>
    <row r="960" spans="1:5" ht="15.75">
      <c r="A960" s="7"/>
      <c r="B960" s="7"/>
      <c r="C960" s="7"/>
      <c r="D960" s="7"/>
      <c r="E960" s="7"/>
    </row>
    <row r="961" spans="1:5" ht="15.75">
      <c r="A961" s="7"/>
      <c r="B961" s="7"/>
      <c r="C961" s="7"/>
      <c r="D961" s="7"/>
      <c r="E961" s="7"/>
    </row>
    <row r="962" spans="1:5" ht="15.75">
      <c r="A962" s="7"/>
      <c r="B962" s="7"/>
      <c r="C962" s="7"/>
      <c r="D962" s="7"/>
      <c r="E962" s="7"/>
    </row>
    <row r="963" spans="1:5" ht="15.75">
      <c r="A963" s="7"/>
      <c r="B963" s="7"/>
      <c r="C963" s="7"/>
      <c r="D963" s="7"/>
      <c r="E963" s="7"/>
    </row>
    <row r="964" spans="1:5" ht="15.75">
      <c r="A964" s="7"/>
      <c r="B964" s="7"/>
      <c r="C964" s="7"/>
      <c r="D964" s="7"/>
      <c r="E964" s="7"/>
    </row>
    <row r="965" spans="1:5" ht="15.75">
      <c r="A965" s="7"/>
      <c r="B965" s="7"/>
      <c r="C965" s="7"/>
      <c r="D965" s="7"/>
      <c r="E965" s="7"/>
    </row>
    <row r="966" spans="1:5" ht="15.75">
      <c r="A966" s="7"/>
      <c r="B966" s="7"/>
      <c r="C966" s="7"/>
      <c r="D966" s="7"/>
      <c r="E966" s="7"/>
    </row>
    <row r="967" spans="1:5" ht="15.75">
      <c r="A967" s="7"/>
      <c r="B967" s="7"/>
      <c r="C967" s="7"/>
      <c r="D967" s="7"/>
      <c r="E967" s="7"/>
    </row>
    <row r="968" spans="1:5" ht="15.75">
      <c r="A968" s="7"/>
      <c r="B968" s="7"/>
      <c r="C968" s="7"/>
      <c r="D968" s="7"/>
      <c r="E968" s="7"/>
    </row>
    <row r="969" spans="1:5" ht="15.75">
      <c r="A969" s="7"/>
      <c r="B969" s="7"/>
      <c r="C969" s="7"/>
      <c r="D969" s="7"/>
      <c r="E969" s="7"/>
    </row>
    <row r="970" spans="1:5" ht="15.75">
      <c r="A970" s="7"/>
      <c r="B970" s="7"/>
      <c r="C970" s="7"/>
      <c r="D970" s="7"/>
      <c r="E970" s="7"/>
    </row>
    <row r="971" spans="1:5" ht="15.75">
      <c r="A971" s="7"/>
      <c r="B971" s="7"/>
      <c r="C971" s="7"/>
      <c r="D971" s="7"/>
      <c r="E971" s="7"/>
    </row>
    <row r="972" spans="1:5" ht="15.75">
      <c r="A972" s="7"/>
      <c r="B972" s="7"/>
      <c r="C972" s="7"/>
      <c r="D972" s="7"/>
      <c r="E972" s="7"/>
    </row>
    <row r="973" spans="1:5" ht="15.75">
      <c r="A973" s="7"/>
      <c r="B973" s="7"/>
      <c r="C973" s="7"/>
      <c r="D973" s="7"/>
      <c r="E973" s="7"/>
    </row>
    <row r="974" spans="1:5" ht="15.75">
      <c r="A974" s="7"/>
      <c r="B974" s="7"/>
      <c r="C974" s="7"/>
      <c r="D974" s="7"/>
      <c r="E974" s="7"/>
    </row>
    <row r="975" spans="1:5" ht="15.75">
      <c r="A975" s="7"/>
      <c r="B975" s="7"/>
      <c r="C975" s="7"/>
      <c r="D975" s="7"/>
      <c r="E975" s="7"/>
    </row>
    <row r="976" spans="1:5" ht="15.75">
      <c r="A976" s="7"/>
      <c r="B976" s="7"/>
      <c r="C976" s="7"/>
      <c r="D976" s="7"/>
      <c r="E976" s="7"/>
    </row>
    <row r="977" spans="1:5" ht="15.75">
      <c r="A977" s="7"/>
      <c r="B977" s="7"/>
      <c r="C977" s="7"/>
      <c r="D977" s="7"/>
      <c r="E977" s="7"/>
    </row>
    <row r="978" spans="1:5" ht="15.75">
      <c r="A978" s="7"/>
      <c r="B978" s="7"/>
      <c r="C978" s="7"/>
      <c r="D978" s="7"/>
      <c r="E978" s="7"/>
    </row>
    <row r="979" spans="1:5" ht="15.75">
      <c r="A979" s="7"/>
      <c r="B979" s="7"/>
      <c r="C979" s="7"/>
      <c r="D979" s="7"/>
      <c r="E979" s="7"/>
    </row>
    <row r="980" spans="1:5" ht="15.75">
      <c r="A980" s="7"/>
      <c r="B980" s="7"/>
      <c r="C980" s="7"/>
      <c r="D980" s="7"/>
      <c r="E980" s="7"/>
    </row>
    <row r="981" spans="1:5" ht="15.75">
      <c r="A981" s="7"/>
      <c r="B981" s="7"/>
      <c r="C981" s="7"/>
      <c r="D981" s="7"/>
      <c r="E981" s="7"/>
    </row>
    <row r="982" spans="1:5" ht="15.75">
      <c r="A982" s="7"/>
      <c r="B982" s="7"/>
      <c r="C982" s="7"/>
      <c r="D982" s="7"/>
      <c r="E982" s="7"/>
    </row>
    <row r="983" spans="1:5" ht="15.75">
      <c r="A983" s="7"/>
      <c r="B983" s="7"/>
      <c r="C983" s="7"/>
      <c r="D983" s="7"/>
      <c r="E983" s="7"/>
    </row>
    <row r="984" spans="1:5" ht="15.75">
      <c r="A984" s="7"/>
      <c r="B984" s="7"/>
      <c r="C984" s="7"/>
      <c r="D984" s="7"/>
      <c r="E984" s="7"/>
    </row>
    <row r="985" spans="1:5" ht="15.75">
      <c r="A985" s="7"/>
      <c r="B985" s="7"/>
      <c r="C985" s="7"/>
      <c r="D985" s="7"/>
      <c r="E985" s="7"/>
    </row>
    <row r="986" spans="1:5" ht="15.75">
      <c r="A986" s="7"/>
      <c r="B986" s="7"/>
      <c r="C986" s="7"/>
      <c r="D986" s="7"/>
      <c r="E986" s="7"/>
    </row>
    <row r="987" spans="1:5" ht="15.75">
      <c r="A987" s="7"/>
      <c r="B987" s="7"/>
      <c r="C987" s="7"/>
      <c r="D987" s="7"/>
      <c r="E987" s="7"/>
    </row>
    <row r="988" spans="1:5" ht="15.75">
      <c r="A988" s="7"/>
      <c r="B988" s="7"/>
      <c r="C988" s="7"/>
      <c r="D988" s="7"/>
      <c r="E988" s="7"/>
    </row>
    <row r="989" spans="1:5" ht="15.75">
      <c r="A989" s="7"/>
      <c r="B989" s="7"/>
      <c r="C989" s="7"/>
      <c r="D989" s="7"/>
      <c r="E989" s="7"/>
    </row>
    <row r="990" spans="1:5" ht="15.75">
      <c r="A990" s="7"/>
      <c r="B990" s="7"/>
      <c r="C990" s="7"/>
      <c r="D990" s="7"/>
      <c r="E990" s="7"/>
    </row>
    <row r="991" spans="1:5" ht="15.75">
      <c r="A991" s="7"/>
      <c r="B991" s="7"/>
      <c r="C991" s="7"/>
      <c r="D991" s="7"/>
      <c r="E991" s="7"/>
    </row>
    <row r="992" spans="1:5" ht="15.75">
      <c r="A992" s="7"/>
      <c r="B992" s="7"/>
      <c r="C992" s="7"/>
      <c r="D992" s="7"/>
      <c r="E992" s="7"/>
    </row>
    <row r="993" spans="1:5" ht="15.75">
      <c r="A993" s="7"/>
      <c r="B993" s="7"/>
      <c r="C993" s="7"/>
      <c r="D993" s="7"/>
      <c r="E993" s="7"/>
    </row>
    <row r="994" spans="1:5" ht="15.75">
      <c r="A994" s="7"/>
      <c r="B994" s="7"/>
      <c r="C994" s="7"/>
      <c r="D994" s="7"/>
      <c r="E994" s="7"/>
    </row>
    <row r="995" spans="1:5" ht="15.75">
      <c r="A995" s="7"/>
      <c r="B995" s="7"/>
      <c r="C995" s="7"/>
      <c r="D995" s="7"/>
      <c r="E995" s="7"/>
    </row>
    <row r="996" spans="1:5" ht="15.75">
      <c r="A996" s="7"/>
      <c r="B996" s="7"/>
      <c r="C996" s="7"/>
      <c r="D996" s="7"/>
      <c r="E996" s="7"/>
    </row>
    <row r="997" spans="1:5" ht="15.75">
      <c r="A997" s="7"/>
      <c r="B997" s="7"/>
      <c r="C997" s="7"/>
      <c r="D997" s="7"/>
      <c r="E997" s="7"/>
    </row>
    <row r="998" spans="1:5" ht="15.75">
      <c r="A998" s="7"/>
      <c r="B998" s="7"/>
      <c r="C998" s="7"/>
      <c r="D998" s="7"/>
      <c r="E998" s="7"/>
    </row>
    <row r="999" spans="1:5" ht="15.75">
      <c r="A999" s="7"/>
      <c r="B999" s="7"/>
      <c r="C999" s="7"/>
      <c r="D999" s="7"/>
      <c r="E999" s="7"/>
    </row>
    <row r="1000" spans="1:5" ht="15.75">
      <c r="A1000" s="7"/>
      <c r="B1000" s="7"/>
      <c r="C1000" s="7"/>
      <c r="D1000" s="7"/>
      <c r="E1000" s="7"/>
    </row>
    <row r="1001" spans="1:5" ht="15.75">
      <c r="A1001" s="7"/>
      <c r="B1001" s="7"/>
      <c r="C1001" s="7"/>
      <c r="D1001" s="7"/>
      <c r="E1001" s="7"/>
    </row>
    <row r="1002" spans="1:5" ht="15.75">
      <c r="A1002" s="7"/>
      <c r="B1002" s="7"/>
      <c r="C1002" s="7"/>
      <c r="D1002" s="7"/>
      <c r="E1002" s="7"/>
    </row>
  </sheetData>
  <mergeCells count="1">
    <mergeCell ref="A1:E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D1001"/>
  <sheetViews>
    <sheetView workbookViewId="0">
      <pane ySplit="2" topLeftCell="A3" activePane="bottomLeft" state="frozen"/>
      <selection pane="bottomLeft" activeCell="J1" sqref="J1:J1048576"/>
    </sheetView>
  </sheetViews>
  <sheetFormatPr baseColWidth="10" defaultColWidth="11.25" defaultRowHeight="15" customHeight="1"/>
  <cols>
    <col min="1" max="1" width="5" customWidth="1"/>
    <col min="2" max="2" width="55.375" customWidth="1"/>
    <col min="3" max="3" width="7.625" customWidth="1"/>
    <col min="4" max="4" width="8.125" customWidth="1"/>
    <col min="5" max="5" width="11" customWidth="1"/>
    <col min="6" max="6" width="18.5" customWidth="1"/>
    <col min="7" max="7" width="14.25" customWidth="1"/>
    <col min="8" max="8" width="9.125" customWidth="1"/>
    <col min="9" max="9" width="10.75" customWidth="1"/>
    <col min="10" max="10" width="10.5" customWidth="1"/>
    <col min="11" max="11" width="10.875" customWidth="1"/>
    <col min="12" max="12" width="7.5" customWidth="1"/>
    <col min="13" max="13" width="10.125" customWidth="1"/>
    <col min="14" max="14" width="14.625" customWidth="1"/>
    <col min="15" max="15" width="6.625" customWidth="1"/>
    <col min="16" max="16" width="8.5" customWidth="1"/>
    <col min="17" max="17" width="12.5" customWidth="1"/>
    <col min="18" max="18" width="7.5" customWidth="1"/>
    <col min="19" max="19" width="8.625" customWidth="1"/>
    <col min="20" max="20" width="7" customWidth="1"/>
    <col min="21" max="21" width="2.5" customWidth="1"/>
    <col min="22" max="22" width="9.375" customWidth="1"/>
    <col min="23" max="23" width="4.25" customWidth="1"/>
    <col min="24" max="24" width="9.75" customWidth="1"/>
    <col min="25" max="25" width="9.5" customWidth="1"/>
    <col min="26" max="30" width="18.5" customWidth="1"/>
  </cols>
  <sheetData>
    <row r="1" spans="1:30" ht="27.75" customHeight="1">
      <c r="A1" s="147" t="s">
        <v>1063</v>
      </c>
      <c r="B1" s="141"/>
      <c r="C1" s="141"/>
      <c r="D1" s="141"/>
      <c r="E1" s="89"/>
      <c r="F1" s="91">
        <f ca="1">TODAY()</f>
        <v>46308</v>
      </c>
      <c r="G1" s="12"/>
      <c r="H1" s="15"/>
      <c r="I1" s="14"/>
      <c r="J1" s="12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21">
      <c r="A2" s="19" t="s">
        <v>53</v>
      </c>
      <c r="B2" s="94" t="s">
        <v>54</v>
      </c>
      <c r="C2" s="95"/>
      <c r="D2" s="95" t="s">
        <v>1257</v>
      </c>
      <c r="E2" s="95" t="s">
        <v>59</v>
      </c>
      <c r="F2" s="95" t="s">
        <v>60</v>
      </c>
      <c r="G2" s="17" t="s">
        <v>61</v>
      </c>
      <c r="H2" s="17" t="s">
        <v>64</v>
      </c>
      <c r="I2" s="17" t="s">
        <v>65</v>
      </c>
      <c r="J2" s="154" t="s">
        <v>57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9.5" customHeight="1">
      <c r="A3" s="6" t="str">
        <f ca="1">IFERROR(__xludf.DUMMYFUNCTION("FILTER('UNIVERSO PRODUCTOS'!A1:B958, ISNUMBER(SEARCH(A1, 'UNIVERSO PRODUCTOS'!K1:K958)))
"),"ti-ing-b69bd6ae-ccae-4801-af83-bece901d304f")</f>
        <v>ti-ing-b69bd6ae-ccae-4801-af83-bece901d304f</v>
      </c>
      <c r="B3" s="98" t="str">
        <f ca="1">IFERROR(__xludf.DUMMYFUNCTION("""COMPUTED_VALUE"""),"Aceite oliva extra virgen 5 lts")</f>
        <v>Aceite oliva extra virgen 5 lts</v>
      </c>
      <c r="C3" s="99">
        <v>2.83</v>
      </c>
      <c r="D3" s="100">
        <f ca="1">IFERROR(__xludf.DUMMYFUNCTION("FILTER('UNIVERSO PRODUCTOS'!C1:C961, ISNUMBER(SEARCH(A1, 'UNIVERSO PRODUCTOS'!K1:K961)))
"),4646.2)</f>
        <v>4646.2</v>
      </c>
      <c r="E3" s="101" t="str">
        <f ca="1">IFERROR(__xludf.DUMMYFUNCTION("FILTER('UNIVERSO PRODUCTOS'!D1:D958, ISNUMBER(SEARCH(A1, 'UNIVERSO PRODUCTOS'!K1:K958)))
"),"LT")</f>
        <v>LT</v>
      </c>
      <c r="F3" s="101" t="str">
        <f ca="1">IFERROR(__xludf.DUMMYFUNCTION("FILTER('UNIVERSO PRODUCTOS'!H1:H958, ISNUMBER(SEARCH(A1, 'UNIVERSO PRODUCTOS'!K1:K958)))
"),"Abarrotes")</f>
        <v>Abarrotes</v>
      </c>
      <c r="G3" s="102">
        <f t="shared" ref="G3:G156" ca="1" si="0">(C3)*D3</f>
        <v>13148.745999999999</v>
      </c>
      <c r="H3" s="103">
        <f t="shared" ref="H3:H156" ca="1" si="1">G3*19%</f>
        <v>2498.2617399999999</v>
      </c>
      <c r="I3" s="104">
        <f t="shared" ref="I3:I156" ca="1" si="2">G3+H3</f>
        <v>15647.007739999999</v>
      </c>
      <c r="J3" s="156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19.5" customHeight="1">
      <c r="A4" s="7" t="str">
        <f ca="1">IFERROR(__xludf.DUMMYFUNCTION("""COMPUTED_VALUE"""),"ti-ing-5a1041f6-5fed-4ae0-8d00-dee7d47968a3")</f>
        <v>ti-ing-5a1041f6-5fed-4ae0-8d00-dee7d47968a3</v>
      </c>
      <c r="B4" s="98" t="str">
        <f ca="1">IFERROR(__xludf.DUMMYFUNCTION("""COMPUTED_VALUE"""),"Aceite vegetal 900 ml")</f>
        <v>Aceite vegetal 900 ml</v>
      </c>
      <c r="C4" s="99">
        <v>3.6</v>
      </c>
      <c r="D4" s="100">
        <f ca="1">IFERROR(__xludf.DUMMYFUNCTION("""COMPUTED_VALUE"""),1540.6)</f>
        <v>1540.6</v>
      </c>
      <c r="E4" s="101" t="str">
        <f ca="1">IFERROR(__xludf.DUMMYFUNCTION("""COMPUTED_VALUE"""),"UN")</f>
        <v>UN</v>
      </c>
      <c r="F4" s="101" t="str">
        <f ca="1">IFERROR(__xludf.DUMMYFUNCTION("""COMPUTED_VALUE"""),"Abarrotes")</f>
        <v>Abarrotes</v>
      </c>
      <c r="G4" s="102">
        <f t="shared" ca="1" si="0"/>
        <v>5546.16</v>
      </c>
      <c r="H4" s="103">
        <f t="shared" ca="1" si="1"/>
        <v>1053.7703999999999</v>
      </c>
      <c r="I4" s="104">
        <f t="shared" ca="1" si="2"/>
        <v>6599.9303999999993</v>
      </c>
      <c r="J4" s="156"/>
      <c r="K4" s="4"/>
      <c r="L4" s="137" t="s">
        <v>21</v>
      </c>
      <c r="M4" s="137" t="s">
        <v>130</v>
      </c>
      <c r="N4" s="137" t="s">
        <v>140</v>
      </c>
      <c r="O4" s="137" t="s">
        <v>133</v>
      </c>
      <c r="P4" s="137" t="s">
        <v>136</v>
      </c>
      <c r="Q4" s="137" t="s">
        <v>132</v>
      </c>
      <c r="R4" s="137" t="s">
        <v>137</v>
      </c>
      <c r="S4" s="137" t="s">
        <v>128</v>
      </c>
      <c r="T4" s="137" t="s">
        <v>129</v>
      </c>
      <c r="U4" s="137" t="s">
        <v>144</v>
      </c>
      <c r="V4" s="137" t="s">
        <v>131</v>
      </c>
      <c r="W4" s="137" t="s">
        <v>127</v>
      </c>
      <c r="X4" s="137" t="s">
        <v>142</v>
      </c>
      <c r="Y4" s="139" t="s">
        <v>145</v>
      </c>
      <c r="Z4" s="4"/>
      <c r="AA4" s="4"/>
      <c r="AB4" s="4"/>
      <c r="AC4" s="4"/>
      <c r="AD4" s="4"/>
    </row>
    <row r="5" spans="1:30" ht="19.5" customHeight="1">
      <c r="A5" s="7" t="str">
        <f ca="1">IFERROR(__xludf.DUMMYFUNCTION("""COMPUTED_VALUE"""),"ti-ing-65292276-c9a9-4569-b8ff-19a5a3fea424")</f>
        <v>ti-ing-65292276-c9a9-4569-b8ff-19a5a3fea424</v>
      </c>
      <c r="B5" s="98" t="str">
        <f ca="1">IFERROR(__xludf.DUMMYFUNCTION("""COMPUTED_VALUE"""),"Anis kg")</f>
        <v>Anis kg</v>
      </c>
      <c r="C5" s="99">
        <v>1.89</v>
      </c>
      <c r="D5" s="100">
        <f ca="1">IFERROR(__xludf.DUMMYFUNCTION("""COMPUTED_VALUE"""),13854)</f>
        <v>13854</v>
      </c>
      <c r="E5" s="101" t="str">
        <f ca="1">IFERROR(__xludf.DUMMYFUNCTION("""COMPUTED_VALUE"""),"Kg")</f>
        <v>Kg</v>
      </c>
      <c r="F5" s="101" t="str">
        <f ca="1">IFERROR(__xludf.DUMMYFUNCTION("""COMPUTED_VALUE"""),"Abarrotes")</f>
        <v>Abarrotes</v>
      </c>
      <c r="G5" s="102">
        <f t="shared" ca="1" si="0"/>
        <v>26184.059999999998</v>
      </c>
      <c r="H5" s="103">
        <f t="shared" ca="1" si="1"/>
        <v>4974.9713999999994</v>
      </c>
      <c r="I5" s="104">
        <f t="shared" ca="1" si="2"/>
        <v>31159.031399999996</v>
      </c>
      <c r="J5" s="156"/>
      <c r="K5" s="4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4"/>
      <c r="AA5" s="4"/>
      <c r="AB5" s="4"/>
      <c r="AC5" s="4"/>
      <c r="AD5" s="4"/>
    </row>
    <row r="6" spans="1:30" ht="19.5" customHeight="1">
      <c r="A6" s="7" t="str">
        <f ca="1">IFERROR(__xludf.DUMMYFUNCTION("""COMPUTED_VALUE"""),"ti-ing-c1414efc-1614-40c6-a7e8-2f6efb3e0401")</f>
        <v>ti-ing-c1414efc-1614-40c6-a7e8-2f6efb3e0401</v>
      </c>
      <c r="B6" s="98" t="str">
        <f ca="1">IFERROR(__xludf.DUMMYFUNCTION("""COMPUTED_VALUE"""),"Avena")</f>
        <v>Avena</v>
      </c>
      <c r="C6" s="99">
        <v>0.75</v>
      </c>
      <c r="D6" s="100">
        <f ca="1">IFERROR(__xludf.DUMMYFUNCTION("""COMPUTED_VALUE"""),1050)</f>
        <v>1050</v>
      </c>
      <c r="E6" s="101" t="str">
        <f ca="1">IFERROR(__xludf.DUMMYFUNCTION("""COMPUTED_VALUE"""),"KG")</f>
        <v>KG</v>
      </c>
      <c r="F6" s="101" t="str">
        <f ca="1">IFERROR(__xludf.DUMMYFUNCTION("""COMPUTED_VALUE"""),"Abarrotes")</f>
        <v>Abarrotes</v>
      </c>
      <c r="G6" s="102">
        <f t="shared" ca="1" si="0"/>
        <v>787.5</v>
      </c>
      <c r="H6" s="103">
        <f t="shared" ca="1" si="1"/>
        <v>149.625</v>
      </c>
      <c r="I6" s="104">
        <f t="shared" ca="1" si="2"/>
        <v>937.125</v>
      </c>
      <c r="J6" s="156"/>
      <c r="K6" s="4"/>
      <c r="L6" s="46">
        <f ca="1">SUM(G3:G33)</f>
        <v>309790.13142749999</v>
      </c>
      <c r="M6" s="53">
        <f ca="1">SUM(G60)</f>
        <v>2169.1999999999998</v>
      </c>
      <c r="N6" s="56"/>
      <c r="O6" s="53">
        <f ca="1">SUM(G83:G86)</f>
        <v>21383.976799999997</v>
      </c>
      <c r="P6" s="46">
        <f ca="1">SUM(G87:G96)</f>
        <v>356708.73524799995</v>
      </c>
      <c r="Q6" s="56"/>
      <c r="R6" s="46">
        <f ca="1">SUM(G97:G101)</f>
        <v>43068.139876000001</v>
      </c>
      <c r="S6" s="51"/>
      <c r="T6" s="51"/>
      <c r="U6" s="56"/>
      <c r="V6" s="46">
        <f ca="1">SUM(G61:G82)</f>
        <v>323039.2355827</v>
      </c>
      <c r="W6" s="50">
        <f ca="1">SUM(G34:G59)</f>
        <v>38526.710300000006</v>
      </c>
      <c r="X6" s="53">
        <f ca="1">SUM(G102:G156)</f>
        <v>1598158.5437000003</v>
      </c>
      <c r="Y6" s="46">
        <f ca="1">SUM(L6:X6)</f>
        <v>2692844.6729342001</v>
      </c>
      <c r="Z6" s="4"/>
      <c r="AA6" s="4"/>
      <c r="AB6" s="4"/>
      <c r="AC6" s="4"/>
      <c r="AD6" s="4"/>
    </row>
    <row r="7" spans="1:30" ht="19.5" customHeight="1">
      <c r="A7" s="7" t="str">
        <f ca="1">IFERROR(__xludf.DUMMYFUNCTION("""COMPUTED_VALUE"""),"ti-ing-531d1d9b-814d-49bc-9bbf-06be4ae2e6d5")</f>
        <v>ti-ing-531d1d9b-814d-49bc-9bbf-06be4ae2e6d5</v>
      </c>
      <c r="B7" s="98" t="str">
        <f ca="1">IFERROR(__xludf.DUMMYFUNCTION("""COMPUTED_VALUE"""),"Azucar blanca")</f>
        <v>Azucar blanca</v>
      </c>
      <c r="C7" s="99">
        <v>12.38</v>
      </c>
      <c r="D7" s="100">
        <f ca="1">IFERROR(__xludf.DUMMYFUNCTION("""COMPUTED_VALUE"""),939.9985)</f>
        <v>939.99850000000004</v>
      </c>
      <c r="E7" s="101" t="str">
        <f ca="1">IFERROR(__xludf.DUMMYFUNCTION("""COMPUTED_VALUE"""),"KG")</f>
        <v>KG</v>
      </c>
      <c r="F7" s="101" t="str">
        <f ca="1">IFERROR(__xludf.DUMMYFUNCTION("""COMPUTED_VALUE"""),"Abarrotes")</f>
        <v>Abarrotes</v>
      </c>
      <c r="G7" s="102">
        <f t="shared" ca="1" si="0"/>
        <v>11637.181430000001</v>
      </c>
      <c r="H7" s="103">
        <f t="shared" ca="1" si="1"/>
        <v>2211.0644717</v>
      </c>
      <c r="I7" s="104">
        <f t="shared" ca="1" si="2"/>
        <v>13848.2459017</v>
      </c>
      <c r="J7" s="156"/>
      <c r="K7" s="4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4"/>
      <c r="AA7" s="4"/>
      <c r="AB7" s="4"/>
      <c r="AC7" s="4"/>
      <c r="AD7" s="4"/>
    </row>
    <row r="8" spans="1:30" ht="19.5" customHeight="1">
      <c r="A8" s="7" t="str">
        <f ca="1">IFERROR(__xludf.DUMMYFUNCTION("""COMPUTED_VALUE"""),"ti-ing-c4486ce7-85c4-49c5-ac82-4d98b0798d01")</f>
        <v>ti-ing-c4486ce7-85c4-49c5-ac82-4d98b0798d01</v>
      </c>
      <c r="B8" s="98" t="str">
        <f ca="1">IFERROR(__xludf.DUMMYFUNCTION("""COMPUTED_VALUE"""),"Azucar rubia")</f>
        <v>Azucar rubia</v>
      </c>
      <c r="C8" s="99">
        <v>1</v>
      </c>
      <c r="D8" s="100">
        <f ca="1">IFERROR(__xludf.DUMMYFUNCTION("""COMPUTED_VALUE"""),1047)</f>
        <v>1047</v>
      </c>
      <c r="E8" s="101" t="str">
        <f ca="1">IFERROR(__xludf.DUMMYFUNCTION("""COMPUTED_VALUE"""),"KG")</f>
        <v>KG</v>
      </c>
      <c r="F8" s="101" t="str">
        <f ca="1">IFERROR(__xludf.DUMMYFUNCTION("""COMPUTED_VALUE"""),"Abarrotes")</f>
        <v>Abarrotes</v>
      </c>
      <c r="G8" s="102">
        <f t="shared" ca="1" si="0"/>
        <v>1047</v>
      </c>
      <c r="H8" s="103">
        <f t="shared" ca="1" si="1"/>
        <v>198.93</v>
      </c>
      <c r="I8" s="104">
        <f t="shared" ca="1" si="2"/>
        <v>1245.93</v>
      </c>
      <c r="J8" s="156"/>
      <c r="K8" s="4"/>
      <c r="L8" s="137" t="s">
        <v>21</v>
      </c>
      <c r="M8" s="137" t="s">
        <v>130</v>
      </c>
      <c r="N8" s="137" t="s">
        <v>140</v>
      </c>
      <c r="O8" s="137" t="s">
        <v>133</v>
      </c>
      <c r="P8" s="137" t="s">
        <v>136</v>
      </c>
      <c r="Q8" s="137" t="s">
        <v>132</v>
      </c>
      <c r="R8" s="137" t="s">
        <v>137</v>
      </c>
      <c r="S8" s="137" t="s">
        <v>128</v>
      </c>
      <c r="T8" s="137" t="s">
        <v>129</v>
      </c>
      <c r="U8" s="137" t="s">
        <v>144</v>
      </c>
      <c r="V8" s="137" t="s">
        <v>131</v>
      </c>
      <c r="W8" s="137" t="s">
        <v>127</v>
      </c>
      <c r="X8" s="137" t="s">
        <v>142</v>
      </c>
      <c r="Y8" s="139" t="s">
        <v>219</v>
      </c>
      <c r="Z8" s="4"/>
      <c r="AA8" s="4"/>
      <c r="AB8" s="4"/>
      <c r="AC8" s="4"/>
      <c r="AD8" s="4"/>
    </row>
    <row r="9" spans="1:30" ht="19.5" customHeight="1">
      <c r="A9" s="7" t="str">
        <f ca="1">IFERROR(__xludf.DUMMYFUNCTION("""COMPUTED_VALUE"""),"ti-ing-63a7f9f9-77ff-45f4-9e3f-3feff0b73432")</f>
        <v>ti-ing-63a7f9f9-77ff-45f4-9e3f-3feff0b73432</v>
      </c>
      <c r="B9" s="98" t="str">
        <f ca="1">IFERROR(__xludf.DUMMYFUNCTION("""COMPUTED_VALUE"""),"Café tarro grande (desayuno)")</f>
        <v>Café tarro grande (desayuno)</v>
      </c>
      <c r="C9" s="99">
        <v>1</v>
      </c>
      <c r="D9" s="100">
        <f ca="1">IFERROR(__xludf.DUMMYFUNCTION("""COMPUTED_VALUE"""),12032)</f>
        <v>12032</v>
      </c>
      <c r="E9" s="101" t="str">
        <f ca="1">IFERROR(__xludf.DUMMYFUNCTION("""COMPUTED_VALUE"""),"UN")</f>
        <v>UN</v>
      </c>
      <c r="F9" s="101" t="str">
        <f ca="1">IFERROR(__xludf.DUMMYFUNCTION("""COMPUTED_VALUE"""),"Abarrotes")</f>
        <v>Abarrotes</v>
      </c>
      <c r="G9" s="102">
        <f t="shared" ca="1" si="0"/>
        <v>12032</v>
      </c>
      <c r="H9" s="103">
        <f t="shared" ca="1" si="1"/>
        <v>2286.08</v>
      </c>
      <c r="I9" s="104">
        <f t="shared" ca="1" si="2"/>
        <v>14318.08</v>
      </c>
      <c r="J9" s="156"/>
      <c r="K9" s="4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42"/>
      <c r="Z9" s="4"/>
      <c r="AA9" s="4"/>
      <c r="AB9" s="4"/>
      <c r="AC9" s="4"/>
      <c r="AD9" s="4"/>
    </row>
    <row r="10" spans="1:30" ht="19.5" customHeight="1">
      <c r="A10" s="7" t="str">
        <f ca="1">IFERROR(__xludf.DUMMYFUNCTION("""COMPUTED_VALUE"""),"ti-ing-f57e1d6d-2d59-440c-a741-794a5d5d1359")</f>
        <v>ti-ing-f57e1d6d-2d59-440c-a741-794a5d5d1359</v>
      </c>
      <c r="B10" s="98" t="str">
        <f ca="1">IFERROR(__xludf.DUMMYFUNCTION("""COMPUTED_VALUE"""),"Chia kg")</f>
        <v>Chia kg</v>
      </c>
      <c r="C10" s="99">
        <v>0.31</v>
      </c>
      <c r="D10" s="100">
        <f ca="1">IFERROR(__xludf.DUMMYFUNCTION("""COMPUTED_VALUE"""),4152)</f>
        <v>4152</v>
      </c>
      <c r="E10" s="101" t="str">
        <f ca="1">IFERROR(__xludf.DUMMYFUNCTION("""COMPUTED_VALUE"""),"UN")</f>
        <v>UN</v>
      </c>
      <c r="F10" s="101" t="str">
        <f ca="1">IFERROR(__xludf.DUMMYFUNCTION("""COMPUTED_VALUE"""),"Abarrotes")</f>
        <v>Abarrotes</v>
      </c>
      <c r="G10" s="102">
        <f t="shared" ca="1" si="0"/>
        <v>1287.1199999999999</v>
      </c>
      <c r="H10" s="103">
        <f t="shared" ca="1" si="1"/>
        <v>244.55279999999999</v>
      </c>
      <c r="I10" s="104">
        <f t="shared" ca="1" si="2"/>
        <v>1531.6727999999998</v>
      </c>
      <c r="J10" s="156"/>
      <c r="K10" s="4"/>
      <c r="L10" s="46">
        <f ca="1">SUM(I3:I33)</f>
        <v>368650.25639872503</v>
      </c>
      <c r="M10" s="53">
        <f ca="1">SUM(I60)</f>
        <v>2581.348</v>
      </c>
      <c r="N10" s="56"/>
      <c r="O10" s="53">
        <f ca="1">SUM(I83:I86)</f>
        <v>25446.932391999995</v>
      </c>
      <c r="P10" s="46">
        <f ca="1">SUM(I87:I96)</f>
        <v>424483.39494511992</v>
      </c>
      <c r="Q10" s="56"/>
      <c r="R10" s="46">
        <f ca="1">SUM(I97:I101)</f>
        <v>51251.086452439995</v>
      </c>
      <c r="S10" s="56"/>
      <c r="T10" s="55"/>
      <c r="U10" s="51"/>
      <c r="V10" s="57">
        <f ca="1">SUM(I61:I82)</f>
        <v>384416.69034341304</v>
      </c>
      <c r="W10" s="50">
        <f ca="1">SUM(I34:I59)</f>
        <v>45846.785257000003</v>
      </c>
      <c r="X10" s="53">
        <f ca="1">SUM(I102:I156)</f>
        <v>1901808.6670030002</v>
      </c>
      <c r="Y10" s="46">
        <f ca="1">SUM(L10:X10)</f>
        <v>3204485.1607916979</v>
      </c>
      <c r="Z10" s="4"/>
      <c r="AA10" s="4"/>
      <c r="AB10" s="4"/>
      <c r="AC10" s="4"/>
      <c r="AD10" s="4"/>
    </row>
    <row r="11" spans="1:30" ht="19.5" customHeight="1">
      <c r="A11" s="7" t="str">
        <f ca="1">IFERROR(__xludf.DUMMYFUNCTION("""COMPUTED_VALUE"""),"ti-ing-b908bdf8-4d68-4e4a-bca8-67edb76d6236")</f>
        <v>ti-ing-b908bdf8-4d68-4e4a-bca8-67edb76d6236</v>
      </c>
      <c r="B11" s="98" t="str">
        <f ca="1">IFERROR(__xludf.DUMMYFUNCTION("""COMPUTED_VALUE"""),"Chips Chocolate Negro kg")</f>
        <v>Chips Chocolate Negro kg</v>
      </c>
      <c r="C11" s="99">
        <v>3</v>
      </c>
      <c r="D11" s="100">
        <f ca="1">IFERROR(__xludf.DUMMYFUNCTION("""COMPUTED_VALUE"""),6977.75)</f>
        <v>6977.75</v>
      </c>
      <c r="E11" s="101" t="str">
        <f ca="1">IFERROR(__xludf.DUMMYFUNCTION("""COMPUTED_VALUE"""),"KG")</f>
        <v>KG</v>
      </c>
      <c r="F11" s="101" t="str">
        <f ca="1">IFERROR(__xludf.DUMMYFUNCTION("""COMPUTED_VALUE"""),"Abarrotes")</f>
        <v>Abarrotes</v>
      </c>
      <c r="G11" s="102">
        <f t="shared" ca="1" si="0"/>
        <v>20933.25</v>
      </c>
      <c r="H11" s="103">
        <f t="shared" ca="1" si="1"/>
        <v>3977.3175000000001</v>
      </c>
      <c r="I11" s="104">
        <f t="shared" ca="1" si="2"/>
        <v>24910.567500000001</v>
      </c>
      <c r="J11" s="15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9.5" customHeight="1">
      <c r="A12" s="7" t="str">
        <f ca="1">IFERROR(__xludf.DUMMYFUNCTION("""COMPUTED_VALUE"""),"ti-ing-89800579-a778-4a4e-8895-e0cc7ed6a986")</f>
        <v>ti-ing-89800579-a778-4a4e-8895-e0cc7ed6a986</v>
      </c>
      <c r="B12" s="98" t="str">
        <f ca="1">IFERROR(__xludf.DUMMYFUNCTION("""COMPUTED_VALUE"""),"Coco Laminado")</f>
        <v>Coco Laminado</v>
      </c>
      <c r="C12" s="109">
        <v>0</v>
      </c>
      <c r="D12" s="100">
        <f ca="1">IFERROR(__xludf.DUMMYFUNCTION("""COMPUTED_VALUE"""),8474)</f>
        <v>8474</v>
      </c>
      <c r="E12" s="101" t="str">
        <f ca="1">IFERROR(__xludf.DUMMYFUNCTION("""COMPUTED_VALUE"""),"KG")</f>
        <v>KG</v>
      </c>
      <c r="F12" s="101" t="str">
        <f ca="1">IFERROR(__xludf.DUMMYFUNCTION("""COMPUTED_VALUE"""),"Abarrotes")</f>
        <v>Abarrotes</v>
      </c>
      <c r="G12" s="102">
        <f t="shared" ca="1" si="0"/>
        <v>0</v>
      </c>
      <c r="H12" s="103">
        <f t="shared" ca="1" si="1"/>
        <v>0</v>
      </c>
      <c r="I12" s="104">
        <f t="shared" ca="1" si="2"/>
        <v>0</v>
      </c>
      <c r="J12" s="15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9.5" customHeight="1">
      <c r="A13" s="7" t="str">
        <f ca="1">IFERROR(__xludf.DUMMYFUNCTION("""COMPUTED_VALUE"""),"ti-ing-a396335b-a1d5-46a1-874a-de8bd1a3a0de")</f>
        <v>ti-ing-a396335b-a1d5-46a1-874a-de8bd1a3a0de</v>
      </c>
      <c r="B13" s="98" t="str">
        <f ca="1">IFERROR(__xludf.DUMMYFUNCTION("""COMPUTED_VALUE"""),"Coco Rallado")</f>
        <v>Coco Rallado</v>
      </c>
      <c r="C13" s="109">
        <v>0</v>
      </c>
      <c r="D13" s="100">
        <f ca="1">IFERROR(__xludf.DUMMYFUNCTION("""COMPUTED_VALUE"""),4188)</f>
        <v>4188</v>
      </c>
      <c r="E13" s="101" t="str">
        <f ca="1">IFERROR(__xludf.DUMMYFUNCTION("""COMPUTED_VALUE"""),"KG")</f>
        <v>KG</v>
      </c>
      <c r="F13" s="101" t="str">
        <f ca="1">IFERROR(__xludf.DUMMYFUNCTION("""COMPUTED_VALUE"""),"Abarrotes")</f>
        <v>Abarrotes</v>
      </c>
      <c r="G13" s="102">
        <f t="shared" ca="1" si="0"/>
        <v>0</v>
      </c>
      <c r="H13" s="103">
        <f t="shared" ca="1" si="1"/>
        <v>0</v>
      </c>
      <c r="I13" s="104">
        <f t="shared" ca="1" si="2"/>
        <v>0</v>
      </c>
      <c r="J13" s="15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9.5" customHeight="1">
      <c r="A14" s="7" t="str">
        <f ca="1">IFERROR(__xludf.DUMMYFUNCTION("""COMPUTED_VALUE"""),"ti-ing-064cb0f3-6635-4de8-915c-d57502a19286")</f>
        <v>ti-ing-064cb0f3-6635-4de8-915c-d57502a19286</v>
      </c>
      <c r="B14" s="98" t="str">
        <f ca="1">IFERROR(__xludf.DUMMYFUNCTION("""COMPUTED_VALUE"""),"Esencia vainilla")</f>
        <v>Esencia vainilla</v>
      </c>
      <c r="C14" s="109">
        <v>5</v>
      </c>
      <c r="D14" s="100">
        <f ca="1">IFERROR(__xludf.DUMMYFUNCTION("""COMPUTED_VALUE"""),1000)</f>
        <v>1000</v>
      </c>
      <c r="E14" s="101" t="str">
        <f ca="1">IFERROR(__xludf.DUMMYFUNCTION("""COMPUTED_VALUE"""),"LT")</f>
        <v>LT</v>
      </c>
      <c r="F14" s="101" t="str">
        <f ca="1">IFERROR(__xludf.DUMMYFUNCTION("""COMPUTED_VALUE"""),"Abarrotes")</f>
        <v>Abarrotes</v>
      </c>
      <c r="G14" s="102">
        <f t="shared" ca="1" si="0"/>
        <v>5000</v>
      </c>
      <c r="H14" s="103">
        <f t="shared" ca="1" si="1"/>
        <v>950</v>
      </c>
      <c r="I14" s="104">
        <f t="shared" ca="1" si="2"/>
        <v>5950</v>
      </c>
      <c r="J14" s="15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9.5" customHeight="1">
      <c r="A15" s="7" t="str">
        <f ca="1">IFERROR(__xludf.DUMMYFUNCTION("""COMPUTED_VALUE"""),"ti-ing-150d078f-94cc-4527-a524-b16516d0adfa")</f>
        <v>ti-ing-150d078f-94cc-4527-a524-b16516d0adfa</v>
      </c>
      <c r="B15" s="98" t="str">
        <f ca="1">IFERROR(__xludf.DUMMYFUNCTION("""COMPUTED_VALUE"""),"Fruta Confitada")</f>
        <v>Fruta Confitada</v>
      </c>
      <c r="C15" s="109">
        <v>0</v>
      </c>
      <c r="D15" s="100">
        <f ca="1">IFERROR(__xludf.DUMMYFUNCTION("""COMPUTED_VALUE"""),3500)</f>
        <v>3500</v>
      </c>
      <c r="E15" s="101" t="str">
        <f ca="1">IFERROR(__xludf.DUMMYFUNCTION("""COMPUTED_VALUE"""),"KG")</f>
        <v>KG</v>
      </c>
      <c r="F15" s="101" t="str">
        <f ca="1">IFERROR(__xludf.DUMMYFUNCTION("""COMPUTED_VALUE"""),"Abarrotes")</f>
        <v>Abarrotes</v>
      </c>
      <c r="G15" s="102">
        <f t="shared" ca="1" si="0"/>
        <v>0</v>
      </c>
      <c r="H15" s="103">
        <f t="shared" ca="1" si="1"/>
        <v>0</v>
      </c>
      <c r="I15" s="104">
        <f t="shared" ca="1" si="2"/>
        <v>0</v>
      </c>
      <c r="J15" s="1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9.5" customHeight="1">
      <c r="A16" s="7" t="str">
        <f ca="1">IFERROR(__xludf.DUMMYFUNCTION("""COMPUTED_VALUE"""),"ti-ing-e6ff2cd2-0729-44b9-b0d3-457299c1ead8")</f>
        <v>ti-ing-e6ff2cd2-0729-44b9-b0d3-457299c1ead8</v>
      </c>
      <c r="B16" s="98" t="str">
        <f ca="1">IFERROR(__xludf.DUMMYFUNCTION("""COMPUTED_VALUE"""),"Huevos Arizona")</f>
        <v>Huevos Arizona</v>
      </c>
      <c r="C16" s="109">
        <v>380</v>
      </c>
      <c r="D16" s="100">
        <f ca="1">IFERROR(__xludf.DUMMYFUNCTION("""COMPUTED_VALUE"""),138)</f>
        <v>138</v>
      </c>
      <c r="E16" s="101" t="str">
        <f ca="1">IFERROR(__xludf.DUMMYFUNCTION("""COMPUTED_VALUE"""),"UN")</f>
        <v>UN</v>
      </c>
      <c r="F16" s="101" t="str">
        <f ca="1">IFERROR(__xludf.DUMMYFUNCTION("""COMPUTED_VALUE"""),"Abarrotes")</f>
        <v>Abarrotes</v>
      </c>
      <c r="G16" s="102">
        <f t="shared" ca="1" si="0"/>
        <v>52440</v>
      </c>
      <c r="H16" s="103">
        <f t="shared" ca="1" si="1"/>
        <v>9963.6</v>
      </c>
      <c r="I16" s="104">
        <f t="shared" ca="1" si="2"/>
        <v>62403.6</v>
      </c>
      <c r="J16" s="1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9.5" customHeight="1">
      <c r="A17" s="7" t="str">
        <f ca="1">IFERROR(__xludf.DUMMYFUNCTION("""COMPUTED_VALUE"""),"ti-ing-772eef79-e2de-41fa-b52c-f097abd8b4a8")</f>
        <v>ti-ing-772eef79-e2de-41fa-b52c-f097abd8b4a8</v>
      </c>
      <c r="B17" s="98" t="str">
        <f ca="1">IFERROR(__xludf.DUMMYFUNCTION("""COMPUTED_VALUE"""),"Leche Entera En Polvo")</f>
        <v>Leche Entera En Polvo</v>
      </c>
      <c r="C17" s="109">
        <v>3.88</v>
      </c>
      <c r="D17" s="100">
        <f ca="1">IFERROR(__xludf.DUMMYFUNCTION("""COMPUTED_VALUE"""),7079.167)</f>
        <v>7079.1670000000004</v>
      </c>
      <c r="E17" s="101" t="str">
        <f ca="1">IFERROR(__xludf.DUMMYFUNCTION("""COMPUTED_VALUE"""),"KG")</f>
        <v>KG</v>
      </c>
      <c r="F17" s="101" t="str">
        <f ca="1">IFERROR(__xludf.DUMMYFUNCTION("""COMPUTED_VALUE"""),"Abarrotes")</f>
        <v>Abarrotes</v>
      </c>
      <c r="G17" s="102">
        <f t="shared" ca="1" si="0"/>
        <v>27467.167960000002</v>
      </c>
      <c r="H17" s="103">
        <f t="shared" ca="1" si="1"/>
        <v>5218.7619124000003</v>
      </c>
      <c r="I17" s="104">
        <f t="shared" ca="1" si="2"/>
        <v>32685.929872400004</v>
      </c>
      <c r="J17" s="1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9.5" customHeight="1">
      <c r="A18" s="7" t="str">
        <f ca="1">IFERROR(__xludf.DUMMYFUNCTION("""COMPUTED_VALUE"""),"ti-ing-0ec3786c-eec8-4a04-af8d-bda30eac5549")</f>
        <v>ti-ing-0ec3786c-eec8-4a04-af8d-bda30eac5549</v>
      </c>
      <c r="B18" s="98" t="str">
        <f ca="1">IFERROR(__xludf.DUMMYFUNCTION("""COMPUTED_VALUE"""),"Levadura seca (Unidad)")</f>
        <v>Levadura seca (Unidad)</v>
      </c>
      <c r="C18" s="110">
        <v>6</v>
      </c>
      <c r="D18" s="100">
        <f ca="1">IFERROR(__xludf.DUMMYFUNCTION("""COMPUTED_VALUE"""),1711)</f>
        <v>1711</v>
      </c>
      <c r="E18" s="101" t="str">
        <f ca="1">IFERROR(__xludf.DUMMYFUNCTION("""COMPUTED_VALUE"""),"UN")</f>
        <v>UN</v>
      </c>
      <c r="F18" s="101" t="str">
        <f ca="1">IFERROR(__xludf.DUMMYFUNCTION("""COMPUTED_VALUE"""),"Abarrotes")</f>
        <v>Abarrotes</v>
      </c>
      <c r="G18" s="102">
        <f t="shared" ca="1" si="0"/>
        <v>10266</v>
      </c>
      <c r="H18" s="103">
        <f t="shared" ca="1" si="1"/>
        <v>1950.54</v>
      </c>
      <c r="I18" s="104">
        <f t="shared" ca="1" si="2"/>
        <v>12216.54</v>
      </c>
      <c r="J18" s="1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9.5" customHeight="1">
      <c r="A19" s="7" t="str">
        <f ca="1">IFERROR(__xludf.DUMMYFUNCTION("""COMPUTED_VALUE"""),"ti-ing-b41eeb59-c8ac-4580-b11d-bbd7dc537fd3")</f>
        <v>ti-ing-b41eeb59-c8ac-4580-b11d-bbd7dc537fd3</v>
      </c>
      <c r="B19" s="98" t="str">
        <f ca="1">IFERROR(__xludf.DUMMYFUNCTION("""COMPUTED_VALUE"""),"Linaza kg")</f>
        <v>Linaza kg</v>
      </c>
      <c r="C19" s="110">
        <v>0.78</v>
      </c>
      <c r="D19" s="100">
        <f ca="1">IFERROR(__xludf.DUMMYFUNCTION("""COMPUTED_VALUE"""),2995)</f>
        <v>2995</v>
      </c>
      <c r="E19" s="101" t="str">
        <f ca="1">IFERROR(__xludf.DUMMYFUNCTION("""COMPUTED_VALUE"""),"KG")</f>
        <v>KG</v>
      </c>
      <c r="F19" s="101" t="str">
        <f ca="1">IFERROR(__xludf.DUMMYFUNCTION("""COMPUTED_VALUE"""),"Abarrotes")</f>
        <v>Abarrotes</v>
      </c>
      <c r="G19" s="102">
        <f t="shared" ca="1" si="0"/>
        <v>2336.1</v>
      </c>
      <c r="H19" s="103">
        <f t="shared" ca="1" si="1"/>
        <v>443.85899999999998</v>
      </c>
      <c r="I19" s="104">
        <f t="shared" ca="1" si="2"/>
        <v>2779.9589999999998</v>
      </c>
      <c r="J19" s="1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9.5" customHeight="1">
      <c r="A20" s="7" t="str">
        <f ca="1">IFERROR(__xludf.DUMMYFUNCTION("""COMPUTED_VALUE"""),"ti-ing-69061f8d-e4d9-4fc4-b44e-0cd173ebf8f3")</f>
        <v>ti-ing-69061f8d-e4d9-4fc4-b44e-0cd173ebf8f3</v>
      </c>
      <c r="B20" s="98" t="str">
        <f ca="1">IFERROR(__xludf.DUMMYFUNCTION("""COMPUTED_VALUE"""),"Maicena kg")</f>
        <v>Maicena kg</v>
      </c>
      <c r="C20" s="110">
        <v>0</v>
      </c>
      <c r="D20" s="100">
        <f ca="1">IFERROR(__xludf.DUMMYFUNCTION("""COMPUTED_VALUE"""),1582)</f>
        <v>1582</v>
      </c>
      <c r="E20" s="101" t="str">
        <f ca="1">IFERROR(__xludf.DUMMYFUNCTION("""COMPUTED_VALUE"""),"KG")</f>
        <v>KG</v>
      </c>
      <c r="F20" s="101" t="str">
        <f ca="1">IFERROR(__xludf.DUMMYFUNCTION("""COMPUTED_VALUE"""),"Abarrotes")</f>
        <v>Abarrotes</v>
      </c>
      <c r="G20" s="102">
        <f t="shared" ca="1" si="0"/>
        <v>0</v>
      </c>
      <c r="H20" s="103">
        <f t="shared" ca="1" si="1"/>
        <v>0</v>
      </c>
      <c r="I20" s="104">
        <f t="shared" ca="1" si="2"/>
        <v>0</v>
      </c>
      <c r="J20" s="1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9.5" customHeight="1">
      <c r="A21" s="7" t="str">
        <f ca="1">IFERROR(__xludf.DUMMYFUNCTION("""COMPUTED_VALUE"""),"ti-ing-1a1ad4e7-e7d7-4d58-a706-bfd83210f90b")</f>
        <v>ti-ing-1a1ad4e7-e7d7-4d58-a706-bfd83210f90b</v>
      </c>
      <c r="B21" s="98" t="str">
        <f ca="1">IFERROR(__xludf.DUMMYFUNCTION("""COMPUTED_VALUE"""),"Oregano kg")</f>
        <v>Oregano kg</v>
      </c>
      <c r="C21" s="110">
        <v>0.28000000000000003</v>
      </c>
      <c r="D21" s="100">
        <f ca="1">IFERROR(__xludf.DUMMYFUNCTION("""COMPUTED_VALUE"""),4812)</f>
        <v>4812</v>
      </c>
      <c r="E21" s="101" t="str">
        <f ca="1">IFERROR(__xludf.DUMMYFUNCTION("""COMPUTED_VALUE"""),"KG")</f>
        <v>KG</v>
      </c>
      <c r="F21" s="101" t="str">
        <f ca="1">IFERROR(__xludf.DUMMYFUNCTION("""COMPUTED_VALUE"""),"Abarrotes")</f>
        <v>Abarrotes</v>
      </c>
      <c r="G21" s="102">
        <f t="shared" ca="1" si="0"/>
        <v>1347.3600000000001</v>
      </c>
      <c r="H21" s="103">
        <f t="shared" ca="1" si="1"/>
        <v>255.99840000000003</v>
      </c>
      <c r="I21" s="104">
        <f t="shared" ca="1" si="2"/>
        <v>1603.3584000000001</v>
      </c>
      <c r="J21" s="1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9.5" customHeight="1">
      <c r="A22" s="7" t="str">
        <f ca="1">IFERROR(__xludf.DUMMYFUNCTION("""COMPUTED_VALUE"""),"ti-ing-999c769d-83cf-47ce-8cb8-90e72bf3771e")</f>
        <v>ti-ing-999c769d-83cf-47ce-8cb8-90e72bf3771e</v>
      </c>
      <c r="B22" s="98" t="str">
        <f ca="1">IFERROR(__xludf.DUMMYFUNCTION("""COMPUTED_VALUE"""),"Pasas")</f>
        <v>Pasas</v>
      </c>
      <c r="C22" s="110">
        <v>0</v>
      </c>
      <c r="D22" s="100">
        <f ca="1">IFERROR(__xludf.DUMMYFUNCTION("""COMPUTED_VALUE"""),2719)</f>
        <v>2719</v>
      </c>
      <c r="E22" s="101" t="str">
        <f ca="1">IFERROR(__xludf.DUMMYFUNCTION("""COMPUTED_VALUE"""),"KG")</f>
        <v>KG</v>
      </c>
      <c r="F22" s="101" t="str">
        <f ca="1">IFERROR(__xludf.DUMMYFUNCTION("""COMPUTED_VALUE"""),"Abarrotes")</f>
        <v>Abarrotes</v>
      </c>
      <c r="G22" s="102">
        <f t="shared" ca="1" si="0"/>
        <v>0</v>
      </c>
      <c r="H22" s="103">
        <f t="shared" ca="1" si="1"/>
        <v>0</v>
      </c>
      <c r="I22" s="104">
        <f t="shared" ca="1" si="2"/>
        <v>0</v>
      </c>
      <c r="J22" s="1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9.5" customHeight="1">
      <c r="A23" s="7" t="str">
        <f ca="1">IFERROR(__xludf.DUMMYFUNCTION("""COMPUTED_VALUE"""),"ti-ing-5406e51a-e384-417d-9b6d-dfe14303d6be")</f>
        <v>ti-ing-5406e51a-e384-417d-9b6d-dfe14303d6be</v>
      </c>
      <c r="B23" s="98" t="str">
        <f ca="1">IFERROR(__xludf.DUMMYFUNCTION("""COMPUTED_VALUE"""),"Polvos de Hornear")</f>
        <v>Polvos de Hornear</v>
      </c>
      <c r="C23" s="110">
        <v>0</v>
      </c>
      <c r="D23" s="100">
        <f ca="1">IFERROR(__xludf.DUMMYFUNCTION("""COMPUTED_VALUE"""),3941.140889)</f>
        <v>3941.1408889999998</v>
      </c>
      <c r="E23" s="101" t="str">
        <f ca="1">IFERROR(__xludf.DUMMYFUNCTION("""COMPUTED_VALUE"""),"KG")</f>
        <v>KG</v>
      </c>
      <c r="F23" s="101" t="str">
        <f ca="1">IFERROR(__xludf.DUMMYFUNCTION("""COMPUTED_VALUE"""),"Abarrotes")</f>
        <v>Abarrotes</v>
      </c>
      <c r="G23" s="102">
        <f t="shared" ca="1" si="0"/>
        <v>0</v>
      </c>
      <c r="H23" s="103">
        <f t="shared" ca="1" si="1"/>
        <v>0</v>
      </c>
      <c r="I23" s="104">
        <f t="shared" ca="1" si="2"/>
        <v>0</v>
      </c>
      <c r="J23" s="1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9.5" customHeight="1">
      <c r="A24" s="7" t="str">
        <f ca="1">IFERROR(__xludf.DUMMYFUNCTION("""COMPUTED_VALUE"""),"ti-ing-2d6c0e54-94ef-4df0-a728-f28c834a70d6")</f>
        <v>ti-ing-2d6c0e54-94ef-4df0-a728-f28c834a70d6</v>
      </c>
      <c r="B24" s="98" t="str">
        <f ca="1">IFERROR(__xludf.DUMMYFUNCTION("""COMPUTED_VALUE"""),"Pre Mezcla Pan De Pascua (Saco 10 kg)")</f>
        <v>Pre Mezcla Pan De Pascua (Saco 10 kg)</v>
      </c>
      <c r="C24" s="110">
        <v>0</v>
      </c>
      <c r="D24" s="100">
        <f ca="1">IFERROR(__xludf.DUMMYFUNCTION("""COMPUTED_VALUE"""),3760)</f>
        <v>3760</v>
      </c>
      <c r="E24" s="101" t="str">
        <f ca="1">IFERROR(__xludf.DUMMYFUNCTION("""COMPUTED_VALUE"""),"KG")</f>
        <v>KG</v>
      </c>
      <c r="F24" s="101" t="str">
        <f ca="1">IFERROR(__xludf.DUMMYFUNCTION("""COMPUTED_VALUE"""),"Abarrotes")</f>
        <v>Abarrotes</v>
      </c>
      <c r="G24" s="102">
        <f t="shared" ca="1" si="0"/>
        <v>0</v>
      </c>
      <c r="H24" s="103">
        <f t="shared" ca="1" si="1"/>
        <v>0</v>
      </c>
      <c r="I24" s="104">
        <f t="shared" ca="1" si="2"/>
        <v>0</v>
      </c>
      <c r="J24" s="1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9.5" customHeight="1">
      <c r="A25" s="7" t="str">
        <f ca="1">IFERROR(__xludf.DUMMYFUNCTION("""COMPUTED_VALUE"""),"ti-ing-fb27813f-4cd7-443f-8a10-e933adbefc38")</f>
        <v>ti-ing-fb27813f-4cd7-443f-8a10-e933adbefc38</v>
      </c>
      <c r="B25" s="98" t="str">
        <f ca="1">IFERROR(__xludf.DUMMYFUNCTION("""COMPUTED_VALUE"""),"Puratos desmoldante ""PURALIX"" (bidon 10 lt)")</f>
        <v>Puratos desmoldante "PURALIX" (bidon 10 lt)</v>
      </c>
      <c r="C25" s="110">
        <v>7.5</v>
      </c>
      <c r="D25" s="100">
        <f ca="1">IFERROR(__xludf.DUMMYFUNCTION("""COMPUTED_VALUE"""),6456.959305)</f>
        <v>6456.9593050000003</v>
      </c>
      <c r="E25" s="101" t="str">
        <f ca="1">IFERROR(__xludf.DUMMYFUNCTION("""COMPUTED_VALUE"""),"KG")</f>
        <v>KG</v>
      </c>
      <c r="F25" s="101" t="str">
        <f ca="1">IFERROR(__xludf.DUMMYFUNCTION("""COMPUTED_VALUE"""),"Abarrotes")</f>
        <v>Abarrotes</v>
      </c>
      <c r="G25" s="102">
        <f t="shared" ca="1" si="0"/>
        <v>48427.194787500004</v>
      </c>
      <c r="H25" s="103">
        <f t="shared" ca="1" si="1"/>
        <v>9201.167009625</v>
      </c>
      <c r="I25" s="104">
        <f t="shared" ca="1" si="2"/>
        <v>57628.361797125006</v>
      </c>
      <c r="J25" s="1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9.5" customHeight="1">
      <c r="A26" s="7" t="str">
        <f ca="1">IFERROR(__xludf.DUMMYFUNCTION("""COMPUTED_VALUE"""),"ti-ing-adcc52a1-e0e4-4266-9ae9-20d8c55afb93")</f>
        <v>ti-ing-adcc52a1-e0e4-4266-9ae9-20d8c55afb93</v>
      </c>
      <c r="B26" s="98" t="str">
        <f ca="1">IFERROR(__xludf.DUMMYFUNCTION("""COMPUTED_VALUE"""),"Puratos granos molde ""SOFT GRAIN""")</f>
        <v>Puratos granos molde "SOFT GRAIN"</v>
      </c>
      <c r="C26" s="110">
        <v>8.4</v>
      </c>
      <c r="D26" s="100">
        <f ca="1">IFERROR(__xludf.DUMMYFUNCTION("""COMPUTED_VALUE"""),4742)</f>
        <v>4742</v>
      </c>
      <c r="E26" s="101" t="str">
        <f ca="1">IFERROR(__xludf.DUMMYFUNCTION("""COMPUTED_VALUE"""),"KG")</f>
        <v>KG</v>
      </c>
      <c r="F26" s="101" t="str">
        <f ca="1">IFERROR(__xludf.DUMMYFUNCTION("""COMPUTED_VALUE"""),"Abarrotes")</f>
        <v>Abarrotes</v>
      </c>
      <c r="G26" s="102">
        <f t="shared" ca="1" si="0"/>
        <v>39832.800000000003</v>
      </c>
      <c r="H26" s="103">
        <f t="shared" ca="1" si="1"/>
        <v>7568.2320000000009</v>
      </c>
      <c r="I26" s="104">
        <f t="shared" ca="1" si="2"/>
        <v>47401.032000000007</v>
      </c>
      <c r="J26" s="1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9.5" customHeight="1">
      <c r="A27" s="7" t="str">
        <f ca="1">IFERROR(__xludf.DUMMYFUNCTION("""COMPUTED_VALUE"""),"ti-ing-d7848686-6931-4ec1-ba2c-64fafb54502c")</f>
        <v>ti-ing-d7848686-6931-4ec1-ba2c-64fafb54502c</v>
      </c>
      <c r="B27" s="98" t="str">
        <f ca="1">IFERROR(__xludf.DUMMYFUNCTION("""COMPUTED_VALUE"""),"Puratos mejorador hallulla ""JOKER""")</f>
        <v>Puratos mejorador hallulla "JOKER"</v>
      </c>
      <c r="C27" s="110">
        <v>1.39</v>
      </c>
      <c r="D27" s="100">
        <f ca="1">IFERROR(__xludf.DUMMYFUNCTION("""COMPUTED_VALUE"""),1779.375)</f>
        <v>1779.375</v>
      </c>
      <c r="E27" s="101" t="str">
        <f ca="1">IFERROR(__xludf.DUMMYFUNCTION("""COMPUTED_VALUE"""),"KG")</f>
        <v>KG</v>
      </c>
      <c r="F27" s="101" t="str">
        <f ca="1">IFERROR(__xludf.DUMMYFUNCTION("""COMPUTED_VALUE"""),"Abarrotes")</f>
        <v>Abarrotes</v>
      </c>
      <c r="G27" s="102">
        <f t="shared" ca="1" si="0"/>
        <v>2473.3312499999997</v>
      </c>
      <c r="H27" s="103">
        <f t="shared" ca="1" si="1"/>
        <v>469.93293749999998</v>
      </c>
      <c r="I27" s="104">
        <f t="shared" ca="1" si="2"/>
        <v>2943.2641874999999</v>
      </c>
      <c r="J27" s="1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9.5" customHeight="1">
      <c r="A28" s="7" t="str">
        <f ca="1">IFERROR(__xludf.DUMMYFUNCTION("""COMPUTED_VALUE"""),"ti-ing-0788472c-969e-4253-a6aa-9419b979f617")</f>
        <v>ti-ing-0788472c-969e-4253-a6aa-9419b979f617</v>
      </c>
      <c r="B28" s="98" t="str">
        <f ca="1">IFERROR(__xludf.DUMMYFUNCTION("""COMPUTED_VALUE"""),"puratos mejorador marraqueta ""TOUPAN"" (caja 20 un./400 gr)")</f>
        <v>puratos mejorador marraqueta "TOUPAN" (caja 20 un./400 gr)</v>
      </c>
      <c r="C28" s="110">
        <v>1.4</v>
      </c>
      <c r="D28" s="100">
        <f ca="1">IFERROR(__xludf.DUMMYFUNCTION("""COMPUTED_VALUE"""),1968)</f>
        <v>1968</v>
      </c>
      <c r="E28" s="101" t="str">
        <f ca="1">IFERROR(__xludf.DUMMYFUNCTION("""COMPUTED_VALUE"""),"KG")</f>
        <v>KG</v>
      </c>
      <c r="F28" s="101" t="str">
        <f ca="1">IFERROR(__xludf.DUMMYFUNCTION("""COMPUTED_VALUE"""),"Abarrotes")</f>
        <v>Abarrotes</v>
      </c>
      <c r="G28" s="102">
        <f t="shared" ca="1" si="0"/>
        <v>2755.2</v>
      </c>
      <c r="H28" s="103">
        <f t="shared" ca="1" si="1"/>
        <v>523.48799999999994</v>
      </c>
      <c r="I28" s="104">
        <f t="shared" ca="1" si="2"/>
        <v>3278.6879999999996</v>
      </c>
      <c r="J28" s="1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9.5" customHeight="1">
      <c r="A29" s="7" t="str">
        <f ca="1">IFERROR(__xludf.DUMMYFUNCTION("""COMPUTED_VALUE"""),"ti-ing-2c5ed605-f331-4f63-bc96-caf004c9d9f1")</f>
        <v>ti-ing-2c5ed605-f331-4f63-bc96-caf004c9d9f1</v>
      </c>
      <c r="B29" s="98" t="str">
        <f ca="1">IFERROR(__xludf.DUMMYFUNCTION("""COMPUTED_VALUE"""),"puratos mejorador molde ""TRIM SOFTER"" (caja 12un./1kg)")</f>
        <v>puratos mejorador molde "TRIM SOFTER" (caja 12un./1kg)</v>
      </c>
      <c r="C29" s="110">
        <v>2.31</v>
      </c>
      <c r="D29" s="100">
        <f ca="1">IFERROR(__xludf.DUMMYFUNCTION("""COMPUTED_VALUE"""),4816)</f>
        <v>4816</v>
      </c>
      <c r="E29" s="101" t="str">
        <f ca="1">IFERROR(__xludf.DUMMYFUNCTION("""COMPUTED_VALUE"""),"KG")</f>
        <v>KG</v>
      </c>
      <c r="F29" s="101" t="str">
        <f ca="1">IFERROR(__xludf.DUMMYFUNCTION("""COMPUTED_VALUE"""),"Abarrotes")</f>
        <v>Abarrotes</v>
      </c>
      <c r="G29" s="102">
        <f t="shared" ca="1" si="0"/>
        <v>11124.960000000001</v>
      </c>
      <c r="H29" s="103">
        <f t="shared" ca="1" si="1"/>
        <v>2113.7424000000001</v>
      </c>
      <c r="I29" s="104">
        <f t="shared" ca="1" si="2"/>
        <v>13238.702400000002</v>
      </c>
      <c r="J29" s="1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9.5" customHeight="1">
      <c r="A30" s="7" t="str">
        <f ca="1">IFERROR(__xludf.DUMMYFUNCTION("""COMPUTED_VALUE"""),"ti-ing-4818468c-bc91-40f7-9fa4-eb19def3bff7")</f>
        <v>ti-ing-4818468c-bc91-40f7-9fa4-eb19def3bff7</v>
      </c>
      <c r="B30" s="98" t="str">
        <f ca="1">IFERROR(__xludf.DUMMYFUNCTION("""COMPUTED_VALUE"""),"Sal fina")</f>
        <v>Sal fina</v>
      </c>
      <c r="C30" s="110">
        <v>7</v>
      </c>
      <c r="D30" s="100">
        <f ca="1">IFERROR(__xludf.DUMMYFUNCTION("""COMPUTED_VALUE"""),290)</f>
        <v>290</v>
      </c>
      <c r="E30" s="101" t="str">
        <f ca="1">IFERROR(__xludf.DUMMYFUNCTION("""COMPUTED_VALUE"""),"KG")</f>
        <v>KG</v>
      </c>
      <c r="F30" s="101" t="str">
        <f ca="1">IFERROR(__xludf.DUMMYFUNCTION("""COMPUTED_VALUE"""),"Abarrotes")</f>
        <v>Abarrotes</v>
      </c>
      <c r="G30" s="102">
        <f t="shared" ca="1" si="0"/>
        <v>2030</v>
      </c>
      <c r="H30" s="103">
        <f t="shared" ca="1" si="1"/>
        <v>385.7</v>
      </c>
      <c r="I30" s="104">
        <f t="shared" ca="1" si="2"/>
        <v>2415.6999999999998</v>
      </c>
      <c r="J30" s="1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9.5" customHeight="1">
      <c r="A31" s="7" t="str">
        <f ca="1">IFERROR(__xludf.DUMMYFUNCTION("""COMPUTED_VALUE"""),"ti-ing-f3669215-5eea-4b87-8743-83d65563f01d")</f>
        <v>ti-ing-f3669215-5eea-4b87-8743-83d65563f01d</v>
      </c>
      <c r="B31" s="98" t="str">
        <f ca="1">IFERROR(__xludf.DUMMYFUNCTION("""COMPUTED_VALUE"""),"Semilla De Zapallo kg")</f>
        <v>Semilla De Zapallo kg</v>
      </c>
      <c r="C31" s="110">
        <v>0</v>
      </c>
      <c r="D31" s="100">
        <f ca="1">IFERROR(__xludf.DUMMYFUNCTION("""COMPUTED_VALUE"""),5550)</f>
        <v>5550</v>
      </c>
      <c r="E31" s="101" t="str">
        <f ca="1">IFERROR(__xludf.DUMMYFUNCTION("""COMPUTED_VALUE"""),"Kg")</f>
        <v>Kg</v>
      </c>
      <c r="F31" s="101" t="str">
        <f ca="1">IFERROR(__xludf.DUMMYFUNCTION("""COMPUTED_VALUE"""),"Abarrotes")</f>
        <v>Abarrotes</v>
      </c>
      <c r="G31" s="102">
        <f t="shared" ca="1" si="0"/>
        <v>0</v>
      </c>
      <c r="H31" s="103">
        <f t="shared" ca="1" si="1"/>
        <v>0</v>
      </c>
      <c r="I31" s="104">
        <f t="shared" ca="1" si="2"/>
        <v>0</v>
      </c>
      <c r="J31" s="1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9.5" customHeight="1">
      <c r="A32" s="7" t="str">
        <f ca="1">IFERROR(__xludf.DUMMYFUNCTION("""COMPUTED_VALUE"""),"ti-ing-ee9260f2-296c-423d-bf8d-ee978626dfa5")</f>
        <v>ti-ing-ee9260f2-296c-423d-bf8d-ee978626dfa5</v>
      </c>
      <c r="B32" s="98" t="str">
        <f ca="1">IFERROR(__xludf.DUMMYFUNCTION("""COMPUTED_VALUE"""),"Sesamo Blanco")</f>
        <v>Sesamo Blanco</v>
      </c>
      <c r="C32" s="110">
        <v>1.5</v>
      </c>
      <c r="D32" s="100">
        <f ca="1">IFERROR(__xludf.DUMMYFUNCTION("""COMPUTED_VALUE"""),4164)</f>
        <v>4164</v>
      </c>
      <c r="E32" s="101" t="str">
        <f ca="1">IFERROR(__xludf.DUMMYFUNCTION("""COMPUTED_VALUE"""),"KG")</f>
        <v>KG</v>
      </c>
      <c r="F32" s="101" t="str">
        <f ca="1">IFERROR(__xludf.DUMMYFUNCTION("""COMPUTED_VALUE"""),"Abarrotes")</f>
        <v>Abarrotes</v>
      </c>
      <c r="G32" s="102">
        <f t="shared" ca="1" si="0"/>
        <v>6246</v>
      </c>
      <c r="H32" s="103">
        <f t="shared" ca="1" si="1"/>
        <v>1186.74</v>
      </c>
      <c r="I32" s="104">
        <f t="shared" ca="1" si="2"/>
        <v>7432.74</v>
      </c>
      <c r="J32" s="1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9.5" customHeight="1">
      <c r="A33" s="7" t="str">
        <f ca="1">IFERROR(__xludf.DUMMYFUNCTION("""COMPUTED_VALUE"""),"ti-ing-eb1cdfba-1bad-4930-a6f4-b0ad48b55576")</f>
        <v>ti-ing-eb1cdfba-1bad-4930-a6f4-b0ad48b55576</v>
      </c>
      <c r="B33" s="98" t="str">
        <f ca="1">IFERROR(__xludf.DUMMYFUNCTION("""COMPUTED_VALUE"""),"Sesamo Negro")</f>
        <v>Sesamo Negro</v>
      </c>
      <c r="C33" s="110">
        <v>1</v>
      </c>
      <c r="D33" s="100">
        <f ca="1">IFERROR(__xludf.DUMMYFUNCTION("""COMPUTED_VALUE"""),5441)</f>
        <v>5441</v>
      </c>
      <c r="E33" s="101" t="str">
        <f ca="1">IFERROR(__xludf.DUMMYFUNCTION("""COMPUTED_VALUE"""),"KG")</f>
        <v>KG</v>
      </c>
      <c r="F33" s="101" t="str">
        <f ca="1">IFERROR(__xludf.DUMMYFUNCTION("""COMPUTED_VALUE"""),"Abarrotes")</f>
        <v>Abarrotes</v>
      </c>
      <c r="G33" s="102">
        <f t="shared" ca="1" si="0"/>
        <v>5441</v>
      </c>
      <c r="H33" s="103">
        <f t="shared" ca="1" si="1"/>
        <v>1033.79</v>
      </c>
      <c r="I33" s="104">
        <f t="shared" ca="1" si="2"/>
        <v>6474.79</v>
      </c>
      <c r="J33" s="1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9.5" customHeight="1">
      <c r="A34" s="7" t="str">
        <f ca="1">IFERROR(__xludf.DUMMYFUNCTION("""COMPUTED_VALUE"""),"ti-ing-7607ac26-0154-48c7-a176-272daa456f7a")</f>
        <v>ti-ing-7607ac26-0154-48c7-a176-272daa456f7a</v>
      </c>
      <c r="B34" s="98" t="str">
        <f ca="1">IFERROR(__xludf.DUMMYFUNCTION("""COMPUTED_VALUE"""),"BOLSA BASURA CHICA (un)")</f>
        <v>BOLSA BASURA CHICA (un)</v>
      </c>
      <c r="C34" s="110">
        <v>0</v>
      </c>
      <c r="D34" s="100">
        <f ca="1">IFERROR(__xludf.DUMMYFUNCTION("""COMPUTED_VALUE"""),39)</f>
        <v>39</v>
      </c>
      <c r="E34" s="101" t="str">
        <f ca="1">IFERROR(__xludf.DUMMYFUNCTION("""COMPUTED_VALUE"""),"UN")</f>
        <v>UN</v>
      </c>
      <c r="F34" s="101" t="str">
        <f ca="1">IFERROR(__xludf.DUMMYFUNCTION("""COMPUTED_VALUE"""),"Aseo")</f>
        <v>Aseo</v>
      </c>
      <c r="G34" s="102">
        <f t="shared" ca="1" si="0"/>
        <v>0</v>
      </c>
      <c r="H34" s="103">
        <f t="shared" ca="1" si="1"/>
        <v>0</v>
      </c>
      <c r="I34" s="104">
        <f t="shared" ca="1" si="2"/>
        <v>0</v>
      </c>
      <c r="J34" s="15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9.5" customHeight="1">
      <c r="A35" s="7" t="str">
        <f ca="1">IFERROR(__xludf.DUMMYFUNCTION("""COMPUTED_VALUE"""),"ti-ing-32a0a1de-7d7a-48fa-8701-58015f10f3d8")</f>
        <v>ti-ing-32a0a1de-7d7a-48fa-8701-58015f10f3d8</v>
      </c>
      <c r="B35" s="98" t="str">
        <f ca="1">IFERROR(__xludf.DUMMYFUNCTION("""COMPUTED_VALUE"""),"BOLSA BASURA GRANDE (un)")</f>
        <v>BOLSA BASURA GRANDE (un)</v>
      </c>
      <c r="C35" s="110">
        <v>14</v>
      </c>
      <c r="D35" s="100">
        <f ca="1">IFERROR(__xludf.DUMMYFUNCTION("""COMPUTED_VALUE"""),391.1)</f>
        <v>391.1</v>
      </c>
      <c r="E35" s="101" t="str">
        <f ca="1">IFERROR(__xludf.DUMMYFUNCTION("""COMPUTED_VALUE"""),"UN")</f>
        <v>UN</v>
      </c>
      <c r="F35" s="101" t="str">
        <f ca="1">IFERROR(__xludf.DUMMYFUNCTION("""COMPUTED_VALUE"""),"Aseo")</f>
        <v>Aseo</v>
      </c>
      <c r="G35" s="102">
        <f t="shared" ca="1" si="0"/>
        <v>5475.4000000000005</v>
      </c>
      <c r="H35" s="103">
        <f t="shared" ca="1" si="1"/>
        <v>1040.326</v>
      </c>
      <c r="I35" s="104">
        <f t="shared" ca="1" si="2"/>
        <v>6515.7260000000006</v>
      </c>
      <c r="J35" s="15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9.5" customHeight="1">
      <c r="A36" s="7" t="str">
        <f ca="1">IFERROR(__xludf.DUMMYFUNCTION("""COMPUTED_VALUE"""),"ti-ing-b56c8191-87a4-414c-8649-692ed6f88304")</f>
        <v>ti-ing-b56c8191-87a4-414c-8649-692ed6f88304</v>
      </c>
      <c r="B36" s="98" t="str">
        <f ca="1">IFERROR(__xludf.DUMMYFUNCTION("""COMPUTED_VALUE"""),"BOLSA BASURA MEDIANA (un)")</f>
        <v>BOLSA BASURA MEDIANA (un)</v>
      </c>
      <c r="C36" s="110">
        <v>0</v>
      </c>
      <c r="D36" s="100">
        <f ca="1">IFERROR(__xludf.DUMMYFUNCTION("""COMPUTED_VALUE"""),74.8)</f>
        <v>74.8</v>
      </c>
      <c r="E36" s="101" t="str">
        <f ca="1">IFERROR(__xludf.DUMMYFUNCTION("""COMPUTED_VALUE"""),"UN")</f>
        <v>UN</v>
      </c>
      <c r="F36" s="101" t="str">
        <f ca="1">IFERROR(__xludf.DUMMYFUNCTION("""COMPUTED_VALUE"""),"Aseo")</f>
        <v>Aseo</v>
      </c>
      <c r="G36" s="102">
        <f t="shared" ca="1" si="0"/>
        <v>0</v>
      </c>
      <c r="H36" s="103">
        <f t="shared" ca="1" si="1"/>
        <v>0</v>
      </c>
      <c r="I36" s="104">
        <f t="shared" ca="1" si="2"/>
        <v>0</v>
      </c>
      <c r="J36" s="15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9.5" customHeight="1">
      <c r="A37" s="7" t="str">
        <f ca="1">IFERROR(__xludf.DUMMYFUNCTION("""COMPUTED_VALUE"""),"ti-ing-addf5a00-64be-48da-80f1-f963e13357c9")</f>
        <v>ti-ing-addf5a00-64be-48da-80f1-f963e13357c9</v>
      </c>
      <c r="B37" s="98" t="str">
        <f ca="1">IFERROR(__xludf.DUMMYFUNCTION("""COMPUTED_VALUE"""),"CLORO 5 LTS")</f>
        <v>CLORO 5 LTS</v>
      </c>
      <c r="C37" s="110">
        <v>4</v>
      </c>
      <c r="D37" s="100">
        <f ca="1">IFERROR(__xludf.DUMMYFUNCTION("""COMPUTED_VALUE"""),247)</f>
        <v>247</v>
      </c>
      <c r="E37" s="101" t="str">
        <f ca="1">IFERROR(__xludf.DUMMYFUNCTION("""COMPUTED_VALUE"""),"LT")</f>
        <v>LT</v>
      </c>
      <c r="F37" s="101" t="str">
        <f ca="1">IFERROR(__xludf.DUMMYFUNCTION("""COMPUTED_VALUE"""),"Aseo")</f>
        <v>Aseo</v>
      </c>
      <c r="G37" s="102">
        <f t="shared" ca="1" si="0"/>
        <v>988</v>
      </c>
      <c r="H37" s="103">
        <f t="shared" ca="1" si="1"/>
        <v>187.72</v>
      </c>
      <c r="I37" s="104">
        <f t="shared" ca="1" si="2"/>
        <v>1175.72</v>
      </c>
      <c r="J37" s="15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9.5" customHeight="1">
      <c r="A38" s="7" t="str">
        <f ca="1">IFERROR(__xludf.DUMMYFUNCTION("""COMPUTED_VALUE"""),"ti-ing-04d39eaa-25ae-4aa0-b31a-7ca9c1ec8bc0")</f>
        <v>ti-ing-04d39eaa-25ae-4aa0-b31a-7ca9c1ec8bc0</v>
      </c>
      <c r="B38" s="98" t="str">
        <f ca="1">IFERROR(__xludf.DUMMYFUNCTION("""COMPUTED_VALUE"""),"CLORO GEL")</f>
        <v>CLORO GEL</v>
      </c>
      <c r="C38" s="110">
        <v>0</v>
      </c>
      <c r="D38" s="100">
        <f ca="1">IFERROR(__xludf.DUMMYFUNCTION("""COMPUTED_VALUE"""),1250)</f>
        <v>1250</v>
      </c>
      <c r="E38" s="101" t="str">
        <f ca="1">IFERROR(__xludf.DUMMYFUNCTION("""COMPUTED_VALUE"""),"LT")</f>
        <v>LT</v>
      </c>
      <c r="F38" s="101" t="str">
        <f ca="1">IFERROR(__xludf.DUMMYFUNCTION("""COMPUTED_VALUE"""),"Aseo")</f>
        <v>Aseo</v>
      </c>
      <c r="G38" s="102">
        <f t="shared" ca="1" si="0"/>
        <v>0</v>
      </c>
      <c r="H38" s="103">
        <f t="shared" ca="1" si="1"/>
        <v>0</v>
      </c>
      <c r="I38" s="104">
        <f t="shared" ca="1" si="2"/>
        <v>0</v>
      </c>
      <c r="J38" s="15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9.5" customHeight="1">
      <c r="A39" s="7" t="str">
        <f ca="1">IFERROR(__xludf.DUMMYFUNCTION("""COMPUTED_VALUE"""),"ti-ing-2a9f7a04-ff9b-4634-9f27-edac618856d6")</f>
        <v>ti-ing-2a9f7a04-ff9b-4634-9f27-edac618856d6</v>
      </c>
      <c r="B39" s="98" t="str">
        <f ca="1">IFERROR(__xludf.DUMMYFUNCTION("""COMPUTED_VALUE"""),"DESENGRASANTE 5 lt")</f>
        <v>DESENGRASANTE 5 lt</v>
      </c>
      <c r="C39" s="110">
        <v>5</v>
      </c>
      <c r="D39" s="100">
        <f ca="1">IFERROR(__xludf.DUMMYFUNCTION("""COMPUTED_VALUE"""),658.8)</f>
        <v>658.8</v>
      </c>
      <c r="E39" s="101" t="str">
        <f ca="1">IFERROR(__xludf.DUMMYFUNCTION("""COMPUTED_VALUE"""),"LT")</f>
        <v>LT</v>
      </c>
      <c r="F39" s="101" t="str">
        <f ca="1">IFERROR(__xludf.DUMMYFUNCTION("""COMPUTED_VALUE"""),"Aseo")</f>
        <v>Aseo</v>
      </c>
      <c r="G39" s="102">
        <f t="shared" ca="1" si="0"/>
        <v>3294</v>
      </c>
      <c r="H39" s="103">
        <f t="shared" ca="1" si="1"/>
        <v>625.86</v>
      </c>
      <c r="I39" s="104">
        <f t="shared" ca="1" si="2"/>
        <v>3919.86</v>
      </c>
      <c r="J39" s="15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9.5" customHeight="1">
      <c r="A40" s="7" t="str">
        <f ca="1">IFERROR(__xludf.DUMMYFUNCTION("""COMPUTED_VALUE"""),"ti-ing-e0ae8367-512a-46da-9188-edb6aed9ccac")</f>
        <v>ti-ing-e0ae8367-512a-46da-9188-edb6aed9ccac</v>
      </c>
      <c r="B40" s="98" t="str">
        <f ca="1">IFERROR(__xludf.DUMMYFUNCTION("""COMPUTED_VALUE"""),"ESCOBA")</f>
        <v>ESCOBA</v>
      </c>
      <c r="C40" s="110">
        <v>2</v>
      </c>
      <c r="D40" s="100">
        <f ca="1">IFERROR(__xludf.DUMMYFUNCTION("""COMPUTED_VALUE"""),1250)</f>
        <v>1250</v>
      </c>
      <c r="E40" s="101" t="str">
        <f ca="1">IFERROR(__xludf.DUMMYFUNCTION("""COMPUTED_VALUE"""),"UN")</f>
        <v>UN</v>
      </c>
      <c r="F40" s="101" t="str">
        <f ca="1">IFERROR(__xludf.DUMMYFUNCTION("""COMPUTED_VALUE"""),"Aseo")</f>
        <v>Aseo</v>
      </c>
      <c r="G40" s="102">
        <f t="shared" ca="1" si="0"/>
        <v>2500</v>
      </c>
      <c r="H40" s="103">
        <f t="shared" ca="1" si="1"/>
        <v>475</v>
      </c>
      <c r="I40" s="104">
        <f t="shared" ca="1" si="2"/>
        <v>2975</v>
      </c>
      <c r="J40" s="15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9.5" customHeight="1">
      <c r="A41" s="7" t="str">
        <f ca="1">IFERROR(__xludf.DUMMYFUNCTION("""COMPUTED_VALUE"""),"ti-ing-102eb718-4b52-41a7-9529-6a535c4ceb37")</f>
        <v>ti-ing-102eb718-4b52-41a7-9529-6a535c4ceb37</v>
      </c>
      <c r="B41" s="98" t="str">
        <f ca="1">IFERROR(__xludf.DUMMYFUNCTION("""COMPUTED_VALUE"""),"ESPONJAS AMARILLAS")</f>
        <v>ESPONJAS AMARILLAS</v>
      </c>
      <c r="C41" s="110">
        <v>2</v>
      </c>
      <c r="D41" s="100">
        <f ca="1">IFERROR(__xludf.DUMMYFUNCTION("""COMPUTED_VALUE"""),149)</f>
        <v>149</v>
      </c>
      <c r="E41" s="101" t="str">
        <f ca="1">IFERROR(__xludf.DUMMYFUNCTION("""COMPUTED_VALUE"""),"UN")</f>
        <v>UN</v>
      </c>
      <c r="F41" s="101" t="str">
        <f ca="1">IFERROR(__xludf.DUMMYFUNCTION("""COMPUTED_VALUE"""),"Aseo")</f>
        <v>Aseo</v>
      </c>
      <c r="G41" s="102">
        <f t="shared" ca="1" si="0"/>
        <v>298</v>
      </c>
      <c r="H41" s="103">
        <f t="shared" ca="1" si="1"/>
        <v>56.62</v>
      </c>
      <c r="I41" s="104">
        <f t="shared" ca="1" si="2"/>
        <v>354.62</v>
      </c>
      <c r="J41" s="15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9.5" customHeight="1">
      <c r="A42" s="7" t="str">
        <f ca="1">IFERROR(__xludf.DUMMYFUNCTION("""COMPUTED_VALUE"""),"ti-ing-0c760711-4885-4c8f-b5d5-6615e29d0673")</f>
        <v>ti-ing-0c760711-4885-4c8f-b5d5-6615e29d0673</v>
      </c>
      <c r="B42" s="98" t="str">
        <f ca="1">IFERROR(__xludf.DUMMYFUNCTION("""COMPUTED_VALUE"""),"GUANTES AMARILLOS L")</f>
        <v>GUANTES AMARILLOS L</v>
      </c>
      <c r="C42" s="110">
        <v>0</v>
      </c>
      <c r="D42" s="100">
        <f ca="1">IFERROR(__xludf.DUMMYFUNCTION("""COMPUTED_VALUE"""),495)</f>
        <v>495</v>
      </c>
      <c r="E42" s="101" t="str">
        <f ca="1">IFERROR(__xludf.DUMMYFUNCTION("""COMPUTED_VALUE"""),"UN")</f>
        <v>UN</v>
      </c>
      <c r="F42" s="101" t="str">
        <f ca="1">IFERROR(__xludf.DUMMYFUNCTION("""COMPUTED_VALUE"""),"Aseo")</f>
        <v>Aseo</v>
      </c>
      <c r="G42" s="102">
        <f t="shared" ca="1" si="0"/>
        <v>0</v>
      </c>
      <c r="H42" s="103">
        <f t="shared" ca="1" si="1"/>
        <v>0</v>
      </c>
      <c r="I42" s="104">
        <f t="shared" ca="1" si="2"/>
        <v>0</v>
      </c>
      <c r="J42" s="15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9.5" customHeight="1">
      <c r="A43" s="7" t="str">
        <f ca="1">IFERROR(__xludf.DUMMYFUNCTION("""COMPUTED_VALUE"""),"ti-ing-7fc47597-0e5d-46f8-a43c-94faaa1daf88")</f>
        <v>ti-ing-7fc47597-0e5d-46f8-a43c-94faaa1daf88</v>
      </c>
      <c r="B43" s="98" t="str">
        <f ca="1">IFERROR(__xludf.DUMMYFUNCTION("""COMPUTED_VALUE"""),"GUANTES AMARILLOS M")</f>
        <v>GUANTES AMARILLOS M</v>
      </c>
      <c r="C43" s="110">
        <v>0</v>
      </c>
      <c r="D43" s="100">
        <f ca="1">IFERROR(__xludf.DUMMYFUNCTION("""COMPUTED_VALUE"""),495)</f>
        <v>495</v>
      </c>
      <c r="E43" s="101" t="str">
        <f ca="1">IFERROR(__xludf.DUMMYFUNCTION("""COMPUTED_VALUE"""),"UN")</f>
        <v>UN</v>
      </c>
      <c r="F43" s="101" t="str">
        <f ca="1">IFERROR(__xludf.DUMMYFUNCTION("""COMPUTED_VALUE"""),"Aseo")</f>
        <v>Aseo</v>
      </c>
      <c r="G43" s="102">
        <f t="shared" ca="1" si="0"/>
        <v>0</v>
      </c>
      <c r="H43" s="103">
        <f t="shared" ca="1" si="1"/>
        <v>0</v>
      </c>
      <c r="I43" s="104">
        <f t="shared" ca="1" si="2"/>
        <v>0</v>
      </c>
      <c r="J43" s="15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9.5" customHeight="1">
      <c r="A44" s="7" t="str">
        <f ca="1">IFERROR(__xludf.DUMMYFUNCTION("""COMPUTED_VALUE"""),"ti-ing-fefd1f5b-c7c3-4780-83fd-7e625942b766")</f>
        <v>ti-ing-fefd1f5b-c7c3-4780-83fd-7e625942b766</v>
      </c>
      <c r="B44" s="98" t="str">
        <f ca="1">IFERROR(__xludf.DUMMYFUNCTION("""COMPUTED_VALUE"""),"GUANTES AMARILLOS S")</f>
        <v>GUANTES AMARILLOS S</v>
      </c>
      <c r="C44" s="110">
        <v>0</v>
      </c>
      <c r="D44" s="100">
        <f ca="1">IFERROR(__xludf.DUMMYFUNCTION("""COMPUTED_VALUE"""),450)</f>
        <v>450</v>
      </c>
      <c r="E44" s="101" t="str">
        <f ca="1">IFERROR(__xludf.DUMMYFUNCTION("""COMPUTED_VALUE"""),"UN")</f>
        <v>UN</v>
      </c>
      <c r="F44" s="101" t="str">
        <f ca="1">IFERROR(__xludf.DUMMYFUNCTION("""COMPUTED_VALUE"""),"Aseo")</f>
        <v>Aseo</v>
      </c>
      <c r="G44" s="102">
        <f t="shared" ca="1" si="0"/>
        <v>0</v>
      </c>
      <c r="H44" s="103">
        <f t="shared" ca="1" si="1"/>
        <v>0</v>
      </c>
      <c r="I44" s="104">
        <f t="shared" ca="1" si="2"/>
        <v>0</v>
      </c>
      <c r="J44" s="15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9.5" customHeight="1">
      <c r="A45" s="7" t="str">
        <f ca="1">IFERROR(__xludf.DUMMYFUNCTION("""COMPUTED_VALUE"""),"ti-ing-04fc2068-57ca-42bc-bedb-ceda3e223def")</f>
        <v>ti-ing-04fc2068-57ca-42bc-bedb-ceda3e223def</v>
      </c>
      <c r="B45" s="98" t="str">
        <f ca="1">IFERROR(__xludf.DUMMYFUNCTION("""COMPUTED_VALUE"""),"Guantes De Látex L")</f>
        <v>Guantes De Látex L</v>
      </c>
      <c r="C45" s="110">
        <v>0</v>
      </c>
      <c r="D45" s="100">
        <f ca="1">IFERROR(__xludf.DUMMYFUNCTION("""COMPUTED_VALUE"""),3649.902)</f>
        <v>3649.902</v>
      </c>
      <c r="E45" s="101" t="str">
        <f ca="1">IFERROR(__xludf.DUMMYFUNCTION("""COMPUTED_VALUE"""),"UN")</f>
        <v>UN</v>
      </c>
      <c r="F45" s="101" t="str">
        <f ca="1">IFERROR(__xludf.DUMMYFUNCTION("""COMPUTED_VALUE"""),"Aseo")</f>
        <v>Aseo</v>
      </c>
      <c r="G45" s="102">
        <f t="shared" ca="1" si="0"/>
        <v>0</v>
      </c>
      <c r="H45" s="103">
        <f t="shared" ca="1" si="1"/>
        <v>0</v>
      </c>
      <c r="I45" s="104">
        <f t="shared" ca="1" si="2"/>
        <v>0</v>
      </c>
      <c r="J45" s="15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9.5" customHeight="1">
      <c r="A46" s="7" t="str">
        <f ca="1">IFERROR(__xludf.DUMMYFUNCTION("""COMPUTED_VALUE"""),"ti-ing-3c965e17-4bc3-453d-b74f-c682b54aeade")</f>
        <v>ti-ing-3c965e17-4bc3-453d-b74f-c682b54aeade</v>
      </c>
      <c r="B46" s="98" t="str">
        <f ca="1">IFERROR(__xludf.DUMMYFUNCTION("""COMPUTED_VALUE"""),"Guantes De Látex M")</f>
        <v>Guantes De Látex M</v>
      </c>
      <c r="C46" s="110">
        <v>1</v>
      </c>
      <c r="D46" s="100">
        <f ca="1">IFERROR(__xludf.DUMMYFUNCTION("""COMPUTED_VALUE"""),3650)</f>
        <v>3650</v>
      </c>
      <c r="E46" s="101" t="str">
        <f ca="1">IFERROR(__xludf.DUMMYFUNCTION("""COMPUTED_VALUE"""),"UN")</f>
        <v>UN</v>
      </c>
      <c r="F46" s="101" t="str">
        <f ca="1">IFERROR(__xludf.DUMMYFUNCTION("""COMPUTED_VALUE"""),"Aseo")</f>
        <v>Aseo</v>
      </c>
      <c r="G46" s="102">
        <f t="shared" ca="1" si="0"/>
        <v>3650</v>
      </c>
      <c r="H46" s="103">
        <f t="shared" ca="1" si="1"/>
        <v>693.5</v>
      </c>
      <c r="I46" s="104">
        <f t="shared" ca="1" si="2"/>
        <v>4343.5</v>
      </c>
      <c r="J46" s="15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9.5" customHeight="1">
      <c r="A47" s="7" t="str">
        <f ca="1">IFERROR(__xludf.DUMMYFUNCTION("""COMPUTED_VALUE"""),"ti-ing-a5847069-c85b-4a57-a415-7cf62066dedc")</f>
        <v>ti-ing-a5847069-c85b-4a57-a415-7cf62066dedc</v>
      </c>
      <c r="B47" s="98" t="str">
        <f ca="1">IFERROR(__xludf.DUMMYFUNCTION("""COMPUTED_VALUE"""),"Guantes De Látex S")</f>
        <v>Guantes De Látex S</v>
      </c>
      <c r="C47" s="110">
        <v>0</v>
      </c>
      <c r="D47" s="100">
        <f ca="1">IFERROR(__xludf.DUMMYFUNCTION("""COMPUTED_VALUE"""),3650)</f>
        <v>3650</v>
      </c>
      <c r="E47" s="101" t="str">
        <f ca="1">IFERROR(__xludf.DUMMYFUNCTION("""COMPUTED_VALUE"""),"un")</f>
        <v>un</v>
      </c>
      <c r="F47" s="101" t="str">
        <f ca="1">IFERROR(__xludf.DUMMYFUNCTION("""COMPUTED_VALUE"""),"Aseo")</f>
        <v>Aseo</v>
      </c>
      <c r="G47" s="102">
        <f t="shared" ca="1" si="0"/>
        <v>0</v>
      </c>
      <c r="H47" s="103">
        <f t="shared" ca="1" si="1"/>
        <v>0</v>
      </c>
      <c r="I47" s="104">
        <f t="shared" ca="1" si="2"/>
        <v>0</v>
      </c>
      <c r="J47" s="15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9.5" customHeight="1">
      <c r="A48" s="7" t="str">
        <f ca="1">IFERROR(__xludf.DUMMYFUNCTION("""COMPUTED_VALUE"""),"ti-ing-90438c34-c1c8-455a-8b38-f56ab57f0e76")</f>
        <v>ti-ing-90438c34-c1c8-455a-8b38-f56ab57f0e76</v>
      </c>
      <c r="B48" s="98" t="str">
        <f ca="1">IFERROR(__xludf.DUMMYFUNCTION("""COMPUTED_VALUE"""),"LAVALOZAS")</f>
        <v>LAVALOZAS</v>
      </c>
      <c r="C48" s="110">
        <v>4.0999999999999996</v>
      </c>
      <c r="D48" s="100">
        <f ca="1">IFERROR(__xludf.DUMMYFUNCTION("""COMPUTED_VALUE"""),381.6)</f>
        <v>381.6</v>
      </c>
      <c r="E48" s="101" t="str">
        <f ca="1">IFERROR(__xludf.DUMMYFUNCTION("""COMPUTED_VALUE"""),"LT")</f>
        <v>LT</v>
      </c>
      <c r="F48" s="101" t="str">
        <f ca="1">IFERROR(__xludf.DUMMYFUNCTION("""COMPUTED_VALUE"""),"Aseo")</f>
        <v>Aseo</v>
      </c>
      <c r="G48" s="102">
        <f t="shared" ca="1" si="0"/>
        <v>1564.56</v>
      </c>
      <c r="H48" s="103">
        <f t="shared" ca="1" si="1"/>
        <v>297.26639999999998</v>
      </c>
      <c r="I48" s="104">
        <f t="shared" ca="1" si="2"/>
        <v>1861.8263999999999</v>
      </c>
      <c r="J48" s="15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9.5" customHeight="1">
      <c r="A49" s="7" t="str">
        <f ca="1">IFERROR(__xludf.DUMMYFUNCTION("""COMPUTED_VALUE"""),"ti-ing-096ebcd5-904f-4e35-9378-181fe59b0c31")</f>
        <v>ti-ing-096ebcd5-904f-4e35-9378-181fe59b0c31</v>
      </c>
      <c r="B49" s="98" t="str">
        <f ca="1">IFERROR(__xludf.DUMMYFUNCTION("""COMPUTED_VALUE"""),"Limpiador Crema CIF 750g")</f>
        <v>Limpiador Crema CIF 750g</v>
      </c>
      <c r="C49" s="110">
        <v>0</v>
      </c>
      <c r="D49" s="100">
        <f ca="1">IFERROR(__xludf.DUMMYFUNCTION("""COMPUTED_VALUE"""),1522)</f>
        <v>1522</v>
      </c>
      <c r="E49" s="101" t="str">
        <f ca="1">IFERROR(__xludf.DUMMYFUNCTION("""COMPUTED_VALUE"""),"UN")</f>
        <v>UN</v>
      </c>
      <c r="F49" s="101" t="str">
        <f ca="1">IFERROR(__xludf.DUMMYFUNCTION("""COMPUTED_VALUE"""),"Aseo")</f>
        <v>Aseo</v>
      </c>
      <c r="G49" s="102">
        <f t="shared" ca="1" si="0"/>
        <v>0</v>
      </c>
      <c r="H49" s="103">
        <f t="shared" ca="1" si="1"/>
        <v>0</v>
      </c>
      <c r="I49" s="104">
        <f t="shared" ca="1" si="2"/>
        <v>0</v>
      </c>
      <c r="J49" s="15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9.5" customHeight="1">
      <c r="A50" s="7" t="str">
        <f ca="1">IFERROR(__xludf.DUMMYFUNCTION("""COMPUTED_VALUE"""),"ti-ing-87e4c4d7-978b-4106-9ff1-dda60dd75d70")</f>
        <v>ti-ing-87e4c4d7-978b-4106-9ff1-dda60dd75d70</v>
      </c>
      <c r="B50" s="98" t="str">
        <f ca="1">IFERROR(__xludf.DUMMYFUNCTION("""COMPUTED_VALUE"""),"LIMPIAPISOS")</f>
        <v>LIMPIAPISOS</v>
      </c>
      <c r="C50" s="110">
        <v>0</v>
      </c>
      <c r="D50" s="100">
        <f ca="1">IFERROR(__xludf.DUMMYFUNCTION("""COMPUTED_VALUE"""),284.1160494)</f>
        <v>284.11604940000001</v>
      </c>
      <c r="E50" s="101" t="str">
        <f ca="1">IFERROR(__xludf.DUMMYFUNCTION("""COMPUTED_VALUE"""),"LT")</f>
        <v>LT</v>
      </c>
      <c r="F50" s="101" t="str">
        <f ca="1">IFERROR(__xludf.DUMMYFUNCTION("""COMPUTED_VALUE"""),"Aseo")</f>
        <v>Aseo</v>
      </c>
      <c r="G50" s="102">
        <f t="shared" ca="1" si="0"/>
        <v>0</v>
      </c>
      <c r="H50" s="103">
        <f t="shared" ca="1" si="1"/>
        <v>0</v>
      </c>
      <c r="I50" s="104">
        <f t="shared" ca="1" si="2"/>
        <v>0</v>
      </c>
      <c r="J50" s="15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9.5" customHeight="1">
      <c r="A51" s="7" t="str">
        <f ca="1">IFERROR(__xludf.DUMMYFUNCTION("""COMPUTED_VALUE"""),"ti-ing-64301c86-8657-4a60-9738-54b3f81ead5a")</f>
        <v>ti-ing-64301c86-8657-4a60-9738-54b3f81ead5a</v>
      </c>
      <c r="B51" s="98" t="str">
        <f ca="1">IFERROR(__xludf.DUMMYFUNCTION("""COMPUTED_VALUE"""),"MALLAS DE PELO (100un)")</f>
        <v>MALLAS DE PELO (100un)</v>
      </c>
      <c r="C51" s="110">
        <v>0</v>
      </c>
      <c r="D51" s="100">
        <f ca="1">IFERROR(__xludf.DUMMYFUNCTION("""COMPUTED_VALUE"""),1529)</f>
        <v>1529</v>
      </c>
      <c r="E51" s="101" t="str">
        <f ca="1">IFERROR(__xludf.DUMMYFUNCTION("""COMPUTED_VALUE"""),"UN")</f>
        <v>UN</v>
      </c>
      <c r="F51" s="101" t="str">
        <f ca="1">IFERROR(__xludf.DUMMYFUNCTION("""COMPUTED_VALUE"""),"Aseo")</f>
        <v>Aseo</v>
      </c>
      <c r="G51" s="102">
        <f t="shared" ca="1" si="0"/>
        <v>0</v>
      </c>
      <c r="H51" s="103">
        <f t="shared" ca="1" si="1"/>
        <v>0</v>
      </c>
      <c r="I51" s="104">
        <f t="shared" ca="1" si="2"/>
        <v>0</v>
      </c>
      <c r="J51" s="15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9.5" customHeight="1">
      <c r="A52" s="7" t="str">
        <f ca="1">IFERROR(__xludf.DUMMYFUNCTION("""COMPUTED_VALUE"""),"ti-ing-242bf6e9-d5c5-47e7-8f0a-88f3cbbcc3af")</f>
        <v>ti-ing-242bf6e9-d5c5-47e7-8f0a-88f3cbbcc3af</v>
      </c>
      <c r="B52" s="98" t="str">
        <f ca="1">IFERROR(__xludf.DUMMYFUNCTION("""COMPUTED_VALUE"""),"Mascarillas")</f>
        <v>Mascarillas</v>
      </c>
      <c r="C52" s="110">
        <v>0</v>
      </c>
      <c r="D52" s="100">
        <f ca="1">IFERROR(__xludf.DUMMYFUNCTION("""COMPUTED_VALUE"""),1350)</f>
        <v>1350</v>
      </c>
      <c r="E52" s="101" t="str">
        <f ca="1">IFERROR(__xludf.DUMMYFUNCTION("""COMPUTED_VALUE"""),"UN")</f>
        <v>UN</v>
      </c>
      <c r="F52" s="101" t="str">
        <f ca="1">IFERROR(__xludf.DUMMYFUNCTION("""COMPUTED_VALUE"""),"Aseo")</f>
        <v>Aseo</v>
      </c>
      <c r="G52" s="102">
        <f t="shared" ca="1" si="0"/>
        <v>0</v>
      </c>
      <c r="H52" s="103">
        <f t="shared" ca="1" si="1"/>
        <v>0</v>
      </c>
      <c r="I52" s="104">
        <f t="shared" ca="1" si="2"/>
        <v>0</v>
      </c>
      <c r="J52" s="15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9.5" customHeight="1">
      <c r="A53" s="7" t="str">
        <f ca="1">IFERROR(__xludf.DUMMYFUNCTION("""COMPUTED_VALUE"""),"ti-ing-313073f4-b1b1-442d-b077-951f3ce67b06")</f>
        <v>ti-ing-313073f4-b1b1-442d-b077-951f3ce67b06</v>
      </c>
      <c r="B53" s="98" t="str">
        <f ca="1">IFERROR(__xludf.DUMMYFUNCTION("""COMPUTED_VALUE"""),"NOVA Unidad")</f>
        <v>NOVA Unidad</v>
      </c>
      <c r="C53" s="110">
        <v>2</v>
      </c>
      <c r="D53" s="100">
        <f ca="1">IFERROR(__xludf.DUMMYFUNCTION("""COMPUTED_VALUE"""),2735)</f>
        <v>2735</v>
      </c>
      <c r="E53" s="101" t="str">
        <f ca="1">IFERROR(__xludf.DUMMYFUNCTION("""COMPUTED_VALUE"""),"UN")</f>
        <v>UN</v>
      </c>
      <c r="F53" s="101" t="str">
        <f ca="1">IFERROR(__xludf.DUMMYFUNCTION("""COMPUTED_VALUE"""),"Aseo")</f>
        <v>Aseo</v>
      </c>
      <c r="G53" s="102">
        <f t="shared" ca="1" si="0"/>
        <v>5470</v>
      </c>
      <c r="H53" s="103">
        <f t="shared" ca="1" si="1"/>
        <v>1039.3</v>
      </c>
      <c r="I53" s="104">
        <f t="shared" ca="1" si="2"/>
        <v>6509.3</v>
      </c>
      <c r="J53" s="15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9.5" customHeight="1">
      <c r="A54" s="7" t="str">
        <f ca="1">IFERROR(__xludf.DUMMYFUNCTION("""COMPUTED_VALUE"""),"ti-ing-f2a85135-486f-455a-9223-1092ccd4e7cd")</f>
        <v>ti-ing-f2a85135-486f-455a-9223-1092ccd4e7cd</v>
      </c>
      <c r="B54" s="98" t="str">
        <f ca="1">IFERROR(__xludf.DUMMYFUNCTION("""COMPUTED_VALUE"""),"PALA")</f>
        <v>PALA</v>
      </c>
      <c r="C54" s="110">
        <v>2</v>
      </c>
      <c r="D54" s="100">
        <f ca="1">IFERROR(__xludf.DUMMYFUNCTION("""COMPUTED_VALUE"""),1165)</f>
        <v>1165</v>
      </c>
      <c r="E54" s="101" t="str">
        <f ca="1">IFERROR(__xludf.DUMMYFUNCTION("""COMPUTED_VALUE"""),"UN")</f>
        <v>UN</v>
      </c>
      <c r="F54" s="101" t="str">
        <f ca="1">IFERROR(__xludf.DUMMYFUNCTION("""COMPUTED_VALUE"""),"Aseo")</f>
        <v>Aseo</v>
      </c>
      <c r="G54" s="102">
        <f t="shared" ca="1" si="0"/>
        <v>2330</v>
      </c>
      <c r="H54" s="103">
        <f t="shared" ca="1" si="1"/>
        <v>442.7</v>
      </c>
      <c r="I54" s="104">
        <f t="shared" ca="1" si="2"/>
        <v>2772.7</v>
      </c>
      <c r="J54" s="15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9.5" customHeight="1">
      <c r="A55" s="7" t="str">
        <f ca="1">IFERROR(__xludf.DUMMYFUNCTION("""COMPUTED_VALUE"""),"ti-ing-a496bcbe-0906-4bd7-90be-10085697981e")</f>
        <v>ti-ing-a496bcbe-0906-4bd7-90be-10085697981e</v>
      </c>
      <c r="B55" s="98" t="str">
        <f ca="1">IFERROR(__xludf.DUMMYFUNCTION("""COMPUTED_VALUE"""),"Paño microfibra")</f>
        <v>Paño microfibra</v>
      </c>
      <c r="C55" s="110">
        <v>4</v>
      </c>
      <c r="D55" s="100">
        <f ca="1">IFERROR(__xludf.DUMMYFUNCTION("""COMPUTED_VALUE"""),650)</f>
        <v>650</v>
      </c>
      <c r="E55" s="101" t="str">
        <f ca="1">IFERROR(__xludf.DUMMYFUNCTION("""COMPUTED_VALUE"""),"UN")</f>
        <v>UN</v>
      </c>
      <c r="F55" s="101" t="str">
        <f ca="1">IFERROR(__xludf.DUMMYFUNCTION("""COMPUTED_VALUE"""),"Aseo")</f>
        <v>Aseo</v>
      </c>
      <c r="G55" s="102">
        <f t="shared" ca="1" si="0"/>
        <v>2600</v>
      </c>
      <c r="H55" s="103">
        <f t="shared" ca="1" si="1"/>
        <v>494</v>
      </c>
      <c r="I55" s="104">
        <f t="shared" ca="1" si="2"/>
        <v>3094</v>
      </c>
      <c r="J55" s="15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9.5" customHeight="1">
      <c r="A56" s="7" t="str">
        <f ca="1">IFERROR(__xludf.DUMMYFUNCTION("""COMPUTED_VALUE"""),"ti-ing-71ad4a79-597d-4cd3-85f8-8c113261d29e")</f>
        <v>ti-ing-71ad4a79-597d-4cd3-85f8-8c113261d29e</v>
      </c>
      <c r="B56" s="98" t="str">
        <f ca="1">IFERROR(__xludf.DUMMYFUNCTION("""COMPUTED_VALUE"""),"PAÑOS AMARILLOS")</f>
        <v>PAÑOS AMARILLOS</v>
      </c>
      <c r="C56" s="110">
        <v>0</v>
      </c>
      <c r="D56" s="100">
        <f ca="1">IFERROR(__xludf.DUMMYFUNCTION("""COMPUTED_VALUE"""),185)</f>
        <v>185</v>
      </c>
      <c r="E56" s="101" t="str">
        <f ca="1">IFERROR(__xludf.DUMMYFUNCTION("""COMPUTED_VALUE"""),"UN")</f>
        <v>UN</v>
      </c>
      <c r="F56" s="101" t="str">
        <f ca="1">IFERROR(__xludf.DUMMYFUNCTION("""COMPUTED_VALUE"""),"Aseo")</f>
        <v>Aseo</v>
      </c>
      <c r="G56" s="102">
        <f t="shared" ca="1" si="0"/>
        <v>0</v>
      </c>
      <c r="H56" s="103">
        <f t="shared" ca="1" si="1"/>
        <v>0</v>
      </c>
      <c r="I56" s="104">
        <f t="shared" ca="1" si="2"/>
        <v>0</v>
      </c>
      <c r="J56" s="15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9.5" customHeight="1">
      <c r="A57" s="7" t="str">
        <f ca="1">IFERROR(__xludf.DUMMYFUNCTION("""COMPUTED_VALUE"""),"ti-ing-dcad707d-6012-450f-8e1d-b50e4ae44b10")</f>
        <v>ti-ing-dcad707d-6012-450f-8e1d-b50e4ae44b10</v>
      </c>
      <c r="B57" s="98" t="str">
        <f ca="1">IFERROR(__xludf.DUMMYFUNCTION("""COMPUTED_VALUE"""),"TRAPOS BLANCOS")</f>
        <v>TRAPOS BLANCOS</v>
      </c>
      <c r="C57" s="110">
        <v>4</v>
      </c>
      <c r="D57" s="100">
        <f ca="1">IFERROR(__xludf.DUMMYFUNCTION("""COMPUTED_VALUE"""),789)</f>
        <v>789</v>
      </c>
      <c r="E57" s="101" t="str">
        <f ca="1">IFERROR(__xludf.DUMMYFUNCTION("""COMPUTED_VALUE"""),"UN")</f>
        <v>UN</v>
      </c>
      <c r="F57" s="101" t="str">
        <f ca="1">IFERROR(__xludf.DUMMYFUNCTION("""COMPUTED_VALUE"""),"Aseo")</f>
        <v>Aseo</v>
      </c>
      <c r="G57" s="102">
        <f t="shared" ca="1" si="0"/>
        <v>3156</v>
      </c>
      <c r="H57" s="103">
        <f t="shared" ca="1" si="1"/>
        <v>599.64</v>
      </c>
      <c r="I57" s="104">
        <f t="shared" ca="1" si="2"/>
        <v>3755.64</v>
      </c>
      <c r="J57" s="15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9.5" customHeight="1">
      <c r="A58" s="7" t="str">
        <f ca="1">IFERROR(__xludf.DUMMYFUNCTION("""COMPUTED_VALUE"""),"ti-ing-46619eaa-21aa-41d5-931f-97aa9149b051")</f>
        <v>ti-ing-46619eaa-21aa-41d5-931f-97aa9149b051</v>
      </c>
      <c r="B58" s="98" t="str">
        <f ca="1">IFERROR(__xludf.DUMMYFUNCTION("""COMPUTED_VALUE"""),"VIRUTILLA VERDE")</f>
        <v>VIRUTILLA VERDE</v>
      </c>
      <c r="C58" s="110">
        <v>3</v>
      </c>
      <c r="D58" s="100">
        <f ca="1">IFERROR(__xludf.DUMMYFUNCTION("""COMPUTED_VALUE"""),890)</f>
        <v>890</v>
      </c>
      <c r="E58" s="101" t="str">
        <f ca="1">IFERROR(__xludf.DUMMYFUNCTION("""COMPUTED_VALUE"""),"UN")</f>
        <v>UN</v>
      </c>
      <c r="F58" s="101" t="str">
        <f ca="1">IFERROR(__xludf.DUMMYFUNCTION("""COMPUTED_VALUE"""),"Aseo")</f>
        <v>Aseo</v>
      </c>
      <c r="G58" s="102">
        <f t="shared" ca="1" si="0"/>
        <v>2670</v>
      </c>
      <c r="H58" s="103">
        <f t="shared" ca="1" si="1"/>
        <v>507.3</v>
      </c>
      <c r="I58" s="104">
        <f t="shared" ca="1" si="2"/>
        <v>3177.3</v>
      </c>
      <c r="J58" s="15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9.5" customHeight="1">
      <c r="A59" s="7" t="str">
        <f ca="1">IFERROR(__xludf.DUMMYFUNCTION("""COMPUTED_VALUE"""),"ti-ing-f9071122-333f-445e-9d6e-66ae8844a033")</f>
        <v>ti-ing-f9071122-333f-445e-9d6e-66ae8844a033</v>
      </c>
      <c r="B59" s="98" t="str">
        <f ca="1">IFERROR(__xludf.DUMMYFUNCTION("""COMPUTED_VALUE"""),"Jamon Ahumado kg")</f>
        <v>Jamon Ahumado kg</v>
      </c>
      <c r="C59" s="110">
        <v>0.9</v>
      </c>
      <c r="D59" s="100">
        <f ca="1">IFERROR(__xludf.DUMMYFUNCTION("""COMPUTED_VALUE"""),5034.167)</f>
        <v>5034.1670000000004</v>
      </c>
      <c r="E59" s="101" t="str">
        <f ca="1">IFERROR(__xludf.DUMMYFUNCTION("""COMPUTED_VALUE"""),"UN")</f>
        <v>UN</v>
      </c>
      <c r="F59" s="101" t="str">
        <f ca="1">IFERROR(__xludf.DUMMYFUNCTION("""COMPUTED_VALUE"""),"Carnes y Aves")</f>
        <v>Carnes y Aves</v>
      </c>
      <c r="G59" s="102">
        <f t="shared" ca="1" si="0"/>
        <v>4530.7503000000006</v>
      </c>
      <c r="H59" s="103">
        <f t="shared" ca="1" si="1"/>
        <v>860.84255700000017</v>
      </c>
      <c r="I59" s="104">
        <f t="shared" ca="1" si="2"/>
        <v>5391.5928570000005</v>
      </c>
      <c r="J59" s="15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9.5" customHeight="1">
      <c r="A60" s="7"/>
      <c r="B60" s="98" t="str">
        <f ca="1">IFERROR(__xludf.DUMMYFUNCTION("""COMPUTED_VALUE"""),"Bolsa celofán 20x30 pan pita")</f>
        <v>Bolsa celofán 20x30 pan pita</v>
      </c>
      <c r="C60" s="110">
        <v>88</v>
      </c>
      <c r="D60" s="100">
        <f ca="1">IFERROR(__xludf.DUMMYFUNCTION("""COMPUTED_VALUE"""),24.65)</f>
        <v>24.65</v>
      </c>
      <c r="E60" s="101" t="str">
        <f ca="1">IFERROR(__xludf.DUMMYFUNCTION("""COMPUTED_VALUE"""),"UN")</f>
        <v>UN</v>
      </c>
      <c r="F60" s="101" t="str">
        <f ca="1">IFERROR(__xludf.DUMMYFUNCTION("""COMPUTED_VALUE"""),"Desechables")</f>
        <v>Desechables</v>
      </c>
      <c r="G60" s="102">
        <f t="shared" ca="1" si="0"/>
        <v>2169.1999999999998</v>
      </c>
      <c r="H60" s="103">
        <f t="shared" ca="1" si="1"/>
        <v>412.14799999999997</v>
      </c>
      <c r="I60" s="104">
        <f t="shared" ca="1" si="2"/>
        <v>2581.348</v>
      </c>
      <c r="J60" s="15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9.5" customHeight="1">
      <c r="A61" s="7" t="str">
        <f ca="1">IFERROR(__xludf.DUMMYFUNCTION("""COMPUTED_VALUE"""),"ti-ing-6fba2ae8-07f5-46a5-bd35-56052fcc4490")</f>
        <v>ti-ing-6fba2ae8-07f5-46a5-bd35-56052fcc4490</v>
      </c>
      <c r="B61" s="98" t="str">
        <f ca="1">IFERROR(__xludf.DUMMYFUNCTION("""COMPUTED_VALUE"""),"Bolsa Celofan 25x35 galletas")</f>
        <v>Bolsa Celofan 25x35 galletas</v>
      </c>
      <c r="C61" s="110">
        <v>113</v>
      </c>
      <c r="D61" s="100">
        <f ca="1">IFERROR(__xludf.DUMMYFUNCTION("""COMPUTED_VALUE"""),16.05048)</f>
        <v>16.05048</v>
      </c>
      <c r="E61" s="101" t="str">
        <f ca="1">IFERROR(__xludf.DUMMYFUNCTION("""COMPUTED_VALUE"""),"UN")</f>
        <v>UN</v>
      </c>
      <c r="F61" s="101" t="str">
        <f ca="1">IFERROR(__xludf.DUMMYFUNCTION("""COMPUTED_VALUE"""),"Desechables")</f>
        <v>Desechables</v>
      </c>
      <c r="G61" s="102">
        <f t="shared" ca="1" si="0"/>
        <v>1813.70424</v>
      </c>
      <c r="H61" s="103">
        <f t="shared" ca="1" si="1"/>
        <v>344.60380559999999</v>
      </c>
      <c r="I61" s="104">
        <f t="shared" ca="1" si="2"/>
        <v>2158.3080455999998</v>
      </c>
      <c r="J61" s="15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9.5" customHeight="1">
      <c r="A62" s="7" t="str">
        <f ca="1">IFERROR(__xludf.DUMMYFUNCTION("""COMPUTED_VALUE"""),"ti-ing-06cc5946-5a66-4bb1-8e44-b121dcb48ae3")</f>
        <v>ti-ing-06cc5946-5a66-4bb1-8e44-b121dcb48ae3</v>
      </c>
      <c r="B62" s="98" t="str">
        <f ca="1">IFERROR(__xludf.DUMMYFUNCTION("""COMPUTED_VALUE"""),"Bolsa Celofan 25x40 queque")</f>
        <v>Bolsa Celofan 25x40 queque</v>
      </c>
      <c r="C62" s="110">
        <v>0</v>
      </c>
      <c r="D62" s="100">
        <f ca="1">IFERROR(__xludf.DUMMYFUNCTION("""COMPUTED_VALUE"""),19.7633)</f>
        <v>19.763300000000001</v>
      </c>
      <c r="E62" s="101" t="str">
        <f ca="1">IFERROR(__xludf.DUMMYFUNCTION("""COMPUTED_VALUE"""),"UN")</f>
        <v>UN</v>
      </c>
      <c r="F62" s="101" t="str">
        <f ca="1">IFERROR(__xludf.DUMMYFUNCTION("""COMPUTED_VALUE"""),"Desechables")</f>
        <v>Desechables</v>
      </c>
      <c r="G62" s="102">
        <f t="shared" ca="1" si="0"/>
        <v>0</v>
      </c>
      <c r="H62" s="103">
        <f t="shared" ca="1" si="1"/>
        <v>0</v>
      </c>
      <c r="I62" s="104">
        <f t="shared" ca="1" si="2"/>
        <v>0</v>
      </c>
      <c r="J62" s="15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9.5" customHeight="1">
      <c r="A63" s="7" t="str">
        <f ca="1">IFERROR(__xludf.DUMMYFUNCTION("""COMPUTED_VALUE"""),"ti-ing-8519b2d3-e77a-4133-a7ab-8a7b894d282e")</f>
        <v>ti-ing-8519b2d3-e77a-4133-a7ab-8a7b894d282e</v>
      </c>
      <c r="B63" s="98" t="str">
        <f ca="1">IFERROR(__xludf.DUMMYFUNCTION("""COMPUTED_VALUE"""),"Bolsa Celofan 35X28 pan hamburguesa")</f>
        <v>Bolsa Celofan 35X28 pan hamburguesa</v>
      </c>
      <c r="C63" s="110">
        <v>0</v>
      </c>
      <c r="D63" s="100">
        <f ca="1">IFERROR(__xludf.DUMMYFUNCTION("""COMPUTED_VALUE"""),15.05)</f>
        <v>15.05</v>
      </c>
      <c r="E63" s="101" t="str">
        <f ca="1">IFERROR(__xludf.DUMMYFUNCTION("""COMPUTED_VALUE"""),"UN")</f>
        <v>UN</v>
      </c>
      <c r="F63" s="101" t="str">
        <f ca="1">IFERROR(__xludf.DUMMYFUNCTION("""COMPUTED_VALUE"""),"Desechables")</f>
        <v>Desechables</v>
      </c>
      <c r="G63" s="102">
        <f t="shared" ca="1" si="0"/>
        <v>0</v>
      </c>
      <c r="H63" s="103">
        <f t="shared" ca="1" si="1"/>
        <v>0</v>
      </c>
      <c r="I63" s="104">
        <f t="shared" ca="1" si="2"/>
        <v>0</v>
      </c>
      <c r="J63" s="15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9.5" customHeight="1">
      <c r="A64" s="7" t="str">
        <f ca="1">IFERROR(__xludf.DUMMYFUNCTION("""COMPUTED_VALUE"""),"ti-ing-2271cf72-6c56-4026-9063-c17ad7b52106")</f>
        <v>ti-ing-2271cf72-6c56-4026-9063-c17ad7b52106</v>
      </c>
      <c r="B64" s="98" t="str">
        <f ca="1">IFERROR(__xludf.DUMMYFUNCTION("""COMPUTED_VALUE"""),"Bolsa Celofan 40x30 pan mesa")</f>
        <v>Bolsa Celofan 40x30 pan mesa</v>
      </c>
      <c r="C64" s="110">
        <v>0</v>
      </c>
      <c r="D64" s="111">
        <f ca="1">IFERROR(__xludf.DUMMYFUNCTION("""COMPUTED_VALUE"""),20)</f>
        <v>20</v>
      </c>
      <c r="E64" s="101" t="str">
        <f ca="1">IFERROR(__xludf.DUMMYFUNCTION("""COMPUTED_VALUE"""),"UN")</f>
        <v>UN</v>
      </c>
      <c r="F64" s="101" t="str">
        <f ca="1">IFERROR(__xludf.DUMMYFUNCTION("""COMPUTED_VALUE"""),"Desechables")</f>
        <v>Desechables</v>
      </c>
      <c r="G64" s="102">
        <f t="shared" ca="1" si="0"/>
        <v>0</v>
      </c>
      <c r="H64" s="103">
        <f t="shared" ca="1" si="1"/>
        <v>0</v>
      </c>
      <c r="I64" s="104">
        <f t="shared" ca="1" si="2"/>
        <v>0</v>
      </c>
      <c r="J64" s="15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9.5" customHeight="1">
      <c r="A65" s="7" t="str">
        <f ca="1">IFERROR(__xludf.DUMMYFUNCTION("""COMPUTED_VALUE"""),"ti-ing-0a9a223c-91cc-4925-ac2b-84da066635ff")</f>
        <v>ti-ing-0a9a223c-91cc-4925-ac2b-84da066635ff</v>
      </c>
      <c r="B65" s="98" t="str">
        <f ca="1">IFERROR(__xludf.DUMMYFUNCTION("""COMPUTED_VALUE"""),"Bolsa celofan c/fondo 12x30x8")</f>
        <v>Bolsa celofan c/fondo 12x30x8</v>
      </c>
      <c r="C65" s="110">
        <v>61</v>
      </c>
      <c r="D65" s="100">
        <f ca="1">IFERROR(__xludf.DUMMYFUNCTION("""COMPUTED_VALUE"""),167.04)</f>
        <v>167.04</v>
      </c>
      <c r="E65" s="101" t="str">
        <f ca="1">IFERROR(__xludf.DUMMYFUNCTION("""COMPUTED_VALUE"""),"UN")</f>
        <v>UN</v>
      </c>
      <c r="F65" s="101" t="str">
        <f ca="1">IFERROR(__xludf.DUMMYFUNCTION("""COMPUTED_VALUE"""),"Desechables")</f>
        <v>Desechables</v>
      </c>
      <c r="G65" s="102">
        <f t="shared" ca="1" si="0"/>
        <v>10189.439999999999</v>
      </c>
      <c r="H65" s="103">
        <f t="shared" ca="1" si="1"/>
        <v>1935.9935999999998</v>
      </c>
      <c r="I65" s="104">
        <f t="shared" ca="1" si="2"/>
        <v>12125.433599999998</v>
      </c>
      <c r="J65" s="15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9.5" customHeight="1">
      <c r="A66" s="7" t="str">
        <f ca="1">IFERROR(__xludf.DUMMYFUNCTION("""COMPUTED_VALUE"""),"ti-ing-8301d424-ba41-4d4d-b782-078e297be889")</f>
        <v>ti-ing-8301d424-ba41-4d4d-b782-078e297be889</v>
      </c>
      <c r="B66" s="98" t="str">
        <f ca="1">IFERROR(__xludf.DUMMYFUNCTION("""COMPUTED_VALUE"""),"Bolsa celofan c/fondo 7x25x5")</f>
        <v>Bolsa celofan c/fondo 7x25x5</v>
      </c>
      <c r="C66" s="110">
        <v>109</v>
      </c>
      <c r="D66" s="100">
        <f ca="1">IFERROR(__xludf.DUMMYFUNCTION("""COMPUTED_VALUE"""),104.5035903)</f>
        <v>104.5035903</v>
      </c>
      <c r="E66" s="101" t="str">
        <f ca="1">IFERROR(__xludf.DUMMYFUNCTION("""COMPUTED_VALUE"""),"UN")</f>
        <v>UN</v>
      </c>
      <c r="F66" s="101" t="str">
        <f ca="1">IFERROR(__xludf.DUMMYFUNCTION("""COMPUTED_VALUE"""),"Desechables")</f>
        <v>Desechables</v>
      </c>
      <c r="G66" s="102">
        <f t="shared" ca="1" si="0"/>
        <v>11390.891342700001</v>
      </c>
      <c r="H66" s="103">
        <f t="shared" ca="1" si="1"/>
        <v>2164.2693551130001</v>
      </c>
      <c r="I66" s="104">
        <f t="shared" ca="1" si="2"/>
        <v>13555.160697813</v>
      </c>
      <c r="J66" s="15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9.5" customHeight="1">
      <c r="A67" s="7" t="str">
        <f ca="1">IFERROR(__xludf.DUMMYFUNCTION("""COMPUTED_VALUE"""),"ti-ing-1189ed45-76f6-42fd-938b-e7dc8ccedf39")</f>
        <v>ti-ing-1189ed45-76f6-42fd-938b-e7dc8ccedf39</v>
      </c>
      <c r="B67" s="98" t="str">
        <f ca="1">IFERROR(__xludf.DUMMYFUNCTION("""COMPUTED_VALUE"""),"Bolsa Transparente de Pan (80x40)  10k")</f>
        <v>Bolsa Transparente de Pan (80x40)  10k</v>
      </c>
      <c r="C67" s="110">
        <v>1</v>
      </c>
      <c r="D67" s="100">
        <f ca="1">IFERROR(__xludf.DUMMYFUNCTION("""COMPUTED_VALUE"""),34647)</f>
        <v>34647</v>
      </c>
      <c r="E67" s="101" t="str">
        <f ca="1">IFERROR(__xludf.DUMMYFUNCTION("""COMPUTED_VALUE"""),"UN")</f>
        <v>UN</v>
      </c>
      <c r="F67" s="101" t="str">
        <f ca="1">IFERROR(__xludf.DUMMYFUNCTION("""COMPUTED_VALUE"""),"Desechables")</f>
        <v>Desechables</v>
      </c>
      <c r="G67" s="102">
        <f t="shared" ca="1" si="0"/>
        <v>34647</v>
      </c>
      <c r="H67" s="103">
        <f t="shared" ca="1" si="1"/>
        <v>6582.93</v>
      </c>
      <c r="I67" s="104">
        <f t="shared" ca="1" si="2"/>
        <v>41229.93</v>
      </c>
      <c r="J67" s="15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9.5" customHeight="1">
      <c r="A68" s="7" t="str">
        <f ca="1">IFERROR(__xludf.DUMMYFUNCTION("""COMPUTED_VALUE"""),"ti-ing-3f369fe5-7a8e-404f-b4c8-6069d9081623")</f>
        <v>ti-ing-3f369fe5-7a8e-404f-b4c8-6069d9081623</v>
      </c>
      <c r="B68" s="98" t="str">
        <f ca="1">IFERROR(__xludf.DUMMYFUNCTION("""COMPUTED_VALUE"""),"BOLSAS PORCIONADORAS DE PULPA (5 kilos)")</f>
        <v>BOLSAS PORCIONADORAS DE PULPA (5 kilos)</v>
      </c>
      <c r="C68" s="110">
        <v>1</v>
      </c>
      <c r="D68" s="100">
        <f ca="1">IFERROR(__xludf.DUMMYFUNCTION("""COMPUTED_VALUE"""),17850)</f>
        <v>17850</v>
      </c>
      <c r="E68" s="101" t="str">
        <f ca="1">IFERROR(__xludf.DUMMYFUNCTION("""COMPUTED_VALUE"""),"UN")</f>
        <v>UN</v>
      </c>
      <c r="F68" s="101" t="str">
        <f ca="1">IFERROR(__xludf.DUMMYFUNCTION("""COMPUTED_VALUE"""),"Desechables")</f>
        <v>Desechables</v>
      </c>
      <c r="G68" s="102">
        <f t="shared" ca="1" si="0"/>
        <v>17850</v>
      </c>
      <c r="H68" s="103">
        <f t="shared" ca="1" si="1"/>
        <v>3391.5</v>
      </c>
      <c r="I68" s="104">
        <f t="shared" ca="1" si="2"/>
        <v>21241.5</v>
      </c>
      <c r="J68" s="15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9.5" customHeight="1">
      <c r="A69" s="7" t="str">
        <f ca="1">IFERROR(__xludf.DUMMYFUNCTION("""COMPUTED_VALUE"""),"ti-ing-20772dc7-71d7-4506-83d8-e29aa061ce6f")</f>
        <v>ti-ing-20772dc7-71d7-4506-83d8-e29aa061ce6f</v>
      </c>
      <c r="B69" s="98" t="str">
        <f ca="1">IFERROR(__xludf.DUMMYFUNCTION("""COMPUTED_VALUE"""),"Caja con ventana 1200B para galletas")</f>
        <v>Caja con ventana 1200B para galletas</v>
      </c>
      <c r="C69" s="110">
        <v>18</v>
      </c>
      <c r="D69" s="100">
        <f ca="1">IFERROR(__xludf.DUMMYFUNCTION("""COMPUTED_VALUE"""),152.5)</f>
        <v>152.5</v>
      </c>
      <c r="E69" s="101" t="str">
        <f ca="1">IFERROR(__xludf.DUMMYFUNCTION("""COMPUTED_VALUE"""),"UN")</f>
        <v>UN</v>
      </c>
      <c r="F69" s="101" t="str">
        <f ca="1">IFERROR(__xludf.DUMMYFUNCTION("""COMPUTED_VALUE"""),"Desechables")</f>
        <v>Desechables</v>
      </c>
      <c r="G69" s="102">
        <f t="shared" ca="1" si="0"/>
        <v>2745</v>
      </c>
      <c r="H69" s="103">
        <f t="shared" ca="1" si="1"/>
        <v>521.54999999999995</v>
      </c>
      <c r="I69" s="104">
        <f t="shared" ca="1" si="2"/>
        <v>3266.55</v>
      </c>
      <c r="J69" s="15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9.5" customHeight="1">
      <c r="A70" s="7"/>
      <c r="B70" s="98" t="str">
        <f ca="1">IFERROR(__xludf.DUMMYFUNCTION("""COMPUTED_VALUE"""),"Cofia tipo monja")</f>
        <v>Cofia tipo monja</v>
      </c>
      <c r="C70" s="110">
        <v>0</v>
      </c>
      <c r="D70" s="100">
        <f ca="1">IFERROR(__xludf.DUMMYFUNCTION("""COMPUTED_VALUE"""),101.7863253)</f>
        <v>101.7863253</v>
      </c>
      <c r="E70" s="101" t="str">
        <f ca="1">IFERROR(__xludf.DUMMYFUNCTION("""COMPUTED_VALUE"""),"UN")</f>
        <v>UN</v>
      </c>
      <c r="F70" s="101" t="str">
        <f ca="1">IFERROR(__xludf.DUMMYFUNCTION("""COMPUTED_VALUE"""),"Desechables")</f>
        <v>Desechables</v>
      </c>
      <c r="G70" s="102">
        <f t="shared" ca="1" si="0"/>
        <v>0</v>
      </c>
      <c r="H70" s="103">
        <f t="shared" ca="1" si="1"/>
        <v>0</v>
      </c>
      <c r="I70" s="104">
        <f t="shared" ca="1" si="2"/>
        <v>0</v>
      </c>
      <c r="J70" s="15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9.5" customHeight="1">
      <c r="A71" s="7" t="str">
        <f ca="1">IFERROR(__xludf.DUMMYFUNCTION("""COMPUTED_VALUE"""),"ti-ing-6de3399c-b35b-4eb5-ae73-cad819723851")</f>
        <v>ti-ing-6de3399c-b35b-4eb5-ae73-cad819723851</v>
      </c>
      <c r="B71" s="98" t="str">
        <f ca="1">IFERROR(__xludf.DUMMYFUNCTION("""COMPUTED_VALUE"""),"Cubre calzado (100un)")</f>
        <v>Cubre calzado (100un)</v>
      </c>
      <c r="C71" s="110">
        <v>0</v>
      </c>
      <c r="D71" s="100">
        <f ca="1">IFERROR(__xludf.DUMMYFUNCTION("""COMPUTED_VALUE"""),2680)</f>
        <v>2680</v>
      </c>
      <c r="E71" s="101" t="str">
        <f ca="1">IFERROR(__xludf.DUMMYFUNCTION("""COMPUTED_VALUE"""),"UN")</f>
        <v>UN</v>
      </c>
      <c r="F71" s="101" t="str">
        <f ca="1">IFERROR(__xludf.DUMMYFUNCTION("""COMPUTED_VALUE"""),"Desechables")</f>
        <v>Desechables</v>
      </c>
      <c r="G71" s="102">
        <f t="shared" ca="1" si="0"/>
        <v>0</v>
      </c>
      <c r="H71" s="103">
        <f t="shared" ca="1" si="1"/>
        <v>0</v>
      </c>
      <c r="I71" s="104">
        <f t="shared" ca="1" si="2"/>
        <v>0</v>
      </c>
      <c r="J71" s="15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9.5" customHeight="1">
      <c r="A72" s="7" t="str">
        <f ca="1">IFERROR(__xludf.DUMMYFUNCTION("""COMPUTED_VALUE"""),"ti-ing-33ce059a-0358-462e-ab2f-e4e2e34cdd8f")</f>
        <v>ti-ing-33ce059a-0358-462e-ab2f-e4e2e34cdd8f</v>
      </c>
      <c r="B72" s="98" t="str">
        <f ca="1">IFERROR(__xludf.DUMMYFUNCTION("""COMPUTED_VALUE"""),"Cupula 20x12x10")</f>
        <v>Cupula 20x12x10</v>
      </c>
      <c r="C72" s="110">
        <v>0</v>
      </c>
      <c r="D72" s="100">
        <f ca="1">IFERROR(__xludf.DUMMYFUNCTION("""COMPUTED_VALUE"""),621.84)</f>
        <v>621.84</v>
      </c>
      <c r="E72" s="101" t="str">
        <f ca="1">IFERROR(__xludf.DUMMYFUNCTION("""COMPUTED_VALUE"""),"UN")</f>
        <v>UN</v>
      </c>
      <c r="F72" s="101" t="str">
        <f ca="1">IFERROR(__xludf.DUMMYFUNCTION("""COMPUTED_VALUE"""),"Desechables")</f>
        <v>Desechables</v>
      </c>
      <c r="G72" s="102">
        <f t="shared" ca="1" si="0"/>
        <v>0</v>
      </c>
      <c r="H72" s="103">
        <f t="shared" ca="1" si="1"/>
        <v>0</v>
      </c>
      <c r="I72" s="104">
        <f t="shared" ca="1" si="2"/>
        <v>0</v>
      </c>
      <c r="J72" s="15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9.5" customHeight="1">
      <c r="A73" s="7" t="str">
        <f ca="1">IFERROR(__xludf.DUMMYFUNCTION("""COMPUTED_VALUE"""),"ti-ing-17b3be36-797d-4692-b29b-81b4fc773b2d")</f>
        <v>ti-ing-17b3be36-797d-4692-b29b-81b4fc773b2d</v>
      </c>
      <c r="B73" s="98" t="str">
        <f ca="1">IFERROR(__xludf.DUMMYFUNCTION("""COMPUTED_VALUE"""),"Grifa Alambre (Paquete)")</f>
        <v>Grifa Alambre (Paquete)</v>
      </c>
      <c r="C73" s="110">
        <v>1</v>
      </c>
      <c r="D73" s="100">
        <f ca="1">IFERROR(__xludf.DUMMYFUNCTION("""COMPUTED_VALUE"""),672.2)</f>
        <v>672.2</v>
      </c>
      <c r="E73" s="101" t="str">
        <f ca="1">IFERROR(__xludf.DUMMYFUNCTION("""COMPUTED_VALUE"""),"UN")</f>
        <v>UN</v>
      </c>
      <c r="F73" s="101" t="str">
        <f ca="1">IFERROR(__xludf.DUMMYFUNCTION("""COMPUTED_VALUE"""),"Desechables")</f>
        <v>Desechables</v>
      </c>
      <c r="G73" s="102">
        <f t="shared" ca="1" si="0"/>
        <v>672.2</v>
      </c>
      <c r="H73" s="103">
        <f t="shared" ca="1" si="1"/>
        <v>127.718</v>
      </c>
      <c r="I73" s="104">
        <f t="shared" ca="1" si="2"/>
        <v>799.91800000000001</v>
      </c>
      <c r="J73" s="15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9.5" customHeight="1">
      <c r="A74" s="7" t="str">
        <f ca="1">IFERROR(__xludf.DUMMYFUNCTION("""COMPUTED_VALUE"""),"ti-ing-e49e641d-6d0e-4558-a4a7-a4bc64ba0cae")</f>
        <v>ti-ing-e49e641d-6d0e-4558-a4a7-a4bc64ba0cae</v>
      </c>
      <c r="B74" s="98" t="str">
        <f ca="1">IFERROR(__xludf.DUMMYFUNCTION("""COMPUTED_VALUE"""),"PAPEL ALUSA ROLLOS CHICOS")</f>
        <v>PAPEL ALUSA ROLLOS CHICOS</v>
      </c>
      <c r="C74" s="110">
        <v>3</v>
      </c>
      <c r="D74" s="100">
        <f ca="1">IFERROR(__xludf.DUMMYFUNCTION("""COMPUTED_VALUE"""),4115)</f>
        <v>4115</v>
      </c>
      <c r="E74" s="101" t="str">
        <f ca="1">IFERROR(__xludf.DUMMYFUNCTION("""COMPUTED_VALUE"""),"UN")</f>
        <v>UN</v>
      </c>
      <c r="F74" s="101" t="str">
        <f ca="1">IFERROR(__xludf.DUMMYFUNCTION("""COMPUTED_VALUE"""),"Desechables")</f>
        <v>Desechables</v>
      </c>
      <c r="G74" s="102">
        <f t="shared" ca="1" si="0"/>
        <v>12345</v>
      </c>
      <c r="H74" s="103">
        <f t="shared" ca="1" si="1"/>
        <v>2345.5500000000002</v>
      </c>
      <c r="I74" s="104">
        <f t="shared" ca="1" si="2"/>
        <v>14690.55</v>
      </c>
      <c r="J74" s="15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9.5" customHeight="1">
      <c r="A75" s="7" t="str">
        <f ca="1">IFERROR(__xludf.DUMMYFUNCTION("""COMPUTED_VALUE"""),"ti-ing-b903c949-8881-4242-8b4f-c5768b2e23ce")</f>
        <v>ti-ing-b903c949-8881-4242-8b4f-c5768b2e23ce</v>
      </c>
      <c r="B75" s="98" t="str">
        <f ca="1">IFERROR(__xludf.DUMMYFUNCTION("""COMPUTED_VALUE"""),"Papel anti grasa con dibujo 29x42")</f>
        <v>Papel anti grasa con dibujo 29x42</v>
      </c>
      <c r="C75" s="110">
        <v>0</v>
      </c>
      <c r="D75" s="100">
        <f ca="1">IFERROR(__xludf.DUMMYFUNCTION("""COMPUTED_VALUE"""),27)</f>
        <v>27</v>
      </c>
      <c r="E75" s="101" t="str">
        <f ca="1">IFERROR(__xludf.DUMMYFUNCTION("""COMPUTED_VALUE"""),"UN")</f>
        <v>UN</v>
      </c>
      <c r="F75" s="101" t="str">
        <f ca="1">IFERROR(__xludf.DUMMYFUNCTION("""COMPUTED_VALUE"""),"Desechables")</f>
        <v>Desechables</v>
      </c>
      <c r="G75" s="102">
        <f t="shared" ca="1" si="0"/>
        <v>0</v>
      </c>
      <c r="H75" s="103">
        <f t="shared" ca="1" si="1"/>
        <v>0</v>
      </c>
      <c r="I75" s="104">
        <f t="shared" ca="1" si="2"/>
        <v>0</v>
      </c>
      <c r="J75" s="15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9.5" customHeight="1">
      <c r="A76" s="7" t="str">
        <f ca="1">IFERROR(__xludf.DUMMYFUNCTION("""COMPUTED_VALUE"""),"ti-ing-37f85cc6-1f52-4599-9741-852d98246e09")</f>
        <v>ti-ing-37f85cc6-1f52-4599-9741-852d98246e09</v>
      </c>
      <c r="B76" s="98" t="str">
        <f ca="1">IFERROR(__xludf.DUMMYFUNCTION("""COMPUTED_VALUE"""),"Rollo etiquetas fechera")</f>
        <v>Rollo etiquetas fechera</v>
      </c>
      <c r="C76" s="110">
        <v>5</v>
      </c>
      <c r="D76" s="100">
        <f ca="1">IFERROR(__xludf.DUMMYFUNCTION("""COMPUTED_VALUE"""),2800)</f>
        <v>2800</v>
      </c>
      <c r="E76" s="101" t="str">
        <f ca="1">IFERROR(__xludf.DUMMYFUNCTION("""COMPUTED_VALUE"""),"UN")</f>
        <v>UN</v>
      </c>
      <c r="F76" s="101" t="str">
        <f ca="1">IFERROR(__xludf.DUMMYFUNCTION("""COMPUTED_VALUE"""),"Desechables")</f>
        <v>Desechables</v>
      </c>
      <c r="G76" s="102">
        <f t="shared" ca="1" si="0"/>
        <v>14000</v>
      </c>
      <c r="H76" s="103">
        <f t="shared" ca="1" si="1"/>
        <v>2660</v>
      </c>
      <c r="I76" s="104">
        <f t="shared" ca="1" si="2"/>
        <v>16660</v>
      </c>
      <c r="J76" s="15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9.5" customHeight="1">
      <c r="A77" s="7" t="str">
        <f ca="1">IFERROR(__xludf.DUMMYFUNCTION("""COMPUTED_VALUE"""),"ti-ing-a2ff1857-13be-46c5-8a38-b1004f73f14b")</f>
        <v>ti-ing-a2ff1857-13be-46c5-8a38-b1004f73f14b</v>
      </c>
      <c r="B77" s="98" t="str">
        <f ca="1">IFERROR(__xludf.DUMMYFUNCTION("""COMPUTED_VALUE"""),"Rollo film pvc 45cm 1400m")</f>
        <v>Rollo film pvc 45cm 1400m</v>
      </c>
      <c r="C77" s="110">
        <v>0</v>
      </c>
      <c r="D77" s="100">
        <f ca="1">IFERROR(__xludf.DUMMYFUNCTION("""COMPUTED_VALUE"""),26360)</f>
        <v>26360</v>
      </c>
      <c r="E77" s="101" t="str">
        <f ca="1">IFERROR(__xludf.DUMMYFUNCTION("""COMPUTED_VALUE"""),"un")</f>
        <v>un</v>
      </c>
      <c r="F77" s="101" t="str">
        <f ca="1">IFERROR(__xludf.DUMMYFUNCTION("""COMPUTED_VALUE"""),"Desechables")</f>
        <v>Desechables</v>
      </c>
      <c r="G77" s="102">
        <f t="shared" ca="1" si="0"/>
        <v>0</v>
      </c>
      <c r="H77" s="103">
        <f t="shared" ca="1" si="1"/>
        <v>0</v>
      </c>
      <c r="I77" s="104">
        <f t="shared" ca="1" si="2"/>
        <v>0</v>
      </c>
      <c r="J77" s="15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9.5" customHeight="1">
      <c r="A78" s="7" t="str">
        <f ca="1">IFERROR(__xludf.DUMMYFUNCTION("""COMPUTED_VALUE"""),"ti-ing-3f1e707d-7f58-4b61-ada7-84d3d7bd168c")</f>
        <v>ti-ing-3f1e707d-7f58-4b61-ada7-84d3d7bd168c</v>
      </c>
      <c r="B78" s="98" t="str">
        <f ca="1">IFERROR(__xludf.DUMMYFUNCTION("""COMPUTED_VALUE"""),"Rollo papel mantequilla 40cm x 230m")</f>
        <v>Rollo papel mantequilla 40cm x 230m</v>
      </c>
      <c r="C78" s="110">
        <v>1</v>
      </c>
      <c r="D78" s="100">
        <f ca="1">IFERROR(__xludf.DUMMYFUNCTION("""COMPUTED_VALUE"""),15126)</f>
        <v>15126</v>
      </c>
      <c r="E78" s="101" t="str">
        <f ca="1">IFERROR(__xludf.DUMMYFUNCTION("""COMPUTED_VALUE"""),"KG")</f>
        <v>KG</v>
      </c>
      <c r="F78" s="101" t="str">
        <f ca="1">IFERROR(__xludf.DUMMYFUNCTION("""COMPUTED_VALUE"""),"Desechables")</f>
        <v>Desechables</v>
      </c>
      <c r="G78" s="102">
        <f t="shared" ca="1" si="0"/>
        <v>15126</v>
      </c>
      <c r="H78" s="103">
        <f t="shared" ca="1" si="1"/>
        <v>2873.94</v>
      </c>
      <c r="I78" s="104">
        <f t="shared" ca="1" si="2"/>
        <v>17999.939999999999</v>
      </c>
      <c r="J78" s="15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9.5" customHeight="1">
      <c r="A79" s="7" t="str">
        <f ca="1">IFERROR(__xludf.DUMMYFUNCTION("""COMPUTED_VALUE"""),"ti-ing-ae70d1d0-3e81-4033-827e-cc81fd286fb6")</f>
        <v>ti-ing-ae70d1d0-3e81-4033-827e-cc81fd286fb6</v>
      </c>
      <c r="B79" s="98" t="str">
        <f ca="1">IFERROR(__xludf.DUMMYFUNCTION("""COMPUTED_VALUE"""),"Sticker bolsa chica")</f>
        <v>Sticker bolsa chica</v>
      </c>
      <c r="C79" s="110">
        <v>180</v>
      </c>
      <c r="D79" s="100">
        <f ca="1">IFERROR(__xludf.DUMMYFUNCTION("""COMPUTED_VALUE"""),75)</f>
        <v>75</v>
      </c>
      <c r="E79" s="101" t="str">
        <f ca="1">IFERROR(__xludf.DUMMYFUNCTION("""COMPUTED_VALUE"""),"UN")</f>
        <v>UN</v>
      </c>
      <c r="F79" s="101" t="str">
        <f ca="1">IFERROR(__xludf.DUMMYFUNCTION("""COMPUTED_VALUE"""),"Desechables")</f>
        <v>Desechables</v>
      </c>
      <c r="G79" s="102">
        <f t="shared" ca="1" si="0"/>
        <v>13500</v>
      </c>
      <c r="H79" s="103">
        <f t="shared" ca="1" si="1"/>
        <v>2565</v>
      </c>
      <c r="I79" s="104">
        <f t="shared" ca="1" si="2"/>
        <v>16065</v>
      </c>
      <c r="J79" s="15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9.5" customHeight="1">
      <c r="A80" s="7" t="str">
        <f ca="1">IFERROR(__xludf.DUMMYFUNCTION("""COMPUTED_VALUE"""),"ti-ing-7b618b85-cf7f-482e-86dc-8ecc8319d881")</f>
        <v>ti-ing-7b618b85-cf7f-482e-86dc-8ecc8319d881</v>
      </c>
      <c r="B80" s="98" t="str">
        <f ca="1">IFERROR(__xludf.DUMMYFUNCTION("""COMPUTED_VALUE"""),"Sticker bolsa grande")</f>
        <v>Sticker bolsa grande</v>
      </c>
      <c r="C80" s="110">
        <v>2300</v>
      </c>
      <c r="D80" s="100">
        <f ca="1">IFERROR(__xludf.DUMMYFUNCTION("""COMPUTED_VALUE"""),80)</f>
        <v>80</v>
      </c>
      <c r="E80" s="101" t="str">
        <f ca="1">IFERROR(__xludf.DUMMYFUNCTION("""COMPUTED_VALUE"""),"UN")</f>
        <v>UN</v>
      </c>
      <c r="F80" s="101" t="str">
        <f ca="1">IFERROR(__xludf.DUMMYFUNCTION("""COMPUTED_VALUE"""),"Desechables")</f>
        <v>Desechables</v>
      </c>
      <c r="G80" s="102">
        <f t="shared" ca="1" si="0"/>
        <v>184000</v>
      </c>
      <c r="H80" s="103">
        <f t="shared" ca="1" si="1"/>
        <v>34960</v>
      </c>
      <c r="I80" s="104">
        <f t="shared" ca="1" si="2"/>
        <v>218960</v>
      </c>
      <c r="J80" s="15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9.5" customHeight="1">
      <c r="A81" s="7" t="str">
        <f ca="1">IFERROR(__xludf.DUMMYFUNCTION("""COMPUTED_VALUE"""),"ti-ing-cb13ff9f-f104-46cf-bfb3-3141bb91157a")</f>
        <v>ti-ing-cb13ff9f-f104-46cf-bfb3-3141bb91157a</v>
      </c>
      <c r="B81" s="98" t="str">
        <f ca="1">IFERROR(__xludf.DUMMYFUNCTION("""COMPUTED_VALUE"""),"Sticker caja de galletas")</f>
        <v>Sticker caja de galletas</v>
      </c>
      <c r="C81" s="110">
        <v>56</v>
      </c>
      <c r="D81" s="100">
        <f ca="1">IFERROR(__xludf.DUMMYFUNCTION("""COMPUTED_VALUE"""),85)</f>
        <v>85</v>
      </c>
      <c r="E81" s="101" t="str">
        <f ca="1">IFERROR(__xludf.DUMMYFUNCTION("""COMPUTED_VALUE"""),"UN")</f>
        <v>UN</v>
      </c>
      <c r="F81" s="101" t="str">
        <f ca="1">IFERROR(__xludf.DUMMYFUNCTION("""COMPUTED_VALUE"""),"Desechables")</f>
        <v>Desechables</v>
      </c>
      <c r="G81" s="102">
        <f t="shared" ca="1" si="0"/>
        <v>4760</v>
      </c>
      <c r="H81" s="103">
        <f t="shared" ca="1" si="1"/>
        <v>904.4</v>
      </c>
      <c r="I81" s="104">
        <f t="shared" ca="1" si="2"/>
        <v>5664.4</v>
      </c>
      <c r="J81" s="15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9.5" customHeight="1">
      <c r="A82" s="7" t="str">
        <f ca="1">IFERROR(__xludf.DUMMYFUNCTION("""COMPUTED_VALUE"""),"ti-ing-cd658cee-a117-438a-b569-785a9aae27da")</f>
        <v>ti-ing-cd658cee-a117-438a-b569-785a9aae27da</v>
      </c>
      <c r="B82" s="98" t="str">
        <f ca="1">IFERROR(__xludf.DUMMYFUNCTION("""COMPUTED_VALUE"""),"Sticker La Brioche")</f>
        <v>Sticker La Brioche</v>
      </c>
      <c r="C82" s="110">
        <v>0</v>
      </c>
      <c r="D82" s="100">
        <f ca="1">IFERROR(__xludf.DUMMYFUNCTION("""COMPUTED_VALUE"""),25)</f>
        <v>25</v>
      </c>
      <c r="E82" s="101" t="str">
        <f ca="1">IFERROR(__xludf.DUMMYFUNCTION("""COMPUTED_VALUE"""),"un")</f>
        <v>un</v>
      </c>
      <c r="F82" s="101" t="str">
        <f ca="1">IFERROR(__xludf.DUMMYFUNCTION("""COMPUTED_VALUE"""),"Desechables")</f>
        <v>Desechables</v>
      </c>
      <c r="G82" s="102">
        <f t="shared" ca="1" si="0"/>
        <v>0</v>
      </c>
      <c r="H82" s="103">
        <f t="shared" ca="1" si="1"/>
        <v>0</v>
      </c>
      <c r="I82" s="104">
        <f t="shared" ca="1" si="2"/>
        <v>0</v>
      </c>
      <c r="J82" s="15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9.5" customHeight="1">
      <c r="A83" s="7" t="str">
        <f ca="1">IFERROR(__xludf.DUMMYFUNCTION("""COMPUTED_VALUE"""),"ti-ing-36d188be-1d21-49c4-81d6-40aa525186bc")</f>
        <v>ti-ing-36d188be-1d21-49c4-81d6-40aa525186bc</v>
      </c>
      <c r="B83" s="98" t="str">
        <f ca="1">IFERROR(__xludf.DUMMYFUNCTION("""COMPUTED_VALUE"""),"Harina Fuerza la estampa")</f>
        <v>Harina Fuerza la estampa</v>
      </c>
      <c r="C83" s="110">
        <v>11.51</v>
      </c>
      <c r="D83" s="100">
        <f ca="1">IFERROR(__xludf.DUMMYFUNCTION("""COMPUTED_VALUE"""),720)</f>
        <v>720</v>
      </c>
      <c r="E83" s="101" t="str">
        <f ca="1">IFERROR(__xludf.DUMMYFUNCTION("""COMPUTED_VALUE"""),"KG")</f>
        <v>KG</v>
      </c>
      <c r="F83" s="101" t="str">
        <f ca="1">IFERROR(__xludf.DUMMYFUNCTION("""COMPUTED_VALUE"""),"Harinas")</f>
        <v>Harinas</v>
      </c>
      <c r="G83" s="102">
        <f t="shared" ca="1" si="0"/>
        <v>8287.2000000000007</v>
      </c>
      <c r="H83" s="103">
        <f t="shared" ca="1" si="1"/>
        <v>1574.5680000000002</v>
      </c>
      <c r="I83" s="104">
        <f t="shared" ca="1" si="2"/>
        <v>9861.768</v>
      </c>
      <c r="J83" s="15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9.5" customHeight="1">
      <c r="A84" s="7" t="str">
        <f ca="1">IFERROR(__xludf.DUMMYFUNCTION("""COMPUTED_VALUE"""),"ti-ing-c022b8f7-37cb-4495-b583-adf8c2912827")</f>
        <v>ti-ing-c022b8f7-37cb-4495-b583-adf8c2912827</v>
      </c>
      <c r="B84" s="98" t="str">
        <f ca="1">IFERROR(__xludf.DUMMYFUNCTION("""COMPUTED_VALUE"""),"Harina Integral la estampa")</f>
        <v>Harina Integral la estampa</v>
      </c>
      <c r="C84" s="110">
        <v>18.309999999999999</v>
      </c>
      <c r="D84" s="100">
        <f ca="1">IFERROR(__xludf.DUMMYFUNCTION("""COMPUTED_VALUE"""),715.28)</f>
        <v>715.28</v>
      </c>
      <c r="E84" s="101" t="str">
        <f ca="1">IFERROR(__xludf.DUMMYFUNCTION("""COMPUTED_VALUE"""),"KG")</f>
        <v>KG</v>
      </c>
      <c r="F84" s="101" t="str">
        <f ca="1">IFERROR(__xludf.DUMMYFUNCTION("""COMPUTED_VALUE"""),"Harinas")</f>
        <v>Harinas</v>
      </c>
      <c r="G84" s="102">
        <f t="shared" ca="1" si="0"/>
        <v>13096.776799999998</v>
      </c>
      <c r="H84" s="103">
        <f t="shared" ca="1" si="1"/>
        <v>2488.3875919999996</v>
      </c>
      <c r="I84" s="104">
        <f t="shared" ca="1" si="2"/>
        <v>15585.164391999997</v>
      </c>
      <c r="J84" s="15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9.5" customHeight="1">
      <c r="A85" s="7"/>
      <c r="B85" s="98" t="str">
        <f ca="1">IFERROR(__xludf.DUMMYFUNCTION("""COMPUTED_VALUE"""),"harina san cristobal fortaleza ")</f>
        <v xml:space="preserve">harina san cristobal fortaleza </v>
      </c>
      <c r="C85" s="110">
        <v>0</v>
      </c>
      <c r="D85" s="100">
        <f ca="1">IFERROR(__xludf.DUMMYFUNCTION("""COMPUTED_VALUE"""),714)</f>
        <v>714</v>
      </c>
      <c r="E85" s="101" t="str">
        <f ca="1">IFERROR(__xludf.DUMMYFUNCTION("""COMPUTED_VALUE"""),"KG")</f>
        <v>KG</v>
      </c>
      <c r="F85" s="101" t="str">
        <f ca="1">IFERROR(__xludf.DUMMYFUNCTION("""COMPUTED_VALUE"""),"Harinas")</f>
        <v>Harinas</v>
      </c>
      <c r="G85" s="102">
        <f t="shared" ca="1" si="0"/>
        <v>0</v>
      </c>
      <c r="H85" s="103">
        <f t="shared" ca="1" si="1"/>
        <v>0</v>
      </c>
      <c r="I85" s="104">
        <f t="shared" ca="1" si="2"/>
        <v>0</v>
      </c>
      <c r="J85" s="15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9.5" customHeight="1">
      <c r="A86" s="7" t="str">
        <f ca="1">IFERROR(__xludf.DUMMYFUNCTION("""COMPUTED_VALUE"""),"ti-ing-63bb439b-2f54-484e-8af1-634f36b26a2f")</f>
        <v>ti-ing-63bb439b-2f54-484e-8af1-634f36b26a2f</v>
      </c>
      <c r="B86" s="98" t="str">
        <f ca="1">IFERROR(__xludf.DUMMYFUNCTION("""COMPUTED_VALUE"""),"Harina Super la estampa")</f>
        <v>Harina Super la estampa</v>
      </c>
      <c r="C86" s="110">
        <v>0</v>
      </c>
      <c r="D86" s="100">
        <f ca="1">IFERROR(__xludf.DUMMYFUNCTION("""COMPUTED_VALUE"""),590.24)</f>
        <v>590.24</v>
      </c>
      <c r="E86" s="101" t="str">
        <f ca="1">IFERROR(__xludf.DUMMYFUNCTION("""COMPUTED_VALUE"""),"KG")</f>
        <v>KG</v>
      </c>
      <c r="F86" s="101" t="str">
        <f ca="1">IFERROR(__xludf.DUMMYFUNCTION("""COMPUTED_VALUE"""),"Harinas")</f>
        <v>Harinas</v>
      </c>
      <c r="G86" s="102">
        <f t="shared" ca="1" si="0"/>
        <v>0</v>
      </c>
      <c r="H86" s="103">
        <f t="shared" ca="1" si="1"/>
        <v>0</v>
      </c>
      <c r="I86" s="104">
        <f t="shared" ca="1" si="2"/>
        <v>0</v>
      </c>
      <c r="J86" s="15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9.5" customHeight="1">
      <c r="A87" s="7" t="str">
        <f ca="1">IFERROR(__xludf.DUMMYFUNCTION("""COMPUTED_VALUE"""),"ti-ing-8262d660-3530-4e0b-8ef7-7198065a11f9")</f>
        <v>ti-ing-8262d660-3530-4e0b-8ef7-7198065a11f9</v>
      </c>
      <c r="B87" s="98" t="str">
        <f ca="1">IFERROR(__xludf.DUMMYFUNCTION("""COMPUTED_VALUE"""),"Leche condensada kg")</f>
        <v>Leche condensada kg</v>
      </c>
      <c r="C87" s="110">
        <v>3.05</v>
      </c>
      <c r="D87" s="100">
        <f ca="1">IFERROR(__xludf.DUMMYFUNCTION("""COMPUTED_VALUE"""),3377.333)</f>
        <v>3377.3330000000001</v>
      </c>
      <c r="E87" s="101" t="str">
        <f ca="1">IFERROR(__xludf.DUMMYFUNCTION("""COMPUTED_VALUE"""),"kg")</f>
        <v>kg</v>
      </c>
      <c r="F87" s="101" t="str">
        <f ca="1">IFERROR(__xludf.DUMMYFUNCTION("""COMPUTED_VALUE"""),"Lácteos y Quesos")</f>
        <v>Lácteos y Quesos</v>
      </c>
      <c r="G87" s="102">
        <f t="shared" ca="1" si="0"/>
        <v>10300.86565</v>
      </c>
      <c r="H87" s="103">
        <f t="shared" ca="1" si="1"/>
        <v>1957.1644735</v>
      </c>
      <c r="I87" s="104">
        <f t="shared" ca="1" si="2"/>
        <v>12258.030123500001</v>
      </c>
      <c r="J87" s="15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9.5" customHeight="1">
      <c r="A88" s="7" t="str">
        <f ca="1">IFERROR(__xludf.DUMMYFUNCTION("""COMPUTED_VALUE"""),"ti-ing-f217056d-5d63-4d3a-850f-a0137c3c2bc8")</f>
        <v>ti-ing-f217056d-5d63-4d3a-850f-a0137c3c2bc8</v>
      </c>
      <c r="B88" s="98" t="str">
        <f ca="1">IFERROR(__xludf.DUMMYFUNCTION("""COMPUTED_VALUE"""),"Leche entera 1 lt")</f>
        <v>Leche entera 1 lt</v>
      </c>
      <c r="C88" s="110">
        <v>20</v>
      </c>
      <c r="D88" s="100">
        <f ca="1">IFERROR(__xludf.DUMMYFUNCTION("""COMPUTED_VALUE"""),1022.3333)</f>
        <v>1022.3333</v>
      </c>
      <c r="E88" s="101" t="str">
        <f ca="1">IFERROR(__xludf.DUMMYFUNCTION("""COMPUTED_VALUE"""),"LT")</f>
        <v>LT</v>
      </c>
      <c r="F88" s="101" t="str">
        <f ca="1">IFERROR(__xludf.DUMMYFUNCTION("""COMPUTED_VALUE"""),"Lácteos y Quesos")</f>
        <v>Lácteos y Quesos</v>
      </c>
      <c r="G88" s="102">
        <f t="shared" ca="1" si="0"/>
        <v>20446.666000000001</v>
      </c>
      <c r="H88" s="103">
        <f t="shared" ca="1" si="1"/>
        <v>3884.8665400000004</v>
      </c>
      <c r="I88" s="104">
        <f t="shared" ca="1" si="2"/>
        <v>24331.53254</v>
      </c>
      <c r="J88" s="15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9.5" customHeight="1">
      <c r="A89" s="7" t="str">
        <f ca="1">IFERROR(__xludf.DUMMYFUNCTION("""COMPUTED_VALUE"""),"ti-ing-954249fd-0da9-476c-818b-572694743b97")</f>
        <v>ti-ing-954249fd-0da9-476c-818b-572694743b97</v>
      </c>
      <c r="B89" s="98" t="str">
        <f ca="1">IFERROR(__xludf.DUMMYFUNCTION("""COMPUTED_VALUE"""),"Manjar Repostero")</f>
        <v>Manjar Repostero</v>
      </c>
      <c r="C89" s="110">
        <v>0.61</v>
      </c>
      <c r="D89" s="100">
        <f ca="1">IFERROR(__xludf.DUMMYFUNCTION("""COMPUTED_VALUE"""),3469)</f>
        <v>3469</v>
      </c>
      <c r="E89" s="101" t="str">
        <f ca="1">IFERROR(__xludf.DUMMYFUNCTION("""COMPUTED_VALUE"""),"KG")</f>
        <v>KG</v>
      </c>
      <c r="F89" s="101" t="str">
        <f ca="1">IFERROR(__xludf.DUMMYFUNCTION("""COMPUTED_VALUE"""),"Lácteos y Quesos")</f>
        <v>Lácteos y Quesos</v>
      </c>
      <c r="G89" s="102">
        <f t="shared" ca="1" si="0"/>
        <v>2116.09</v>
      </c>
      <c r="H89" s="103">
        <f t="shared" ca="1" si="1"/>
        <v>402.05710000000005</v>
      </c>
      <c r="I89" s="104">
        <f t="shared" ca="1" si="2"/>
        <v>2518.1471000000001</v>
      </c>
      <c r="J89" s="15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9.5" customHeight="1">
      <c r="A90" s="7" t="str">
        <f ca="1">IFERROR(__xludf.DUMMYFUNCTION("""COMPUTED_VALUE"""),"ti-ing-cc4ca94a-8d6a-45e3-9479-ec6ec3c164ff")</f>
        <v>ti-ing-cc4ca94a-8d6a-45e3-9479-ec6ec3c164ff</v>
      </c>
      <c r="B90" s="98" t="str">
        <f ca="1">IFERROR(__xludf.DUMMYFUNCTION("""COMPUTED_VALUE"""),"Manteca Vegetal soprole")</f>
        <v>Manteca Vegetal soprole</v>
      </c>
      <c r="C90" s="110">
        <v>18</v>
      </c>
      <c r="D90" s="100">
        <f ca="1">IFERROR(__xludf.DUMMYFUNCTION("""COMPUTED_VALUE"""),3508.493501)</f>
        <v>3508.4935009999999</v>
      </c>
      <c r="E90" s="101" t="str">
        <f ca="1">IFERROR(__xludf.DUMMYFUNCTION("""COMPUTED_VALUE"""),"KG")</f>
        <v>KG</v>
      </c>
      <c r="F90" s="101" t="str">
        <f ca="1">IFERROR(__xludf.DUMMYFUNCTION("""COMPUTED_VALUE"""),"Lácteos y Quesos")</f>
        <v>Lácteos y Quesos</v>
      </c>
      <c r="G90" s="102">
        <f t="shared" ca="1" si="0"/>
        <v>63152.883018</v>
      </c>
      <c r="H90" s="103">
        <f t="shared" ca="1" si="1"/>
        <v>11999.047773419999</v>
      </c>
      <c r="I90" s="104">
        <f t="shared" ca="1" si="2"/>
        <v>75151.930791420004</v>
      </c>
      <c r="J90" s="15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9.5" customHeight="1">
      <c r="A91" s="7" t="str">
        <f ca="1">IFERROR(__xludf.DUMMYFUNCTION("""COMPUTED_VALUE"""),"ti-ing-ecd37d53-82cc-47dc-a91b-bd72d972df17")</f>
        <v>ti-ing-ecd37d53-82cc-47dc-a91b-bd72d972df17</v>
      </c>
      <c r="B91" s="98" t="str">
        <f ca="1">IFERROR(__xludf.DUMMYFUNCTION("""COMPUTED_VALUE"""),"Mantequilla sin sal")</f>
        <v>Mantequilla sin sal</v>
      </c>
      <c r="C91" s="110">
        <v>8.7799999999999994</v>
      </c>
      <c r="D91" s="100">
        <f ca="1">IFERROR(__xludf.DUMMYFUNCTION("""COMPUTED_VALUE"""),8415.28)</f>
        <v>8415.2800000000007</v>
      </c>
      <c r="E91" s="101" t="str">
        <f ca="1">IFERROR(__xludf.DUMMYFUNCTION("""COMPUTED_VALUE"""),"KG")</f>
        <v>KG</v>
      </c>
      <c r="F91" s="101" t="str">
        <f ca="1">IFERROR(__xludf.DUMMYFUNCTION("""COMPUTED_VALUE"""),"Lácteos y Quesos")</f>
        <v>Lácteos y Quesos</v>
      </c>
      <c r="G91" s="102">
        <f t="shared" ca="1" si="0"/>
        <v>73886.1584</v>
      </c>
      <c r="H91" s="103">
        <f t="shared" ca="1" si="1"/>
        <v>14038.370096000001</v>
      </c>
      <c r="I91" s="104">
        <f t="shared" ca="1" si="2"/>
        <v>87924.528495999999</v>
      </c>
      <c r="J91" s="15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9.5" customHeight="1">
      <c r="A92" s="7" t="str">
        <f ca="1">IFERROR(__xludf.DUMMYFUNCTION("""COMPUTED_VALUE"""),"ti-ing-614d8fd2-0c43-4daa-a2e1-ce85599adc8e")</f>
        <v>ti-ing-614d8fd2-0c43-4daa-a2e1-ce85599adc8e</v>
      </c>
      <c r="B92" s="98" t="str">
        <f ca="1">IFERROR(__xludf.DUMMYFUNCTION("""COMPUTED_VALUE"""),"Margarina De Horneo soprole")</f>
        <v>Margarina De Horneo soprole</v>
      </c>
      <c r="C92" s="110">
        <v>45</v>
      </c>
      <c r="D92" s="100">
        <f ca="1">IFERROR(__xludf.DUMMYFUNCTION("""COMPUTED_VALUE"""),3523.04)</f>
        <v>3523.04</v>
      </c>
      <c r="E92" s="101" t="str">
        <f ca="1">IFERROR(__xludf.DUMMYFUNCTION("""COMPUTED_VALUE"""),"kg")</f>
        <v>kg</v>
      </c>
      <c r="F92" s="101" t="str">
        <f ca="1">IFERROR(__xludf.DUMMYFUNCTION("""COMPUTED_VALUE"""),"Lácteos y Quesos")</f>
        <v>Lácteos y Quesos</v>
      </c>
      <c r="G92" s="102">
        <f t="shared" ca="1" si="0"/>
        <v>158536.79999999999</v>
      </c>
      <c r="H92" s="103">
        <f t="shared" ca="1" si="1"/>
        <v>30121.991999999998</v>
      </c>
      <c r="I92" s="104">
        <f t="shared" ca="1" si="2"/>
        <v>188658.79199999999</v>
      </c>
      <c r="J92" s="15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9.5" customHeight="1">
      <c r="A93" s="7" t="str">
        <f ca="1">IFERROR(__xludf.DUMMYFUNCTION("""COMPUTED_VALUE"""),"ti-ing-ae308e8b-ea5d-4ac4-9239-53ac83800a28")</f>
        <v>ti-ing-ae308e8b-ea5d-4ac4-9239-53ac83800a28</v>
      </c>
      <c r="B93" s="98" t="str">
        <f ca="1">IFERROR(__xludf.DUMMYFUNCTION("""COMPUTED_VALUE"""),"Margarina Laminacion Plus")</f>
        <v>Margarina Laminacion Plus</v>
      </c>
      <c r="C93" s="110">
        <v>3</v>
      </c>
      <c r="D93" s="100">
        <f ca="1">IFERROR(__xludf.DUMMYFUNCTION("""COMPUTED_VALUE"""),4789.992)</f>
        <v>4789.9920000000002</v>
      </c>
      <c r="E93" s="101" t="str">
        <f ca="1">IFERROR(__xludf.DUMMYFUNCTION("""COMPUTED_VALUE"""),"kg")</f>
        <v>kg</v>
      </c>
      <c r="F93" s="101" t="str">
        <f ca="1">IFERROR(__xludf.DUMMYFUNCTION("""COMPUTED_VALUE"""),"Lácteos y Quesos")</f>
        <v>Lácteos y Quesos</v>
      </c>
      <c r="G93" s="102">
        <f t="shared" ca="1" si="0"/>
        <v>14369.976000000001</v>
      </c>
      <c r="H93" s="103">
        <f t="shared" ca="1" si="1"/>
        <v>2730.2954400000003</v>
      </c>
      <c r="I93" s="104">
        <f t="shared" ca="1" si="2"/>
        <v>17100.27144</v>
      </c>
      <c r="J93" s="15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9.5" customHeight="1">
      <c r="A94" s="7" t="str">
        <f ca="1">IFERROR(__xludf.DUMMYFUNCTION("""COMPUTED_VALUE"""),"ti-ing-62682093-03dc-415f-a6a1-8cf0bc2c626e")</f>
        <v>ti-ing-62682093-03dc-415f-a6a1-8cf0bc2c626e</v>
      </c>
      <c r="B94" s="98" t="str">
        <f ca="1">IFERROR(__xludf.DUMMYFUNCTION("""COMPUTED_VALUE"""),"Queso gouda kg")</f>
        <v>Queso gouda kg</v>
      </c>
      <c r="C94" s="110">
        <v>0.41</v>
      </c>
      <c r="D94" s="100">
        <f ca="1">IFERROR(__xludf.DUMMYFUNCTION("""COMPUTED_VALUE"""),5212.698)</f>
        <v>5212.6980000000003</v>
      </c>
      <c r="E94" s="101" t="str">
        <f ca="1">IFERROR(__xludf.DUMMYFUNCTION("""COMPUTED_VALUE"""),"KG")</f>
        <v>KG</v>
      </c>
      <c r="F94" s="101" t="str">
        <f ca="1">IFERROR(__xludf.DUMMYFUNCTION("""COMPUTED_VALUE"""),"Lácteos y Quesos")</f>
        <v>Lácteos y Quesos</v>
      </c>
      <c r="G94" s="102">
        <f t="shared" ca="1" si="0"/>
        <v>2137.2061800000001</v>
      </c>
      <c r="H94" s="103">
        <f t="shared" ca="1" si="1"/>
        <v>406.06917420000002</v>
      </c>
      <c r="I94" s="104">
        <f t="shared" ca="1" si="2"/>
        <v>2543.2753542</v>
      </c>
      <c r="J94" s="15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9.5" customHeight="1">
      <c r="A95" s="7" t="str">
        <f ca="1">IFERROR(__xludf.DUMMYFUNCTION("""COMPUTED_VALUE"""),"ti-ing-15d5080f-54bb-48ae-a3a4-5a9102e62c0a")</f>
        <v>ti-ing-15d5080f-54bb-48ae-a3a4-5a9102e62c0a</v>
      </c>
      <c r="B95" s="98" t="str">
        <f ca="1">IFERROR(__xludf.DUMMYFUNCTION("""COMPUTED_VALUE"""),"Azucar flor")</f>
        <v>Azucar flor</v>
      </c>
      <c r="C95" s="110">
        <v>7.1980000000000004</v>
      </c>
      <c r="D95" s="100">
        <f ca="1">IFERROR(__xludf.DUMMYFUNCTION("""COMPUTED_VALUE"""),1505)</f>
        <v>1505</v>
      </c>
      <c r="E95" s="101" t="str">
        <f ca="1">IFERROR(__xludf.DUMMYFUNCTION("""COMPUTED_VALUE"""),"KG")</f>
        <v>KG</v>
      </c>
      <c r="F95" s="101" t="str">
        <f ca="1">IFERROR(__xludf.DUMMYFUNCTION("""COMPUTED_VALUE"""),"Pastelería")</f>
        <v>Pastelería</v>
      </c>
      <c r="G95" s="102">
        <f t="shared" ca="1" si="0"/>
        <v>10832.99</v>
      </c>
      <c r="H95" s="103">
        <f t="shared" ca="1" si="1"/>
        <v>2058.2680999999998</v>
      </c>
      <c r="I95" s="104">
        <f t="shared" ca="1" si="2"/>
        <v>12891.258099999999</v>
      </c>
      <c r="J95" s="15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9.5" customHeight="1">
      <c r="A96" s="7" t="str">
        <f ca="1">IFERROR(__xludf.DUMMYFUNCTION("""COMPUTED_VALUE"""),"ti-ing-2541bdef-1295-48fd-a2a6-eb459571041d")</f>
        <v>ti-ing-2541bdef-1295-48fd-a2a6-eb459571041d</v>
      </c>
      <c r="B96" s="98" t="str">
        <f ca="1">IFERROR(__xludf.DUMMYFUNCTION("""COMPUTED_VALUE"""),"Bicarbonato kg")</f>
        <v>Bicarbonato kg</v>
      </c>
      <c r="C96" s="110">
        <v>0.32600000000000001</v>
      </c>
      <c r="D96" s="100">
        <f ca="1">IFERROR(__xludf.DUMMYFUNCTION("""COMPUTED_VALUE"""),2850)</f>
        <v>2850</v>
      </c>
      <c r="E96" s="101" t="str">
        <f ca="1">IFERROR(__xludf.DUMMYFUNCTION("""COMPUTED_VALUE"""),"KG")</f>
        <v>KG</v>
      </c>
      <c r="F96" s="101" t="str">
        <f ca="1">IFERROR(__xludf.DUMMYFUNCTION("""COMPUTED_VALUE"""),"Pastelería")</f>
        <v>Pastelería</v>
      </c>
      <c r="G96" s="102">
        <f t="shared" ca="1" si="0"/>
        <v>929.1</v>
      </c>
      <c r="H96" s="103">
        <f t="shared" ca="1" si="1"/>
        <v>176.529</v>
      </c>
      <c r="I96" s="104">
        <f t="shared" ca="1" si="2"/>
        <v>1105.6289999999999</v>
      </c>
      <c r="J96" s="15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9.5" customHeight="1">
      <c r="A97" s="7" t="str">
        <f ca="1">IFERROR(__xludf.DUMMYFUNCTION("""COMPUTED_VALUE"""),"ti-ing-2f673947-19c3-4bf1-85f0-2fd4eba84abb")</f>
        <v>ti-ing-2f673947-19c3-4bf1-85f0-2fd4eba84abb</v>
      </c>
      <c r="B97" s="98" t="str">
        <f ca="1">IFERROR(__xludf.DUMMYFUNCTION("""COMPUTED_VALUE"""),"Cacao Amargo kg")</f>
        <v>Cacao Amargo kg</v>
      </c>
      <c r="C97" s="110">
        <v>0</v>
      </c>
      <c r="D97" s="100">
        <f ca="1">IFERROR(__xludf.DUMMYFUNCTION("""COMPUTED_VALUE"""),6850)</f>
        <v>6850</v>
      </c>
      <c r="E97" s="101" t="str">
        <f ca="1">IFERROR(__xludf.DUMMYFUNCTION("""COMPUTED_VALUE"""),"KG")</f>
        <v>KG</v>
      </c>
      <c r="F97" s="101" t="str">
        <f ca="1">IFERROR(__xludf.DUMMYFUNCTION("""COMPUTED_VALUE"""),"Pastelería")</f>
        <v>Pastelería</v>
      </c>
      <c r="G97" s="102">
        <f t="shared" ca="1" si="0"/>
        <v>0</v>
      </c>
      <c r="H97" s="103">
        <f t="shared" ca="1" si="1"/>
        <v>0</v>
      </c>
      <c r="I97" s="104">
        <f t="shared" ca="1" si="2"/>
        <v>0</v>
      </c>
      <c r="J97" s="15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9.5" customHeight="1">
      <c r="A98" s="7" t="str">
        <f ca="1">IFERROR(__xludf.DUMMYFUNCTION("""COMPUTED_VALUE"""),"ti-ing-dd0f1244-936b-4a8b-b9b2-4a35e302d871")</f>
        <v>ti-ing-dd0f1244-936b-4a8b-b9b2-4a35e302d871</v>
      </c>
      <c r="B98" s="98" t="str">
        <f ca="1">IFERROR(__xludf.DUMMYFUNCTION("""COMPUTED_VALUE"""),"Canela en polvo kg")</f>
        <v>Canela en polvo kg</v>
      </c>
      <c r="C98" s="110">
        <v>1</v>
      </c>
      <c r="D98" s="100">
        <f ca="1">IFERROR(__xludf.DUMMYFUNCTION("""COMPUTED_VALUE"""),9950)</f>
        <v>9950</v>
      </c>
      <c r="E98" s="101" t="str">
        <f ca="1">IFERROR(__xludf.DUMMYFUNCTION("""COMPUTED_VALUE"""),"KG")</f>
        <v>KG</v>
      </c>
      <c r="F98" s="101" t="str">
        <f ca="1">IFERROR(__xludf.DUMMYFUNCTION("""COMPUTED_VALUE"""),"Pastelería")</f>
        <v>Pastelería</v>
      </c>
      <c r="G98" s="102">
        <f t="shared" ca="1" si="0"/>
        <v>9950</v>
      </c>
      <c r="H98" s="103">
        <f t="shared" ca="1" si="1"/>
        <v>1890.5</v>
      </c>
      <c r="I98" s="104">
        <f t="shared" ca="1" si="2"/>
        <v>11840.5</v>
      </c>
      <c r="J98" s="15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9.5" customHeight="1">
      <c r="A99" s="7" t="str">
        <f ca="1">IFERROR(__xludf.DUMMYFUNCTION("""COMPUTED_VALUE"""),"ti-ing-e2ad32fd-91fe-4192-9cde-5f837e2e4b91")</f>
        <v>ti-ing-e2ad32fd-91fe-4192-9cde-5f837e2e4b91</v>
      </c>
      <c r="B99" s="98" t="str">
        <f ca="1">IFERROR(__xludf.DUMMYFUNCTION("""COMPUTED_VALUE"""),"Puratos chocolate COVERLIC ALFAJOR")</f>
        <v>Puratos chocolate COVERLIC ALFAJOR</v>
      </c>
      <c r="C99" s="110">
        <v>4</v>
      </c>
      <c r="D99" s="100">
        <f ca="1">IFERROR(__xludf.DUMMYFUNCTION("""COMPUTED_VALUE"""),5402.034969)</f>
        <v>5402.0349690000003</v>
      </c>
      <c r="E99" s="101" t="str">
        <f ca="1">IFERROR(__xludf.DUMMYFUNCTION("""COMPUTED_VALUE"""),"KG")</f>
        <v>KG</v>
      </c>
      <c r="F99" s="101" t="str">
        <f ca="1">IFERROR(__xludf.DUMMYFUNCTION("""COMPUTED_VALUE"""),"Pastelería")</f>
        <v>Pastelería</v>
      </c>
      <c r="G99" s="102">
        <f t="shared" ca="1" si="0"/>
        <v>21608.139876000001</v>
      </c>
      <c r="H99" s="103">
        <f t="shared" ca="1" si="1"/>
        <v>4105.5465764400005</v>
      </c>
      <c r="I99" s="104">
        <f t="shared" ca="1" si="2"/>
        <v>25713.686452440001</v>
      </c>
      <c r="J99" s="15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9.5" customHeight="1">
      <c r="A100" s="7" t="str">
        <f ca="1">IFERROR(__xludf.DUMMYFUNCTION("""COMPUTED_VALUE"""),"ti-ing-d2cbc387-665d-4102-ac94-18a1ec32b684")</f>
        <v>ti-ing-d2cbc387-665d-4102-ac94-18a1ec32b684</v>
      </c>
      <c r="B100" s="98" t="str">
        <f ca="1">IFERROR(__xludf.DUMMYFUNCTION("""COMPUTED_VALUE"""),"Baguette")</f>
        <v>Baguette</v>
      </c>
      <c r="C100" s="110">
        <v>35</v>
      </c>
      <c r="D100" s="100">
        <f ca="1">IFERROR(__xludf.DUMMYFUNCTION("""COMPUTED_VALUE"""),258)</f>
        <v>258</v>
      </c>
      <c r="E100" s="101" t="str">
        <f ca="1">IFERROR(__xludf.DUMMYFUNCTION("""COMPUTED_VALUE"""),"UN")</f>
        <v>UN</v>
      </c>
      <c r="F100" s="101" t="str">
        <f ca="1">IFERROR(__xludf.DUMMYFUNCTION("""COMPUTED_VALUE"""),"Productos Elaborados")</f>
        <v>Productos Elaborados</v>
      </c>
      <c r="G100" s="102">
        <f t="shared" ca="1" si="0"/>
        <v>9030</v>
      </c>
      <c r="H100" s="103">
        <f t="shared" ca="1" si="1"/>
        <v>1715.7</v>
      </c>
      <c r="I100" s="104">
        <f t="shared" ca="1" si="2"/>
        <v>10745.7</v>
      </c>
      <c r="J100" s="15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9.5" customHeight="1">
      <c r="A101" s="7" t="str">
        <f ca="1">IFERROR(__xludf.DUMMYFUNCTION("""COMPUTED_VALUE"""),"ti-ing-3aa40fb1-5c47-4416-af5a-8b222e930f5b")</f>
        <v>ti-ing-3aa40fb1-5c47-4416-af5a-8b222e930f5b</v>
      </c>
      <c r="B101" s="98" t="str">
        <f ca="1">IFERROR(__xludf.DUMMYFUNCTION("""COMPUTED_VALUE"""),"Baguettin")</f>
        <v>Baguettin</v>
      </c>
      <c r="C101" s="110">
        <v>12.4</v>
      </c>
      <c r="D101" s="100">
        <f ca="1">IFERROR(__xludf.DUMMYFUNCTION("""COMPUTED_VALUE"""),200)</f>
        <v>200</v>
      </c>
      <c r="E101" s="101" t="str">
        <f ca="1">IFERROR(__xludf.DUMMYFUNCTION("""COMPUTED_VALUE"""),"UN")</f>
        <v>UN</v>
      </c>
      <c r="F101" s="101" t="str">
        <f ca="1">IFERROR(__xludf.DUMMYFUNCTION("""COMPUTED_VALUE"""),"Productos Elaborados")</f>
        <v>Productos Elaborados</v>
      </c>
      <c r="G101" s="102">
        <f t="shared" ca="1" si="0"/>
        <v>2480</v>
      </c>
      <c r="H101" s="103">
        <f t="shared" ca="1" si="1"/>
        <v>471.2</v>
      </c>
      <c r="I101" s="104">
        <f t="shared" ca="1" si="2"/>
        <v>2951.2</v>
      </c>
      <c r="J101" s="15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9.5" customHeight="1">
      <c r="A102" s="7" t="str">
        <f ca="1">IFERROR(__xludf.DUMMYFUNCTION("""COMPUTED_VALUE"""),"ti-ing-eb54101d-0621-43e2-b68d-e2ca2e84264b")</f>
        <v>ti-ing-eb54101d-0621-43e2-b68d-e2ca2e84264b</v>
      </c>
      <c r="B102" s="98" t="str">
        <f ca="1">IFERROR(__xludf.DUMMYFUNCTION("""COMPUTED_VALUE"""),"Bolsa pan hamburguesa 4 un")</f>
        <v>Bolsa pan hamburguesa 4 un</v>
      </c>
      <c r="C102" s="109">
        <v>0</v>
      </c>
      <c r="D102" s="100">
        <f ca="1">IFERROR(__xludf.DUMMYFUNCTION("""COMPUTED_VALUE"""),1060)</f>
        <v>1060</v>
      </c>
      <c r="E102" s="101" t="str">
        <f ca="1">IFERROR(__xludf.DUMMYFUNCTION("""COMPUTED_VALUE"""),"UN")</f>
        <v>UN</v>
      </c>
      <c r="F102" s="101" t="str">
        <f ca="1">IFERROR(__xludf.DUMMYFUNCTION("""COMPUTED_VALUE"""),"Productos Elaborados")</f>
        <v>Productos Elaborados</v>
      </c>
      <c r="G102" s="102">
        <f t="shared" ca="1" si="0"/>
        <v>0</v>
      </c>
      <c r="H102" s="103">
        <f t="shared" ca="1" si="1"/>
        <v>0</v>
      </c>
      <c r="I102" s="104">
        <f t="shared" ca="1" si="2"/>
        <v>0</v>
      </c>
      <c r="J102" s="15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9.5" customHeight="1">
      <c r="A103" s="7" t="str">
        <f ca="1">IFERROR(__xludf.DUMMYFUNCTION("""COMPUTED_VALUE"""),"ti-ing-49c179fb-ea02-49c2-a6a0-acc8e6349bbb")</f>
        <v>ti-ing-49c179fb-ea02-49c2-a6a0-acc8e6349bbb</v>
      </c>
      <c r="B103" s="98" t="str">
        <f ca="1">IFERROR(__xludf.DUMMYFUNCTION("""COMPUTED_VALUE"""),"Bolsa pan rallado x kilo")</f>
        <v>Bolsa pan rallado x kilo</v>
      </c>
      <c r="C103" s="109">
        <v>33</v>
      </c>
      <c r="D103" s="100">
        <f ca="1">IFERROR(__xludf.DUMMYFUNCTION("""COMPUTED_VALUE"""),700)</f>
        <v>700</v>
      </c>
      <c r="E103" s="101" t="str">
        <f ca="1">IFERROR(__xludf.DUMMYFUNCTION("""COMPUTED_VALUE"""),"KG")</f>
        <v>KG</v>
      </c>
      <c r="F103" s="101" t="str">
        <f ca="1">IFERROR(__xludf.DUMMYFUNCTION("""COMPUTED_VALUE"""),"Productos Elaborados")</f>
        <v>Productos Elaborados</v>
      </c>
      <c r="G103" s="102">
        <f t="shared" ca="1" si="0"/>
        <v>23100</v>
      </c>
      <c r="H103" s="103">
        <f t="shared" ca="1" si="1"/>
        <v>4389</v>
      </c>
      <c r="I103" s="104">
        <f t="shared" ca="1" si="2"/>
        <v>27489</v>
      </c>
      <c r="J103" s="15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9.5" customHeight="1">
      <c r="A104" s="7" t="str">
        <f ca="1">IFERROR(__xludf.DUMMYFUNCTION("""COMPUTED_VALUE"""),"ti-ing-cd95c43c-069d-439d-881c-35b23623d837")</f>
        <v>ti-ing-cd95c43c-069d-439d-881c-35b23623d837</v>
      </c>
      <c r="B104" s="98" t="str">
        <f ca="1">IFERROR(__xludf.DUMMYFUNCTION("""COMPUTED_VALUE"""),"Brioche cebolla x 6un")</f>
        <v>Brioche cebolla x 6un</v>
      </c>
      <c r="C104" s="109">
        <v>0</v>
      </c>
      <c r="D104" s="100">
        <f ca="1">IFERROR(__xludf.DUMMYFUNCTION("""COMPUTED_VALUE"""),1000)</f>
        <v>1000</v>
      </c>
      <c r="E104" s="101" t="str">
        <f ca="1">IFERROR(__xludf.DUMMYFUNCTION("""COMPUTED_VALUE"""),"UN")</f>
        <v>UN</v>
      </c>
      <c r="F104" s="101" t="str">
        <f ca="1">IFERROR(__xludf.DUMMYFUNCTION("""COMPUTED_VALUE"""),"Productos Elaborados")</f>
        <v>Productos Elaborados</v>
      </c>
      <c r="G104" s="102">
        <f t="shared" ca="1" si="0"/>
        <v>0</v>
      </c>
      <c r="H104" s="103">
        <f t="shared" ca="1" si="1"/>
        <v>0</v>
      </c>
      <c r="I104" s="104">
        <f t="shared" ca="1" si="2"/>
        <v>0</v>
      </c>
      <c r="J104" s="15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9.5" customHeight="1">
      <c r="A105" s="7" t="str">
        <f ca="1">IFERROR(__xludf.DUMMYFUNCTION("""COMPUTED_VALUE"""),"ti-ing-1a0bb16f-dd0d-4046-821b-d6620f443cdc")</f>
        <v>ti-ing-1a0bb16f-dd0d-4046-821b-d6620f443cdc</v>
      </c>
      <c r="B105" s="98" t="str">
        <f ca="1">IFERROR(__xludf.DUMMYFUNCTION("""COMPUTED_VALUE"""),"Brioche chocochips 6xun")</f>
        <v>Brioche chocochips 6xun</v>
      </c>
      <c r="C105" s="109">
        <v>1</v>
      </c>
      <c r="D105" s="100">
        <f ca="1">IFERROR(__xludf.DUMMYFUNCTION("""COMPUTED_VALUE"""),1000)</f>
        <v>1000</v>
      </c>
      <c r="E105" s="101" t="str">
        <f ca="1">IFERROR(__xludf.DUMMYFUNCTION("""COMPUTED_VALUE"""),"UN")</f>
        <v>UN</v>
      </c>
      <c r="F105" s="101" t="str">
        <f ca="1">IFERROR(__xludf.DUMMYFUNCTION("""COMPUTED_VALUE"""),"Productos Elaborados")</f>
        <v>Productos Elaborados</v>
      </c>
      <c r="G105" s="102">
        <f t="shared" ca="1" si="0"/>
        <v>1000</v>
      </c>
      <c r="H105" s="103">
        <f t="shared" ca="1" si="1"/>
        <v>190</v>
      </c>
      <c r="I105" s="104">
        <f t="shared" ca="1" si="2"/>
        <v>1190</v>
      </c>
      <c r="J105" s="15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9.5" customHeight="1">
      <c r="A106" s="7" t="str">
        <f ca="1">IFERROR(__xludf.DUMMYFUNCTION("""COMPUTED_VALUE"""),"ti-ing-79520131-8f1b-4c98-b425-126eac94229a")</f>
        <v>ti-ing-79520131-8f1b-4c98-b425-126eac94229a</v>
      </c>
      <c r="B106" s="98" t="str">
        <f ca="1">IFERROR(__xludf.DUMMYFUNCTION("""COMPUTED_VALUE"""),"Brownie bolsa")</f>
        <v>Brownie bolsa</v>
      </c>
      <c r="C106" s="109">
        <v>0</v>
      </c>
      <c r="D106" s="100">
        <f ca="1">IFERROR(__xludf.DUMMYFUNCTION("""COMPUTED_VALUE"""),989)</f>
        <v>989</v>
      </c>
      <c r="E106" s="101" t="str">
        <f ca="1">IFERROR(__xludf.DUMMYFUNCTION("""COMPUTED_VALUE"""),"UN")</f>
        <v>UN</v>
      </c>
      <c r="F106" s="101" t="str">
        <f ca="1">IFERROR(__xludf.DUMMYFUNCTION("""COMPUTED_VALUE"""),"Productos Elaborados")</f>
        <v>Productos Elaborados</v>
      </c>
      <c r="G106" s="102">
        <f t="shared" ca="1" si="0"/>
        <v>0</v>
      </c>
      <c r="H106" s="103">
        <f t="shared" ca="1" si="1"/>
        <v>0</v>
      </c>
      <c r="I106" s="104">
        <f t="shared" ca="1" si="2"/>
        <v>0</v>
      </c>
      <c r="J106" s="15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9.5" customHeight="1">
      <c r="A107" s="7" t="str">
        <f ca="1">IFERROR(__xludf.DUMMYFUNCTION("""COMPUTED_VALUE"""),"ti-ing-7d7a3c5e-eed3-4428-8da5-c1c34064ed9b")</f>
        <v>ti-ing-7d7a3c5e-eed3-4428-8da5-c1c34064ed9b</v>
      </c>
      <c r="B107" s="98" t="str">
        <f ca="1">IFERROR(__xludf.DUMMYFUNCTION("""COMPUTED_VALUE"""),"Cachito base")</f>
        <v>Cachito base</v>
      </c>
      <c r="C107" s="109">
        <v>0</v>
      </c>
      <c r="D107" s="111">
        <f ca="1">IFERROR(__xludf.DUMMYFUNCTION("""COMPUTED_VALUE"""),250)</f>
        <v>250</v>
      </c>
      <c r="E107" s="101" t="str">
        <f ca="1">IFERROR(__xludf.DUMMYFUNCTION("""COMPUTED_VALUE"""),"UN")</f>
        <v>UN</v>
      </c>
      <c r="F107" s="101" t="str">
        <f ca="1">IFERROR(__xludf.DUMMYFUNCTION("""COMPUTED_VALUE"""),"Productos Elaborados")</f>
        <v>Productos Elaborados</v>
      </c>
      <c r="G107" s="102">
        <f t="shared" ca="1" si="0"/>
        <v>0</v>
      </c>
      <c r="H107" s="103">
        <f t="shared" ca="1" si="1"/>
        <v>0</v>
      </c>
      <c r="I107" s="104">
        <f t="shared" ca="1" si="2"/>
        <v>0</v>
      </c>
      <c r="J107" s="15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9.5" customHeight="1">
      <c r="A108" s="7" t="str">
        <f ca="1">IFERROR(__xludf.DUMMYFUNCTION("""COMPUTED_VALUE"""),"ti-ing-35b6be63-828c-48a6-a0c2-91cbd737deb5")</f>
        <v>ti-ing-35b6be63-828c-48a6-a0c2-91cbd737deb5</v>
      </c>
      <c r="B108" s="98" t="str">
        <f ca="1">IFERROR(__xludf.DUMMYFUNCTION("""COMPUTED_VALUE"""),"CAJA GALLETA MANTEQUILLA")</f>
        <v>CAJA GALLETA MANTEQUILLA</v>
      </c>
      <c r="C108" s="109">
        <v>0</v>
      </c>
      <c r="D108" s="100">
        <f ca="1">IFERROR(__xludf.DUMMYFUNCTION("""COMPUTED_VALUE"""),1874)</f>
        <v>1874</v>
      </c>
      <c r="E108" s="101" t="str">
        <f ca="1">IFERROR(__xludf.DUMMYFUNCTION("""COMPUTED_VALUE"""),"UN")</f>
        <v>UN</v>
      </c>
      <c r="F108" s="101" t="str">
        <f ca="1">IFERROR(__xludf.DUMMYFUNCTION("""COMPUTED_VALUE"""),"Productos Elaborados")</f>
        <v>Productos Elaborados</v>
      </c>
      <c r="G108" s="102">
        <f t="shared" ca="1" si="0"/>
        <v>0</v>
      </c>
      <c r="H108" s="103">
        <f t="shared" ca="1" si="1"/>
        <v>0</v>
      </c>
      <c r="I108" s="104">
        <f t="shared" ca="1" si="2"/>
        <v>0</v>
      </c>
      <c r="J108" s="15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9.5" customHeight="1">
      <c r="A109" s="7" t="str">
        <f ca="1">IFERROR(__xludf.DUMMYFUNCTION("""COMPUTED_VALUE"""),"ti-ing-ac0a2fcc-7c72-4d34-96cb-5ebd37d774dd")</f>
        <v>ti-ing-ac0a2fcc-7c72-4d34-96cb-5ebd37d774dd</v>
      </c>
      <c r="B109" s="98" t="str">
        <f ca="1">IFERROR(__xludf.DUMMYFUNCTION("""COMPUTED_VALUE"""),"Caramandunga")</f>
        <v>Caramandunga</v>
      </c>
      <c r="C109" s="109">
        <v>26.52</v>
      </c>
      <c r="D109" s="100">
        <f ca="1">IFERROR(__xludf.DUMMYFUNCTION("""COMPUTED_VALUE"""),1000)</f>
        <v>1000</v>
      </c>
      <c r="E109" s="101" t="str">
        <f ca="1">IFERROR(__xludf.DUMMYFUNCTION("""COMPUTED_VALUE"""),"KG")</f>
        <v>KG</v>
      </c>
      <c r="F109" s="101" t="str">
        <f ca="1">IFERROR(__xludf.DUMMYFUNCTION("""COMPUTED_VALUE"""),"Productos Elaborados")</f>
        <v>Productos Elaborados</v>
      </c>
      <c r="G109" s="102">
        <f t="shared" ca="1" si="0"/>
        <v>26520</v>
      </c>
      <c r="H109" s="103">
        <f t="shared" ca="1" si="1"/>
        <v>5038.8</v>
      </c>
      <c r="I109" s="104">
        <f t="shared" ca="1" si="2"/>
        <v>31558.799999999999</v>
      </c>
      <c r="J109" s="15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9.5" customHeight="1">
      <c r="A110" s="7" t="str">
        <f ca="1">IFERROR(__xludf.DUMMYFUNCTION("""COMPUTED_VALUE"""),"ti-ing-d4dd309e-c332-44c1-a41b-88efd5b35484")</f>
        <v>ti-ing-d4dd309e-c332-44c1-a41b-88efd5b35484</v>
      </c>
      <c r="B110" s="98" t="str">
        <f ca="1">IFERROR(__xludf.DUMMYFUNCTION("""COMPUTED_VALUE"""),"Caramandunga chips de chocolate")</f>
        <v>Caramandunga chips de chocolate</v>
      </c>
      <c r="C110" s="109">
        <v>28.79</v>
      </c>
      <c r="D110" s="100">
        <f ca="1">IFERROR(__xludf.DUMMYFUNCTION("""COMPUTED_VALUE"""),1200)</f>
        <v>1200</v>
      </c>
      <c r="E110" s="101" t="str">
        <f ca="1">IFERROR(__xludf.DUMMYFUNCTION("""COMPUTED_VALUE"""),"KG")</f>
        <v>KG</v>
      </c>
      <c r="F110" s="101" t="str">
        <f ca="1">IFERROR(__xludf.DUMMYFUNCTION("""COMPUTED_VALUE"""),"Productos Elaborados")</f>
        <v>Productos Elaborados</v>
      </c>
      <c r="G110" s="102">
        <f t="shared" ca="1" si="0"/>
        <v>34548</v>
      </c>
      <c r="H110" s="103">
        <f t="shared" ca="1" si="1"/>
        <v>6564.12</v>
      </c>
      <c r="I110" s="104">
        <f t="shared" ca="1" si="2"/>
        <v>41112.120000000003</v>
      </c>
      <c r="J110" s="15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9.5" customHeight="1">
      <c r="A111" s="7" t="str">
        <f ca="1">IFERROR(__xludf.DUMMYFUNCTION("""COMPUTED_VALUE"""),"ti-ing-9772d9be-68ae-4ae1-8101-c9ccbbf7e8f1")</f>
        <v>ti-ing-9772d9be-68ae-4ae1-8101-c9ccbbf7e8f1</v>
      </c>
      <c r="B111" s="98" t="str">
        <f ca="1">IFERROR(__xludf.DUMMYFUNCTION("""COMPUTED_VALUE"""),"Ciabatta")</f>
        <v>Ciabatta</v>
      </c>
      <c r="C111" s="109">
        <v>48.11</v>
      </c>
      <c r="D111" s="100">
        <f ca="1">IFERROR(__xludf.DUMMYFUNCTION("""COMPUTED_VALUE"""),1315.67)</f>
        <v>1315.67</v>
      </c>
      <c r="E111" s="101" t="str">
        <f ca="1">IFERROR(__xludf.DUMMYFUNCTION("""COMPUTED_VALUE"""),"KG")</f>
        <v>KG</v>
      </c>
      <c r="F111" s="101" t="str">
        <f ca="1">IFERROR(__xludf.DUMMYFUNCTION("""COMPUTED_VALUE"""),"Productos Elaborados")</f>
        <v>Productos Elaborados</v>
      </c>
      <c r="G111" s="102">
        <f t="shared" ca="1" si="0"/>
        <v>63296.883700000006</v>
      </c>
      <c r="H111" s="103">
        <f t="shared" ca="1" si="1"/>
        <v>12026.407903000001</v>
      </c>
      <c r="I111" s="104">
        <f t="shared" ca="1" si="2"/>
        <v>75323.291603000005</v>
      </c>
      <c r="J111" s="15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9.5" customHeight="1">
      <c r="A112" s="7" t="str">
        <f ca="1">IFERROR(__xludf.DUMMYFUNCTION("""COMPUTED_VALUE"""),"ti-ing-2c3bb795-84cc-4545-b75c-6eb2afe9a214")</f>
        <v>ti-ing-2c3bb795-84cc-4545-b75c-6eb2afe9a214</v>
      </c>
      <c r="B112" s="98" t="str">
        <f ca="1">IFERROR(__xludf.DUMMYFUNCTION("""COMPUTED_VALUE"""),"Ciabatta integral")</f>
        <v>Ciabatta integral</v>
      </c>
      <c r="C112" s="109">
        <v>14.6</v>
      </c>
      <c r="D112" s="100">
        <f ca="1">IFERROR(__xludf.DUMMYFUNCTION("""COMPUTED_VALUE"""),300)</f>
        <v>300</v>
      </c>
      <c r="E112" s="101" t="str">
        <f ca="1">IFERROR(__xludf.DUMMYFUNCTION("""COMPUTED_VALUE"""),"kg")</f>
        <v>kg</v>
      </c>
      <c r="F112" s="101" t="str">
        <f ca="1">IFERROR(__xludf.DUMMYFUNCTION("""COMPUTED_VALUE"""),"Productos Elaborados")</f>
        <v>Productos Elaborados</v>
      </c>
      <c r="G112" s="102">
        <f t="shared" ca="1" si="0"/>
        <v>4380</v>
      </c>
      <c r="H112" s="103">
        <f t="shared" ca="1" si="1"/>
        <v>832.2</v>
      </c>
      <c r="I112" s="104">
        <f t="shared" ca="1" si="2"/>
        <v>5212.2</v>
      </c>
      <c r="J112" s="15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9.5" customHeight="1">
      <c r="A113" s="7" t="str">
        <f ca="1">IFERROR(__xludf.DUMMYFUNCTION("""COMPUTED_VALUE"""),"ti-ing-36c2f8ce-3f60-4a52-9f14-503c24abcaf4")</f>
        <v>ti-ing-36c2f8ce-3f60-4a52-9f14-503c24abcaf4</v>
      </c>
      <c r="B113" s="98" t="str">
        <f ca="1">IFERROR(__xludf.DUMMYFUNCTION("""COMPUTED_VALUE"""),"Ciabatta integral semillas ")</f>
        <v xml:space="preserve">Ciabatta integral semillas </v>
      </c>
      <c r="C113" s="109">
        <v>20</v>
      </c>
      <c r="D113" s="100">
        <f ca="1">IFERROR(__xludf.DUMMYFUNCTION("""COMPUTED_VALUE"""),300)</f>
        <v>300</v>
      </c>
      <c r="E113" s="101" t="str">
        <f ca="1">IFERROR(__xludf.DUMMYFUNCTION("""COMPUTED_VALUE"""),"KG")</f>
        <v>KG</v>
      </c>
      <c r="F113" s="101" t="str">
        <f ca="1">IFERROR(__xludf.DUMMYFUNCTION("""COMPUTED_VALUE"""),"Productos Elaborados")</f>
        <v>Productos Elaborados</v>
      </c>
      <c r="G113" s="102">
        <f t="shared" ca="1" si="0"/>
        <v>6000</v>
      </c>
      <c r="H113" s="103">
        <f t="shared" ca="1" si="1"/>
        <v>1140</v>
      </c>
      <c r="I113" s="104">
        <f t="shared" ca="1" si="2"/>
        <v>7140</v>
      </c>
      <c r="J113" s="15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9.5" customHeight="1">
      <c r="A114" s="7" t="str">
        <f ca="1">IFERROR(__xludf.DUMMYFUNCTION("""COMPUTED_VALUE"""),"ti-ing-996c18ce-c41e-4057-bc7c-c7f7081ab046")</f>
        <v>ti-ing-996c18ce-c41e-4057-bc7c-c7f7081ab046</v>
      </c>
      <c r="B114" s="98" t="str">
        <f ca="1">IFERROR(__xludf.DUMMYFUNCTION("""COMPUTED_VALUE"""),"Cinamon roll")</f>
        <v>Cinamon roll</v>
      </c>
      <c r="C114" s="109">
        <v>25</v>
      </c>
      <c r="D114" s="100">
        <f ca="1">IFERROR(__xludf.DUMMYFUNCTION("""COMPUTED_VALUE"""),500)</f>
        <v>500</v>
      </c>
      <c r="E114" s="101" t="str">
        <f ca="1">IFERROR(__xludf.DUMMYFUNCTION("""COMPUTED_VALUE"""),"UN")</f>
        <v>UN</v>
      </c>
      <c r="F114" s="101" t="str">
        <f ca="1">IFERROR(__xludf.DUMMYFUNCTION("""COMPUTED_VALUE"""),"Productos Elaborados")</f>
        <v>Productos Elaborados</v>
      </c>
      <c r="G114" s="102">
        <f t="shared" ca="1" si="0"/>
        <v>12500</v>
      </c>
      <c r="H114" s="103">
        <f t="shared" ca="1" si="1"/>
        <v>2375</v>
      </c>
      <c r="I114" s="104">
        <f t="shared" ca="1" si="2"/>
        <v>14875</v>
      </c>
      <c r="J114" s="15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9.5" customHeight="1">
      <c r="A115" s="7" t="str">
        <f ca="1">IFERROR(__xludf.DUMMYFUNCTION("""COMPUTED_VALUE"""),"ti-ing-00e37207-4fa5-4f8e-bd90-ee2c24c0d71f")</f>
        <v>ti-ing-00e37207-4fa5-4f8e-bd90-ee2c24c0d71f</v>
      </c>
      <c r="B115" s="98" t="str">
        <f ca="1">IFERROR(__xludf.DUMMYFUNCTION("""COMPUTED_VALUE"""),"COCADAS BOLSA")</f>
        <v>COCADAS BOLSA</v>
      </c>
      <c r="C115" s="109">
        <v>118</v>
      </c>
      <c r="D115" s="100">
        <f ca="1">IFERROR(__xludf.DUMMYFUNCTION("""COMPUTED_VALUE"""),930)</f>
        <v>930</v>
      </c>
      <c r="E115" s="101" t="str">
        <f ca="1">IFERROR(__xludf.DUMMYFUNCTION("""COMPUTED_VALUE"""),"UN")</f>
        <v>UN</v>
      </c>
      <c r="F115" s="101" t="str">
        <f ca="1">IFERROR(__xludf.DUMMYFUNCTION("""COMPUTED_VALUE"""),"Productos Elaborados")</f>
        <v>Productos Elaborados</v>
      </c>
      <c r="G115" s="102">
        <f t="shared" ca="1" si="0"/>
        <v>109740</v>
      </c>
      <c r="H115" s="103">
        <f t="shared" ca="1" si="1"/>
        <v>20850.599999999999</v>
      </c>
      <c r="I115" s="104">
        <f t="shared" ca="1" si="2"/>
        <v>130590.6</v>
      </c>
      <c r="J115" s="15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9.5" customHeight="1">
      <c r="A116" s="7" t="str">
        <f ca="1">IFERROR(__xludf.DUMMYFUNCTION("""COMPUTED_VALUE"""),"ti-ing-bf3417a5-5027-4c2b-8b17-4beebab986d3")</f>
        <v>ti-ing-bf3417a5-5027-4c2b-8b17-4beebab986d3</v>
      </c>
      <c r="B116" s="98" t="str">
        <f ca="1">IFERROR(__xludf.DUMMYFUNCTION("""COMPUTED_VALUE"""),"Colegial molde")</f>
        <v>Colegial molde</v>
      </c>
      <c r="C116" s="109">
        <v>3</v>
      </c>
      <c r="D116" s="100">
        <f ca="1">IFERROR(__xludf.DUMMYFUNCTION("""COMPUTED_VALUE"""),750)</f>
        <v>750</v>
      </c>
      <c r="E116" s="101" t="str">
        <f ca="1">IFERROR(__xludf.DUMMYFUNCTION("""COMPUTED_VALUE"""),"UN")</f>
        <v>UN</v>
      </c>
      <c r="F116" s="101" t="str">
        <f ca="1">IFERROR(__xludf.DUMMYFUNCTION("""COMPUTED_VALUE"""),"Productos Elaborados")</f>
        <v>Productos Elaborados</v>
      </c>
      <c r="G116" s="102">
        <f t="shared" ca="1" si="0"/>
        <v>2250</v>
      </c>
      <c r="H116" s="103">
        <f t="shared" ca="1" si="1"/>
        <v>427.5</v>
      </c>
      <c r="I116" s="104">
        <f t="shared" ca="1" si="2"/>
        <v>2677.5</v>
      </c>
      <c r="J116" s="15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9.5" customHeight="1">
      <c r="A117" s="7" t="str">
        <f ca="1">IFERROR(__xludf.DUMMYFUNCTION("""COMPUTED_VALUE"""),"ti-ing-61b594f9-91cf-40a6-949d-89c9d5361881")</f>
        <v>ti-ing-61b594f9-91cf-40a6-949d-89c9d5361881</v>
      </c>
      <c r="B117" s="98" t="str">
        <f ca="1">IFERROR(__xludf.DUMMYFUNCTION("""COMPUTED_VALUE"""),"Croissant 120 base")</f>
        <v>Croissant 120 base</v>
      </c>
      <c r="C117" s="109">
        <v>0</v>
      </c>
      <c r="D117" s="100">
        <f ca="1">IFERROR(__xludf.DUMMYFUNCTION("""COMPUTED_VALUE"""),120)</f>
        <v>120</v>
      </c>
      <c r="E117" s="101" t="str">
        <f ca="1">IFERROR(__xludf.DUMMYFUNCTION("""COMPUTED_VALUE"""),"UN")</f>
        <v>UN</v>
      </c>
      <c r="F117" s="101" t="str">
        <f ca="1">IFERROR(__xludf.DUMMYFUNCTION("""COMPUTED_VALUE"""),"Productos Elaborados")</f>
        <v>Productos Elaborados</v>
      </c>
      <c r="G117" s="102">
        <f t="shared" ca="1" si="0"/>
        <v>0</v>
      </c>
      <c r="H117" s="103">
        <f t="shared" ca="1" si="1"/>
        <v>0</v>
      </c>
      <c r="I117" s="104">
        <f t="shared" ca="1" si="2"/>
        <v>0</v>
      </c>
      <c r="J117" s="15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9.5" customHeight="1">
      <c r="A118" s="7" t="str">
        <f ca="1">IFERROR(__xludf.DUMMYFUNCTION("""COMPUTED_VALUE"""),"ti-ing-4264b4d8-2063-4b41-b98b-f349dcdd3ee1")</f>
        <v>ti-ing-4264b4d8-2063-4b41-b98b-f349dcdd3ee1</v>
      </c>
      <c r="B118" s="98" t="str">
        <f ca="1">IFERROR(__xludf.DUMMYFUNCTION("""COMPUTED_VALUE"""),"Croissant 140 base")</f>
        <v>Croissant 140 base</v>
      </c>
      <c r="C118" s="109">
        <v>1400</v>
      </c>
      <c r="D118" s="100">
        <f ca="1">IFERROR(__xludf.DUMMYFUNCTION("""COMPUTED_VALUE"""),571)</f>
        <v>571</v>
      </c>
      <c r="E118" s="101" t="str">
        <f ca="1">IFERROR(__xludf.DUMMYFUNCTION("""COMPUTED_VALUE"""),"UN")</f>
        <v>UN</v>
      </c>
      <c r="F118" s="101" t="str">
        <f ca="1">IFERROR(__xludf.DUMMYFUNCTION("""COMPUTED_VALUE"""),"Productos Elaborados")</f>
        <v>Productos Elaborados</v>
      </c>
      <c r="G118" s="102">
        <f t="shared" ca="1" si="0"/>
        <v>799400</v>
      </c>
      <c r="H118" s="103">
        <f t="shared" ca="1" si="1"/>
        <v>151886</v>
      </c>
      <c r="I118" s="104">
        <f t="shared" ca="1" si="2"/>
        <v>951286</v>
      </c>
      <c r="J118" s="15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9.5" customHeight="1">
      <c r="A119" s="7" t="str">
        <f ca="1">IFERROR(__xludf.DUMMYFUNCTION("""COMPUTED_VALUE"""),"ti-ing-94fec31e-3ab6-4293-b514-ea5480b94e09")</f>
        <v>ti-ing-94fec31e-3ab6-4293-b514-ea5480b94e09</v>
      </c>
      <c r="B119" s="98" t="str">
        <f ca="1">IFERROR(__xludf.DUMMYFUNCTION("""COMPUTED_VALUE"""),"Croissant 4un")</f>
        <v>Croissant 4un</v>
      </c>
      <c r="C119" s="109">
        <v>0</v>
      </c>
      <c r="D119" s="100">
        <f ca="1">IFERROR(__xludf.DUMMYFUNCTION("""COMPUTED_VALUE"""),1000)</f>
        <v>1000</v>
      </c>
      <c r="E119" s="101" t="str">
        <f ca="1">IFERROR(__xludf.DUMMYFUNCTION("""COMPUTED_VALUE"""),"UN")</f>
        <v>UN</v>
      </c>
      <c r="F119" s="101" t="str">
        <f ca="1">IFERROR(__xludf.DUMMYFUNCTION("""COMPUTED_VALUE"""),"Productos Elaborados")</f>
        <v>Productos Elaborados</v>
      </c>
      <c r="G119" s="102">
        <f t="shared" ca="1" si="0"/>
        <v>0</v>
      </c>
      <c r="H119" s="103">
        <f t="shared" ca="1" si="1"/>
        <v>0</v>
      </c>
      <c r="I119" s="104">
        <f t="shared" ca="1" si="2"/>
        <v>0</v>
      </c>
      <c r="J119" s="15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9.5" customHeight="1">
      <c r="A120" s="7" t="str">
        <f ca="1">IFERROR(__xludf.DUMMYFUNCTION("""COMPUTED_VALUE"""),"ti-ing-38411b9d-d841-4545-80b1-4ca4fd1cd57d")</f>
        <v>ti-ing-38411b9d-d841-4545-80b1-4ca4fd1cd57d</v>
      </c>
      <c r="B120" s="98" t="str">
        <f ca="1">IFERROR(__xludf.DUMMYFUNCTION("""COMPUTED_VALUE"""),"Croissant roll base")</f>
        <v>Croissant roll base</v>
      </c>
      <c r="C120" s="110">
        <v>40</v>
      </c>
      <c r="D120" s="100">
        <f ca="1">IFERROR(__xludf.DUMMYFUNCTION("""COMPUTED_VALUE"""),571)</f>
        <v>571</v>
      </c>
      <c r="E120" s="101" t="str">
        <f ca="1">IFERROR(__xludf.DUMMYFUNCTION("""COMPUTED_VALUE"""),"UN")</f>
        <v>UN</v>
      </c>
      <c r="F120" s="101" t="str">
        <f ca="1">IFERROR(__xludf.DUMMYFUNCTION("""COMPUTED_VALUE"""),"Productos Elaborados")</f>
        <v>Productos Elaborados</v>
      </c>
      <c r="G120" s="102">
        <f t="shared" ca="1" si="0"/>
        <v>22840</v>
      </c>
      <c r="H120" s="103">
        <f t="shared" ca="1" si="1"/>
        <v>4339.6000000000004</v>
      </c>
      <c r="I120" s="104">
        <f t="shared" ca="1" si="2"/>
        <v>27179.599999999999</v>
      </c>
      <c r="J120" s="15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9.5" customHeight="1">
      <c r="A121" s="7" t="str">
        <f ca="1">IFERROR(__xludf.DUMMYFUNCTION("""COMPUTED_VALUE"""),"ti-ing-774b420c-f2dd-4477-b8aa-0b75e520f433")</f>
        <v>ti-ing-774b420c-f2dd-4477-b8aa-0b75e520f433</v>
      </c>
      <c r="B121" s="98" t="str">
        <f ca="1">IFERROR(__xludf.DUMMYFUNCTION("""COMPUTED_VALUE"""),"Dobladitas")</f>
        <v>Dobladitas</v>
      </c>
      <c r="C121" s="110">
        <v>6.7050000000000001</v>
      </c>
      <c r="D121" s="100">
        <f ca="1">IFERROR(__xludf.DUMMYFUNCTION("""COMPUTED_VALUE"""),1200)</f>
        <v>1200</v>
      </c>
      <c r="E121" s="101" t="str">
        <f ca="1">IFERROR(__xludf.DUMMYFUNCTION("""COMPUTED_VALUE"""),"KG")</f>
        <v>KG</v>
      </c>
      <c r="F121" s="101" t="str">
        <f ca="1">IFERROR(__xludf.DUMMYFUNCTION("""COMPUTED_VALUE"""),"Productos Elaborados")</f>
        <v>Productos Elaborados</v>
      </c>
      <c r="G121" s="102">
        <f t="shared" ca="1" si="0"/>
        <v>8046</v>
      </c>
      <c r="H121" s="103">
        <f t="shared" ca="1" si="1"/>
        <v>1528.74</v>
      </c>
      <c r="I121" s="104">
        <f t="shared" ca="1" si="2"/>
        <v>9574.74</v>
      </c>
      <c r="J121" s="15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9.5" customHeight="1">
      <c r="A122" s="7" t="str">
        <f ca="1">IFERROR(__xludf.DUMMYFUNCTION("""COMPUTED_VALUE"""),"ti-ing-23fdc89f-36ef-4620-ba52-752d4cf69a01")</f>
        <v>ti-ing-23fdc89f-36ef-4620-ba52-752d4cf69a01</v>
      </c>
      <c r="B122" s="98" t="str">
        <f ca="1">IFERROR(__xludf.DUMMYFUNCTION("""COMPUTED_VALUE"""),"Focaccia ")</f>
        <v xml:space="preserve">Focaccia </v>
      </c>
      <c r="C122" s="110">
        <v>4</v>
      </c>
      <c r="D122" s="100">
        <f ca="1">IFERROR(__xludf.DUMMYFUNCTION("""COMPUTED_VALUE"""),729)</f>
        <v>729</v>
      </c>
      <c r="E122" s="101" t="str">
        <f ca="1">IFERROR(__xludf.DUMMYFUNCTION("""COMPUTED_VALUE"""),"UN")</f>
        <v>UN</v>
      </c>
      <c r="F122" s="101" t="str">
        <f ca="1">IFERROR(__xludf.DUMMYFUNCTION("""COMPUTED_VALUE"""),"Productos Elaborados")</f>
        <v>Productos Elaborados</v>
      </c>
      <c r="G122" s="102">
        <f t="shared" ca="1" si="0"/>
        <v>2916</v>
      </c>
      <c r="H122" s="103">
        <f t="shared" ca="1" si="1"/>
        <v>554.04</v>
      </c>
      <c r="I122" s="104">
        <f t="shared" ca="1" si="2"/>
        <v>3470.04</v>
      </c>
      <c r="J122" s="15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9.5" customHeight="1">
      <c r="A123" s="7" t="str">
        <f ca="1">IFERROR(__xludf.DUMMYFUNCTION("""COMPUTED_VALUE"""),"ti-ing-bc77230d-96a4-428a-8717-99ad71f43a54")</f>
        <v>ti-ing-bc77230d-96a4-428a-8717-99ad71f43a54</v>
      </c>
      <c r="B123" s="98" t="str">
        <f ca="1">IFERROR(__xludf.DUMMYFUNCTION("""COMPUTED_VALUE"""),"Galleta Avena 3 un")</f>
        <v>Galleta Avena 3 un</v>
      </c>
      <c r="C123" s="110">
        <v>239</v>
      </c>
      <c r="D123" s="100">
        <f ca="1">IFERROR(__xludf.DUMMYFUNCTION("""COMPUTED_VALUE"""),559)</f>
        <v>559</v>
      </c>
      <c r="E123" s="101" t="str">
        <f ca="1">IFERROR(__xludf.DUMMYFUNCTION("""COMPUTED_VALUE"""),"UN")</f>
        <v>UN</v>
      </c>
      <c r="F123" s="101" t="str">
        <f ca="1">IFERROR(__xludf.DUMMYFUNCTION("""COMPUTED_VALUE"""),"Productos Elaborados")</f>
        <v>Productos Elaborados</v>
      </c>
      <c r="G123" s="102">
        <f t="shared" ca="1" si="0"/>
        <v>133601</v>
      </c>
      <c r="H123" s="103">
        <f t="shared" ca="1" si="1"/>
        <v>25384.19</v>
      </c>
      <c r="I123" s="104">
        <f t="shared" ca="1" si="2"/>
        <v>158985.19</v>
      </c>
      <c r="J123" s="15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9.5" customHeight="1">
      <c r="A124" s="7" t="str">
        <f ca="1">IFERROR(__xludf.DUMMYFUNCTION("""COMPUTED_VALUE"""),"ti-ing-6d145ed7-a9e8-48b6-bcc0-4db7b3c61b95")</f>
        <v>ti-ing-6d145ed7-a9e8-48b6-bcc0-4db7b3c61b95</v>
      </c>
      <c r="B124" s="98" t="str">
        <f ca="1">IFERROR(__xludf.DUMMYFUNCTION("""COMPUTED_VALUE"""),"Galleta chocolate 3 un")</f>
        <v>Galleta chocolate 3 un</v>
      </c>
      <c r="C124" s="110">
        <v>40</v>
      </c>
      <c r="D124" s="100">
        <f ca="1">IFERROR(__xludf.DUMMYFUNCTION("""COMPUTED_VALUE"""),639)</f>
        <v>639</v>
      </c>
      <c r="E124" s="101" t="str">
        <f ca="1">IFERROR(__xludf.DUMMYFUNCTION("""COMPUTED_VALUE"""),"UN")</f>
        <v>UN</v>
      </c>
      <c r="F124" s="101" t="str">
        <f ca="1">IFERROR(__xludf.DUMMYFUNCTION("""COMPUTED_VALUE"""),"Productos Elaborados")</f>
        <v>Productos Elaborados</v>
      </c>
      <c r="G124" s="102">
        <f t="shared" ca="1" si="0"/>
        <v>25560</v>
      </c>
      <c r="H124" s="103">
        <f t="shared" ca="1" si="1"/>
        <v>4856.3999999999996</v>
      </c>
      <c r="I124" s="104">
        <f t="shared" ca="1" si="2"/>
        <v>30416.400000000001</v>
      </c>
      <c r="J124" s="15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9.5" customHeight="1">
      <c r="A125" s="7" t="str">
        <f ca="1">IFERROR(__xludf.DUMMYFUNCTION("""COMPUTED_VALUE"""),"ti-ing-caaaf555-cbcc-443f-9828-9e54cd65d030")</f>
        <v>ti-ing-caaaf555-cbcc-443f-9828-9e54cd65d030</v>
      </c>
      <c r="B125" s="98" t="str">
        <f ca="1">IFERROR(__xludf.DUMMYFUNCTION("""COMPUTED_VALUE"""),"GALLETAS CHOCOCHIPS 3un")</f>
        <v>GALLETAS CHOCOCHIPS 3un</v>
      </c>
      <c r="C125" s="110">
        <v>113</v>
      </c>
      <c r="D125" s="100">
        <f ca="1">IFERROR(__xludf.DUMMYFUNCTION("""COMPUTED_VALUE"""),563)</f>
        <v>563</v>
      </c>
      <c r="E125" s="101" t="str">
        <f ca="1">IFERROR(__xludf.DUMMYFUNCTION("""COMPUTED_VALUE"""),"UN")</f>
        <v>UN</v>
      </c>
      <c r="F125" s="101" t="str">
        <f ca="1">IFERROR(__xludf.DUMMYFUNCTION("""COMPUTED_VALUE"""),"Productos Elaborados")</f>
        <v>Productos Elaborados</v>
      </c>
      <c r="G125" s="102">
        <f t="shared" ca="1" si="0"/>
        <v>63619</v>
      </c>
      <c r="H125" s="103">
        <f t="shared" ca="1" si="1"/>
        <v>12087.61</v>
      </c>
      <c r="I125" s="104">
        <f t="shared" ca="1" si="2"/>
        <v>75706.61</v>
      </c>
      <c r="J125" s="15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9.5" customHeight="1">
      <c r="A126" s="7" t="str">
        <f ca="1">IFERROR(__xludf.DUMMYFUNCTION("""COMPUTED_VALUE"""),"ti-ing-00a74b9c-e5c4-4d9d-ae39-c2f80bc1f737")</f>
        <v>ti-ing-00a74b9c-e5c4-4d9d-ae39-c2f80bc1f737</v>
      </c>
      <c r="B126" s="98" t="str">
        <f ca="1">IFERROR(__xludf.DUMMYFUNCTION("""COMPUTED_VALUE"""),"GALLETAS MANTEQUILLA 6un")</f>
        <v>GALLETAS MANTEQUILLA 6un</v>
      </c>
      <c r="C126" s="110">
        <v>0</v>
      </c>
      <c r="D126" s="100">
        <f ca="1">IFERROR(__xludf.DUMMYFUNCTION("""COMPUTED_VALUE"""),817)</f>
        <v>817</v>
      </c>
      <c r="E126" s="101" t="str">
        <f ca="1">IFERROR(__xludf.DUMMYFUNCTION("""COMPUTED_VALUE"""),"UN")</f>
        <v>UN</v>
      </c>
      <c r="F126" s="101" t="str">
        <f ca="1">IFERROR(__xludf.DUMMYFUNCTION("""COMPUTED_VALUE"""),"Productos Elaborados")</f>
        <v>Productos Elaborados</v>
      </c>
      <c r="G126" s="102">
        <f t="shared" ca="1" si="0"/>
        <v>0</v>
      </c>
      <c r="H126" s="103">
        <f t="shared" ca="1" si="1"/>
        <v>0</v>
      </c>
      <c r="I126" s="104">
        <f t="shared" ca="1" si="2"/>
        <v>0</v>
      </c>
      <c r="J126" s="15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9.5" customHeight="1">
      <c r="A127" s="7" t="str">
        <f ca="1">IFERROR(__xludf.DUMMYFUNCTION("""COMPUTED_VALUE"""),"ti-ing-48c23a30-1b31-4b05-8c7e-ea83a1a0907b")</f>
        <v>ti-ing-48c23a30-1b31-4b05-8c7e-ea83a1a0907b</v>
      </c>
      <c r="B127" s="98" t="str">
        <f ca="1">IFERROR(__xludf.DUMMYFUNCTION("""COMPUTED_VALUE"""),"Galletitas mix")</f>
        <v>Galletitas mix</v>
      </c>
      <c r="C127" s="110">
        <v>38</v>
      </c>
      <c r="D127" s="100">
        <f ca="1">IFERROR(__xludf.DUMMYFUNCTION("""COMPUTED_VALUE"""),1325)</f>
        <v>1325</v>
      </c>
      <c r="E127" s="101" t="str">
        <f ca="1">IFERROR(__xludf.DUMMYFUNCTION("""COMPUTED_VALUE"""),"UN")</f>
        <v>UN</v>
      </c>
      <c r="F127" s="101" t="str">
        <f ca="1">IFERROR(__xludf.DUMMYFUNCTION("""COMPUTED_VALUE"""),"Productos Elaborados")</f>
        <v>Productos Elaborados</v>
      </c>
      <c r="G127" s="102">
        <f t="shared" ca="1" si="0"/>
        <v>50350</v>
      </c>
      <c r="H127" s="103">
        <f t="shared" ca="1" si="1"/>
        <v>9566.5</v>
      </c>
      <c r="I127" s="104">
        <f t="shared" ca="1" si="2"/>
        <v>59916.5</v>
      </c>
      <c r="J127" s="15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9.5" customHeight="1">
      <c r="A128" s="7" t="str">
        <f ca="1">IFERROR(__xludf.DUMMYFUNCTION("""COMPUTED_VALUE"""),"ti-ing-08d0a5b7-2f77-4172-b5f5-a1216f181dae")</f>
        <v>ti-ing-08d0a5b7-2f77-4172-b5f5-a1216f181dae</v>
      </c>
      <c r="B128" s="98" t="str">
        <f ca="1">IFERROR(__xludf.DUMMYFUNCTION("""COMPUTED_VALUE"""),"GALLETON AVENA")</f>
        <v>GALLETON AVENA</v>
      </c>
      <c r="C128" s="110">
        <v>0</v>
      </c>
      <c r="D128" s="100">
        <f ca="1">IFERROR(__xludf.DUMMYFUNCTION("""COMPUTED_VALUE"""),800)</f>
        <v>800</v>
      </c>
      <c r="E128" s="101" t="str">
        <f ca="1">IFERROR(__xludf.DUMMYFUNCTION("""COMPUTED_VALUE"""),"UN")</f>
        <v>UN</v>
      </c>
      <c r="F128" s="101" t="str">
        <f ca="1">IFERROR(__xludf.DUMMYFUNCTION("""COMPUTED_VALUE"""),"Productos Elaborados")</f>
        <v>Productos Elaborados</v>
      </c>
      <c r="G128" s="102">
        <f t="shared" ca="1" si="0"/>
        <v>0</v>
      </c>
      <c r="H128" s="103">
        <f t="shared" ca="1" si="1"/>
        <v>0</v>
      </c>
      <c r="I128" s="104">
        <f t="shared" ca="1" si="2"/>
        <v>0</v>
      </c>
      <c r="J128" s="15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9.5" customHeight="1">
      <c r="A129" s="7" t="str">
        <f ca="1">IFERROR(__xludf.DUMMYFUNCTION("""COMPUTED_VALUE"""),"ti-ing-20cf41c7-57fb-4173-94f9-d26641ca5ec7")</f>
        <v>ti-ing-20cf41c7-57fb-4173-94f9-d26641ca5ec7</v>
      </c>
      <c r="B129" s="98" t="str">
        <f ca="1">IFERROR(__xludf.DUMMYFUNCTION("""COMPUTED_VALUE"""),"GALLETON CHOCO CHIPS")</f>
        <v>GALLETON CHOCO CHIPS</v>
      </c>
      <c r="C129" s="110">
        <v>58</v>
      </c>
      <c r="D129" s="100">
        <f ca="1">IFERROR(__xludf.DUMMYFUNCTION("""COMPUTED_VALUE"""),725.63)</f>
        <v>725.63</v>
      </c>
      <c r="E129" s="101" t="str">
        <f ca="1">IFERROR(__xludf.DUMMYFUNCTION("""COMPUTED_VALUE"""),"UN")</f>
        <v>UN</v>
      </c>
      <c r="F129" s="101" t="str">
        <f ca="1">IFERROR(__xludf.DUMMYFUNCTION("""COMPUTED_VALUE"""),"Productos Elaborados")</f>
        <v>Productos Elaborados</v>
      </c>
      <c r="G129" s="102">
        <f t="shared" ca="1" si="0"/>
        <v>42086.54</v>
      </c>
      <c r="H129" s="103">
        <f t="shared" ca="1" si="1"/>
        <v>7996.4426000000003</v>
      </c>
      <c r="I129" s="104">
        <f t="shared" ca="1" si="2"/>
        <v>50082.982600000003</v>
      </c>
      <c r="J129" s="15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9.5" customHeight="1">
      <c r="A130" s="7" t="str">
        <f ca="1">IFERROR(__xludf.DUMMYFUNCTION("""COMPUTED_VALUE"""),"ti-ing-24da8695-1fa7-4414-b3c6-2194c29794a9")</f>
        <v>ti-ing-24da8695-1fa7-4414-b3c6-2194c29794a9</v>
      </c>
      <c r="B130" s="98" t="str">
        <f ca="1">IFERROR(__xludf.DUMMYFUNCTION("""COMPUTED_VALUE"""),"GALLETON CHOCOLATE")</f>
        <v>GALLETON CHOCOLATE</v>
      </c>
      <c r="C130" s="110">
        <v>0</v>
      </c>
      <c r="D130" s="100">
        <f ca="1">IFERROR(__xludf.DUMMYFUNCTION("""COMPUTED_VALUE"""),800)</f>
        <v>800</v>
      </c>
      <c r="E130" s="101" t="str">
        <f ca="1">IFERROR(__xludf.DUMMYFUNCTION("""COMPUTED_VALUE"""),"UN")</f>
        <v>UN</v>
      </c>
      <c r="F130" s="101" t="str">
        <f ca="1">IFERROR(__xludf.DUMMYFUNCTION("""COMPUTED_VALUE"""),"Productos Elaborados")</f>
        <v>Productos Elaborados</v>
      </c>
      <c r="G130" s="102">
        <f t="shared" ca="1" si="0"/>
        <v>0</v>
      </c>
      <c r="H130" s="103">
        <f t="shared" ca="1" si="1"/>
        <v>0</v>
      </c>
      <c r="I130" s="104">
        <f t="shared" ca="1" si="2"/>
        <v>0</v>
      </c>
      <c r="J130" s="15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9.5" customHeight="1">
      <c r="A131" s="7" t="str">
        <f ca="1">IFERROR(__xludf.DUMMYFUNCTION("""COMPUTED_VALUE"""),"ti-ing-bfd00335-b52c-4dfe-9e64-55208b3b79ff")</f>
        <v>ti-ing-bfd00335-b52c-4dfe-9e64-55208b3b79ff</v>
      </c>
      <c r="B131" s="98" t="str">
        <f ca="1">IFERROR(__xludf.DUMMYFUNCTION("""COMPUTED_VALUE"""),"Hallulla")</f>
        <v>Hallulla</v>
      </c>
      <c r="C131" s="110">
        <v>16.190000000000001</v>
      </c>
      <c r="D131" s="100">
        <f ca="1">IFERROR(__xludf.DUMMYFUNCTION("""COMPUTED_VALUE"""),1000)</f>
        <v>1000</v>
      </c>
      <c r="E131" s="101" t="str">
        <f ca="1">IFERROR(__xludf.DUMMYFUNCTION("""COMPUTED_VALUE"""),"KG")</f>
        <v>KG</v>
      </c>
      <c r="F131" s="101" t="str">
        <f ca="1">IFERROR(__xludf.DUMMYFUNCTION("""COMPUTED_VALUE"""),"Productos Elaborados")</f>
        <v>Productos Elaborados</v>
      </c>
      <c r="G131" s="102">
        <f t="shared" ca="1" si="0"/>
        <v>16190.000000000002</v>
      </c>
      <c r="H131" s="103">
        <f t="shared" ca="1" si="1"/>
        <v>3076.1000000000004</v>
      </c>
      <c r="I131" s="104">
        <f t="shared" ca="1" si="2"/>
        <v>19266.100000000002</v>
      </c>
      <c r="J131" s="15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9.5" customHeight="1">
      <c r="A132" s="7" t="str">
        <f ca="1">IFERROR(__xludf.DUMMYFUNCTION("""COMPUTED_VALUE"""),"ti-ing-e94620a7-7ad3-4158-bff7-9af4134b7a68")</f>
        <v>ti-ing-e94620a7-7ad3-4158-bff7-9af4134b7a68</v>
      </c>
      <c r="B132" s="98" t="str">
        <f ca="1">IFERROR(__xludf.DUMMYFUNCTION("""COMPUTED_VALUE"""),"Hallulla integral")</f>
        <v>Hallulla integral</v>
      </c>
      <c r="C132" s="110">
        <v>6.33</v>
      </c>
      <c r="D132" s="100">
        <f ca="1">IFERROR(__xludf.DUMMYFUNCTION("""COMPUTED_VALUE"""),1000)</f>
        <v>1000</v>
      </c>
      <c r="E132" s="101" t="str">
        <f ca="1">IFERROR(__xludf.DUMMYFUNCTION("""COMPUTED_VALUE"""),"KG")</f>
        <v>KG</v>
      </c>
      <c r="F132" s="101" t="str">
        <f ca="1">IFERROR(__xludf.DUMMYFUNCTION("""COMPUTED_VALUE"""),"Productos Elaborados")</f>
        <v>Productos Elaborados</v>
      </c>
      <c r="G132" s="102">
        <f t="shared" ca="1" si="0"/>
        <v>6330</v>
      </c>
      <c r="H132" s="103">
        <f t="shared" ca="1" si="1"/>
        <v>1202.7</v>
      </c>
      <c r="I132" s="104">
        <f t="shared" ca="1" si="2"/>
        <v>7532.7</v>
      </c>
      <c r="J132" s="15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9.5" customHeight="1">
      <c r="A133" s="7" t="str">
        <f ca="1">IFERROR(__xludf.DUMMYFUNCTION("""COMPUTED_VALUE"""),"ti-ing-46c3568f-ef80-4bac-8822-1590fd123a13")</f>
        <v>ti-ing-46c3568f-ef80-4bac-8822-1590fd123a13</v>
      </c>
      <c r="B133" s="98" t="str">
        <f ca="1">IFERROR(__xludf.DUMMYFUNCTION("""COMPUTED_VALUE"""),"Hambuguesa")</f>
        <v>Hambuguesa</v>
      </c>
      <c r="C133" s="110">
        <v>60</v>
      </c>
      <c r="D133" s="100">
        <f ca="1">IFERROR(__xludf.DUMMYFUNCTION("""COMPUTED_VALUE"""),100)</f>
        <v>100</v>
      </c>
      <c r="E133" s="101" t="str">
        <f ca="1">IFERROR(__xludf.DUMMYFUNCTION("""COMPUTED_VALUE"""),"UN")</f>
        <v>UN</v>
      </c>
      <c r="F133" s="101" t="str">
        <f ca="1">IFERROR(__xludf.DUMMYFUNCTION("""COMPUTED_VALUE"""),"Productos Elaborados")</f>
        <v>Productos Elaborados</v>
      </c>
      <c r="G133" s="102">
        <f t="shared" ca="1" si="0"/>
        <v>6000</v>
      </c>
      <c r="H133" s="103">
        <f t="shared" ca="1" si="1"/>
        <v>1140</v>
      </c>
      <c r="I133" s="104">
        <f t="shared" ca="1" si="2"/>
        <v>7140</v>
      </c>
      <c r="J133" s="15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9.5" customHeight="1">
      <c r="A134" s="7" t="str">
        <f ca="1">IFERROR(__xludf.DUMMYFUNCTION("""COMPUTED_VALUE"""),"ti-ing-0563815d-39aa-4e1b-bcdd-35780f423d81")</f>
        <v>ti-ing-0563815d-39aa-4e1b-bcdd-35780f423d81</v>
      </c>
      <c r="B134" s="98" t="str">
        <f ca="1">IFERROR(__xludf.DUMMYFUNCTION("""COMPUTED_VALUE"""),"Hambuguesa especial")</f>
        <v>Hambuguesa especial</v>
      </c>
      <c r="C134" s="110">
        <v>60</v>
      </c>
      <c r="D134" s="100">
        <f ca="1">IFERROR(__xludf.DUMMYFUNCTION("""COMPUTED_VALUE"""),150)</f>
        <v>150</v>
      </c>
      <c r="E134" s="101" t="str">
        <f ca="1">IFERROR(__xludf.DUMMYFUNCTION("""COMPUTED_VALUE"""),"UN")</f>
        <v>UN</v>
      </c>
      <c r="F134" s="101" t="str">
        <f ca="1">IFERROR(__xludf.DUMMYFUNCTION("""COMPUTED_VALUE"""),"Productos Elaborados")</f>
        <v>Productos Elaborados</v>
      </c>
      <c r="G134" s="102">
        <f t="shared" ca="1" si="0"/>
        <v>9000</v>
      </c>
      <c r="H134" s="103">
        <f t="shared" ca="1" si="1"/>
        <v>1710</v>
      </c>
      <c r="I134" s="104">
        <f t="shared" ca="1" si="2"/>
        <v>10710</v>
      </c>
      <c r="J134" s="15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9.5" customHeight="1">
      <c r="A135" s="7" t="str">
        <f ca="1">IFERROR(__xludf.DUMMYFUNCTION("""COMPUTED_VALUE"""),"ti-ing-cb705b54-897f-4a58-a925-149b7ca989ff")</f>
        <v>ti-ing-cb705b54-897f-4a58-a925-149b7ca989ff</v>
      </c>
      <c r="B135" s="98" t="str">
        <f ca="1">IFERROR(__xludf.DUMMYFUNCTION("""COMPUTED_VALUE"""),"Marraqueta")</f>
        <v>Marraqueta</v>
      </c>
      <c r="C135" s="110">
        <v>16.440000000000001</v>
      </c>
      <c r="D135" s="100">
        <f ca="1">IFERROR(__xludf.DUMMYFUNCTION("""COMPUTED_VALUE"""),1000)</f>
        <v>1000</v>
      </c>
      <c r="E135" s="101" t="str">
        <f ca="1">IFERROR(__xludf.DUMMYFUNCTION("""COMPUTED_VALUE"""),"Kg")</f>
        <v>Kg</v>
      </c>
      <c r="F135" s="101" t="str">
        <f ca="1">IFERROR(__xludf.DUMMYFUNCTION("""COMPUTED_VALUE"""),"Productos Elaborados")</f>
        <v>Productos Elaborados</v>
      </c>
      <c r="G135" s="102">
        <f t="shared" ca="1" si="0"/>
        <v>16440</v>
      </c>
      <c r="H135" s="103">
        <f t="shared" ca="1" si="1"/>
        <v>3123.6</v>
      </c>
      <c r="I135" s="104">
        <f t="shared" ca="1" si="2"/>
        <v>19563.599999999999</v>
      </c>
      <c r="J135" s="15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9.5" customHeight="1">
      <c r="A136" s="7" t="str">
        <f ca="1">IFERROR(__xludf.DUMMYFUNCTION("""COMPUTED_VALUE"""),"ti-ing-47e7fe54-1e3f-49f0-ba92-dd8c17a3562a")</f>
        <v>ti-ing-47e7fe54-1e3f-49f0-ba92-dd8c17a3562a</v>
      </c>
      <c r="B136" s="98" t="str">
        <f ca="1">IFERROR(__xludf.DUMMYFUNCTION("""COMPUTED_VALUE"""),"Merenguitos")</f>
        <v>Merenguitos</v>
      </c>
      <c r="C136" s="110">
        <v>0</v>
      </c>
      <c r="D136" s="100">
        <f ca="1">IFERROR(__xludf.DUMMYFUNCTION("""COMPUTED_VALUE"""),372.5)</f>
        <v>372.5</v>
      </c>
      <c r="E136" s="101" t="str">
        <f ca="1">IFERROR(__xludf.DUMMYFUNCTION("""COMPUTED_VALUE"""),"UN")</f>
        <v>UN</v>
      </c>
      <c r="F136" s="101" t="str">
        <f ca="1">IFERROR(__xludf.DUMMYFUNCTION("""COMPUTED_VALUE"""),"Productos Elaborados")</f>
        <v>Productos Elaborados</v>
      </c>
      <c r="G136" s="102">
        <f t="shared" ca="1" si="0"/>
        <v>0</v>
      </c>
      <c r="H136" s="103">
        <f t="shared" ca="1" si="1"/>
        <v>0</v>
      </c>
      <c r="I136" s="104">
        <f t="shared" ca="1" si="2"/>
        <v>0</v>
      </c>
      <c r="J136" s="15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9.5" customHeight="1">
      <c r="A137" s="7" t="str">
        <f ca="1">IFERROR(__xludf.DUMMYFUNCTION("""COMPUTED_VALUE"""),"ti-ing-2007a3b7-06b6-4aa7-9935-aed477d8284e")</f>
        <v>ti-ing-2007a3b7-06b6-4aa7-9935-aed477d8284e</v>
      </c>
      <c r="B137" s="98" t="str">
        <f ca="1">IFERROR(__xludf.DUMMYFUNCTION("""COMPUTED_VALUE"""),"Milagritos")</f>
        <v>Milagritos</v>
      </c>
      <c r="C137" s="110">
        <v>8.9</v>
      </c>
      <c r="D137" s="100">
        <f ca="1">IFERROR(__xludf.DUMMYFUNCTION("""COMPUTED_VALUE"""),2500)</f>
        <v>2500</v>
      </c>
      <c r="E137" s="101" t="str">
        <f ca="1">IFERROR(__xludf.DUMMYFUNCTION("""COMPUTED_VALUE"""),"KG")</f>
        <v>KG</v>
      </c>
      <c r="F137" s="101" t="str">
        <f ca="1">IFERROR(__xludf.DUMMYFUNCTION("""COMPUTED_VALUE"""),"Productos Elaborados")</f>
        <v>Productos Elaborados</v>
      </c>
      <c r="G137" s="102">
        <f t="shared" ca="1" si="0"/>
        <v>22250</v>
      </c>
      <c r="H137" s="103">
        <f t="shared" ca="1" si="1"/>
        <v>4227.5</v>
      </c>
      <c r="I137" s="104">
        <f t="shared" ca="1" si="2"/>
        <v>26477.5</v>
      </c>
      <c r="J137" s="15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9.5" customHeight="1">
      <c r="A138" s="7" t="str">
        <f ca="1">IFERROR(__xludf.DUMMYFUNCTION("""COMPUTED_VALUE"""),"ti-ing-83bd5d84-a6b8-48eb-b74f-3768ef953dbd")</f>
        <v>ti-ing-83bd5d84-a6b8-48eb-b74f-3768ef953dbd</v>
      </c>
      <c r="B138" s="98" t="str">
        <f ca="1">IFERROR(__xludf.DUMMYFUNCTION("""COMPUTED_VALUE"""),"Mini hamburguesa")</f>
        <v>Mini hamburguesa</v>
      </c>
      <c r="C138" s="110">
        <v>0</v>
      </c>
      <c r="D138" s="100">
        <f ca="1">IFERROR(__xludf.DUMMYFUNCTION("""COMPUTED_VALUE"""),1000)</f>
        <v>1000</v>
      </c>
      <c r="E138" s="101" t="str">
        <f ca="1">IFERROR(__xludf.DUMMYFUNCTION("""COMPUTED_VALUE"""),"UN")</f>
        <v>UN</v>
      </c>
      <c r="F138" s="101" t="str">
        <f ca="1">IFERROR(__xludf.DUMMYFUNCTION("""COMPUTED_VALUE"""),"Productos Elaborados")</f>
        <v>Productos Elaborados</v>
      </c>
      <c r="G138" s="102">
        <f t="shared" ca="1" si="0"/>
        <v>0</v>
      </c>
      <c r="H138" s="103">
        <f t="shared" ca="1" si="1"/>
        <v>0</v>
      </c>
      <c r="I138" s="104">
        <f t="shared" ca="1" si="2"/>
        <v>0</v>
      </c>
      <c r="J138" s="15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9.5" customHeight="1">
      <c r="A139" s="7" t="str">
        <f ca="1">IFERROR(__xludf.DUMMYFUNCTION("""COMPUTED_VALUE"""),"ti-ing-49e69d30-05a5-4d2e-9bc5-ec48858a227d")</f>
        <v>ti-ing-49e69d30-05a5-4d2e-9bc5-ec48858a227d</v>
      </c>
      <c r="B139" s="98" t="str">
        <f ca="1">IFERROR(__xludf.DUMMYFUNCTION("""COMPUTED_VALUE"""),"Molde blanco")</f>
        <v>Molde blanco</v>
      </c>
      <c r="C139" s="110">
        <v>0</v>
      </c>
      <c r="D139" s="100">
        <f ca="1">IFERROR(__xludf.DUMMYFUNCTION("""COMPUTED_VALUE"""),2716.27)</f>
        <v>2716.27</v>
      </c>
      <c r="E139" s="101" t="str">
        <f ca="1">IFERROR(__xludf.DUMMYFUNCTION("""COMPUTED_VALUE"""),"UN")</f>
        <v>UN</v>
      </c>
      <c r="F139" s="101" t="str">
        <f ca="1">IFERROR(__xludf.DUMMYFUNCTION("""COMPUTED_VALUE"""),"Productos Elaborados")</f>
        <v>Productos Elaborados</v>
      </c>
      <c r="G139" s="102">
        <f t="shared" ca="1" si="0"/>
        <v>0</v>
      </c>
      <c r="H139" s="103">
        <f t="shared" ca="1" si="1"/>
        <v>0</v>
      </c>
      <c r="I139" s="104">
        <f t="shared" ca="1" si="2"/>
        <v>0</v>
      </c>
      <c r="J139" s="15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9.5" customHeight="1">
      <c r="A140" s="7" t="str">
        <f ca="1">IFERROR(__xludf.DUMMYFUNCTION("""COMPUTED_VALUE"""),"ti-ing-0cdad107-111a-465c-91b2-9cb637a1ee41")</f>
        <v>ti-ing-0cdad107-111a-465c-91b2-9cb637a1ee41</v>
      </c>
      <c r="B140" s="98" t="str">
        <f ca="1">IFERROR(__xludf.DUMMYFUNCTION("""COMPUTED_VALUE"""),"Molde Brioche")</f>
        <v>Molde Brioche</v>
      </c>
      <c r="C140" s="110">
        <v>6</v>
      </c>
      <c r="D140" s="100">
        <f ca="1">IFERROR(__xludf.DUMMYFUNCTION("""COMPUTED_VALUE"""),2902.52)</f>
        <v>2902.52</v>
      </c>
      <c r="E140" s="101" t="str">
        <f ca="1">IFERROR(__xludf.DUMMYFUNCTION("""COMPUTED_VALUE"""),"UN")</f>
        <v>UN</v>
      </c>
      <c r="F140" s="101" t="str">
        <f ca="1">IFERROR(__xludf.DUMMYFUNCTION("""COMPUTED_VALUE"""),"Productos Elaborados")</f>
        <v>Productos Elaborados</v>
      </c>
      <c r="G140" s="102">
        <f t="shared" ca="1" si="0"/>
        <v>17415.12</v>
      </c>
      <c r="H140" s="103">
        <f t="shared" ca="1" si="1"/>
        <v>3308.8727999999996</v>
      </c>
      <c r="I140" s="104">
        <f t="shared" ca="1" si="2"/>
        <v>20723.9928</v>
      </c>
      <c r="J140" s="15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9.5" customHeight="1">
      <c r="A141" s="7" t="str">
        <f ca="1">IFERROR(__xludf.DUMMYFUNCTION("""COMPUTED_VALUE"""),"ti-ing-59b1f2b3-ffb1-4fee-8842-b477bd4c6880")</f>
        <v>ti-ing-59b1f2b3-ffb1-4fee-8842-b477bd4c6880</v>
      </c>
      <c r="B141" s="98" t="str">
        <f ca="1">IFERROR(__xludf.DUMMYFUNCTION("""COMPUTED_VALUE"""),"Molde Integral Multigrano")</f>
        <v>Molde Integral Multigrano</v>
      </c>
      <c r="C141" s="110">
        <v>0</v>
      </c>
      <c r="D141" s="100">
        <f ca="1">IFERROR(__xludf.DUMMYFUNCTION("""COMPUTED_VALUE"""),3000)</f>
        <v>3000</v>
      </c>
      <c r="E141" s="101" t="str">
        <f ca="1">IFERROR(__xludf.DUMMYFUNCTION("""COMPUTED_VALUE"""),"UN")</f>
        <v>UN</v>
      </c>
      <c r="F141" s="101" t="str">
        <f ca="1">IFERROR(__xludf.DUMMYFUNCTION("""COMPUTED_VALUE"""),"Productos Elaborados")</f>
        <v>Productos Elaborados</v>
      </c>
      <c r="G141" s="102">
        <f t="shared" ca="1" si="0"/>
        <v>0</v>
      </c>
      <c r="H141" s="103">
        <f t="shared" ca="1" si="1"/>
        <v>0</v>
      </c>
      <c r="I141" s="104">
        <f t="shared" ca="1" si="2"/>
        <v>0</v>
      </c>
      <c r="J141" s="15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9.5" customHeight="1">
      <c r="A142" s="7" t="str">
        <f ca="1">IFERROR(__xludf.DUMMYFUNCTION("""COMPUTED_VALUE"""),"ti-ing-4ef617f0-29f0-42ca-99c9-9723f9da1409")</f>
        <v>ti-ing-4ef617f0-29f0-42ca-99c9-9723f9da1409</v>
      </c>
      <c r="B142" s="98" t="str">
        <f ca="1">IFERROR(__xludf.DUMMYFUNCTION("""COMPUTED_VALUE"""),"Molde multigrano chico")</f>
        <v>Molde multigrano chico</v>
      </c>
      <c r="C142" s="110">
        <v>0</v>
      </c>
      <c r="D142" s="100">
        <f ca="1">IFERROR(__xludf.DUMMYFUNCTION("""COMPUTED_VALUE"""),1500)</f>
        <v>1500</v>
      </c>
      <c r="E142" s="101" t="str">
        <f ca="1">IFERROR(__xludf.DUMMYFUNCTION("""COMPUTED_VALUE"""),"UN")</f>
        <v>UN</v>
      </c>
      <c r="F142" s="101" t="str">
        <f ca="1">IFERROR(__xludf.DUMMYFUNCTION("""COMPUTED_VALUE"""),"Productos Elaborados")</f>
        <v>Productos Elaborados</v>
      </c>
      <c r="G142" s="102">
        <f t="shared" ca="1" si="0"/>
        <v>0</v>
      </c>
      <c r="H142" s="103">
        <f t="shared" ca="1" si="1"/>
        <v>0</v>
      </c>
      <c r="I142" s="104">
        <f t="shared" ca="1" si="2"/>
        <v>0</v>
      </c>
      <c r="J142" s="15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9.5" customHeight="1">
      <c r="A143" s="7" t="str">
        <f ca="1">IFERROR(__xludf.DUMMYFUNCTION("""COMPUTED_VALUE"""),"ti-ing-b39320ab-4456-4a3a-9681-fa6ca723a0dc")</f>
        <v>ti-ing-b39320ab-4456-4a3a-9681-fa6ca723a0dc</v>
      </c>
      <c r="B143" s="98" t="str">
        <f ca="1">IFERROR(__xludf.DUMMYFUNCTION("""COMPUTED_VALUE"""),"Palmeritas")</f>
        <v>Palmeritas</v>
      </c>
      <c r="C143" s="110">
        <v>0</v>
      </c>
      <c r="D143" s="100">
        <f ca="1">IFERROR(__xludf.DUMMYFUNCTION("""COMPUTED_VALUE"""),300)</f>
        <v>300</v>
      </c>
      <c r="E143" s="101" t="str">
        <f ca="1">IFERROR(__xludf.DUMMYFUNCTION("""COMPUTED_VALUE"""),"UN")</f>
        <v>UN</v>
      </c>
      <c r="F143" s="101" t="str">
        <f ca="1">IFERROR(__xludf.DUMMYFUNCTION("""COMPUTED_VALUE"""),"Productos Elaborados")</f>
        <v>Productos Elaborados</v>
      </c>
      <c r="G143" s="102">
        <f t="shared" ca="1" si="0"/>
        <v>0</v>
      </c>
      <c r="H143" s="103">
        <f t="shared" ca="1" si="1"/>
        <v>0</v>
      </c>
      <c r="I143" s="104">
        <f t="shared" ca="1" si="2"/>
        <v>0</v>
      </c>
      <c r="J143" s="15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9.5" customHeight="1">
      <c r="A144" s="7" t="str">
        <f ca="1">IFERROR(__xludf.DUMMYFUNCTION("""COMPUTED_VALUE"""),"ti-ing-7121128e-fab3-44fc-9fa5-623411566735")</f>
        <v>ti-ing-7121128e-fab3-44fc-9fa5-623411566735</v>
      </c>
      <c r="B144" s="98" t="str">
        <f ca="1">IFERROR(__xludf.DUMMYFUNCTION("""COMPUTED_VALUE"""),"Pan de completo")</f>
        <v>Pan de completo</v>
      </c>
      <c r="C144" s="110">
        <v>0</v>
      </c>
      <c r="D144" s="100">
        <f ca="1">IFERROR(__xludf.DUMMYFUNCTION("""COMPUTED_VALUE"""),1500)</f>
        <v>1500</v>
      </c>
      <c r="E144" s="101" t="str">
        <f ca="1">IFERROR(__xludf.DUMMYFUNCTION("""COMPUTED_VALUE"""),"UN")</f>
        <v>UN</v>
      </c>
      <c r="F144" s="101" t="str">
        <f ca="1">IFERROR(__xludf.DUMMYFUNCTION("""COMPUTED_VALUE"""),"Productos Elaborados")</f>
        <v>Productos Elaborados</v>
      </c>
      <c r="G144" s="102">
        <f t="shared" ca="1" si="0"/>
        <v>0</v>
      </c>
      <c r="H144" s="103">
        <f t="shared" ca="1" si="1"/>
        <v>0</v>
      </c>
      <c r="I144" s="104">
        <f t="shared" ca="1" si="2"/>
        <v>0</v>
      </c>
      <c r="J144" s="15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9.5" customHeight="1">
      <c r="A145" s="7" t="str">
        <f ca="1">IFERROR(__xludf.DUMMYFUNCTION("""COMPUTED_VALUE"""),"ti-ing-7d22d0f9-ed7b-46a1-9022-a01e4533b909")</f>
        <v>ti-ing-7d22d0f9-ed7b-46a1-9022-a01e4533b909</v>
      </c>
      <c r="B145" s="98" t="str">
        <f ca="1">IFERROR(__xludf.DUMMYFUNCTION("""COMPUTED_VALUE"""),"Pan de hoja")</f>
        <v>Pan de hoja</v>
      </c>
      <c r="C145" s="110">
        <v>9.76</v>
      </c>
      <c r="D145" s="100">
        <f ca="1">IFERROR(__xludf.DUMMYFUNCTION("""COMPUTED_VALUE"""),3000)</f>
        <v>3000</v>
      </c>
      <c r="E145" s="101" t="str">
        <f ca="1">IFERROR(__xludf.DUMMYFUNCTION("""COMPUTED_VALUE"""),"KG")</f>
        <v>KG</v>
      </c>
      <c r="F145" s="101" t="str">
        <f ca="1">IFERROR(__xludf.DUMMYFUNCTION("""COMPUTED_VALUE"""),"Productos Elaborados")</f>
        <v>Productos Elaborados</v>
      </c>
      <c r="G145" s="102">
        <f t="shared" ca="1" si="0"/>
        <v>29280</v>
      </c>
      <c r="H145" s="103">
        <f t="shared" ca="1" si="1"/>
        <v>5563.2</v>
      </c>
      <c r="I145" s="104">
        <f t="shared" ca="1" si="2"/>
        <v>34843.199999999997</v>
      </c>
      <c r="J145" s="15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9.5" customHeight="1">
      <c r="A146" s="7" t="str">
        <f ca="1">IFERROR(__xludf.DUMMYFUNCTION("""COMPUTED_VALUE"""),"ti-ing-ef332e84-9535-4ffd-92b0-d4025fce8ce7")</f>
        <v>ti-ing-ef332e84-9535-4ffd-92b0-d4025fce8ce7</v>
      </c>
      <c r="B146" s="98" t="str">
        <f ca="1">IFERROR(__xludf.DUMMYFUNCTION("""COMPUTED_VALUE"""),"Pan de mesa")</f>
        <v>Pan de mesa</v>
      </c>
      <c r="C146" s="110">
        <v>6</v>
      </c>
      <c r="D146" s="100">
        <f ca="1">IFERROR(__xludf.DUMMYFUNCTION("""COMPUTED_VALUE"""),1500)</f>
        <v>1500</v>
      </c>
      <c r="E146" s="101" t="str">
        <f ca="1">IFERROR(__xludf.DUMMYFUNCTION("""COMPUTED_VALUE"""),"KG")</f>
        <v>KG</v>
      </c>
      <c r="F146" s="101" t="str">
        <f ca="1">IFERROR(__xludf.DUMMYFUNCTION("""COMPUTED_VALUE"""),"Productos Elaborados")</f>
        <v>Productos Elaborados</v>
      </c>
      <c r="G146" s="102">
        <f t="shared" ca="1" si="0"/>
        <v>9000</v>
      </c>
      <c r="H146" s="103">
        <f t="shared" ca="1" si="1"/>
        <v>1710</v>
      </c>
      <c r="I146" s="104">
        <f t="shared" ca="1" si="2"/>
        <v>10710</v>
      </c>
      <c r="J146" s="15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9.5" customHeight="1">
      <c r="A147" s="7" t="str">
        <f ca="1">IFERROR(__xludf.DUMMYFUNCTION("""COMPUTED_VALUE"""),"ti-ing-e8da8dca-95a0-480b-a36a-ea7d2fe4dde5")</f>
        <v>ti-ing-e8da8dca-95a0-480b-a36a-ea7d2fe4dde5</v>
      </c>
      <c r="B147" s="98" t="str">
        <f ca="1">IFERROR(__xludf.DUMMYFUNCTION("""COMPUTED_VALUE"""),"Pan De Pascua Grande")</f>
        <v>Pan De Pascua Grande</v>
      </c>
      <c r="C147" s="110">
        <v>0</v>
      </c>
      <c r="D147" s="100">
        <f ca="1">IFERROR(__xludf.DUMMYFUNCTION("""COMPUTED_VALUE"""),1500)</f>
        <v>1500</v>
      </c>
      <c r="E147" s="101" t="str">
        <f ca="1">IFERROR(__xludf.DUMMYFUNCTION("""COMPUTED_VALUE"""),"UN")</f>
        <v>UN</v>
      </c>
      <c r="F147" s="101" t="str">
        <f ca="1">IFERROR(__xludf.DUMMYFUNCTION("""COMPUTED_VALUE"""),"Productos Elaborados")</f>
        <v>Productos Elaborados</v>
      </c>
      <c r="G147" s="102">
        <f t="shared" ca="1" si="0"/>
        <v>0</v>
      </c>
      <c r="H147" s="103">
        <f t="shared" ca="1" si="1"/>
        <v>0</v>
      </c>
      <c r="I147" s="104">
        <f t="shared" ca="1" si="2"/>
        <v>0</v>
      </c>
      <c r="J147" s="15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9.5" customHeight="1">
      <c r="A148" s="7" t="str">
        <f ca="1">IFERROR(__xludf.DUMMYFUNCTION("""COMPUTED_VALUE"""),"ti-ing-e2a3dac8-2f21-465b-95e9-1f6713450413")</f>
        <v>ti-ing-e2a3dac8-2f21-465b-95e9-1f6713450413</v>
      </c>
      <c r="B148" s="98" t="str">
        <f ca="1">IFERROR(__xludf.DUMMYFUNCTION("""COMPUTED_VALUE"""),"Pan pita")</f>
        <v>Pan pita</v>
      </c>
      <c r="C148" s="110">
        <v>0</v>
      </c>
      <c r="D148" s="100">
        <f ca="1">IFERROR(__xludf.DUMMYFUNCTION("""COMPUTED_VALUE"""),1500)</f>
        <v>1500</v>
      </c>
      <c r="E148" s="101" t="str">
        <f ca="1">IFERROR(__xludf.DUMMYFUNCTION("""COMPUTED_VALUE"""),"UN")</f>
        <v>UN</v>
      </c>
      <c r="F148" s="101" t="str">
        <f ca="1">IFERROR(__xludf.DUMMYFUNCTION("""COMPUTED_VALUE"""),"Productos Elaborados")</f>
        <v>Productos Elaborados</v>
      </c>
      <c r="G148" s="102">
        <f t="shared" ca="1" si="0"/>
        <v>0</v>
      </c>
      <c r="H148" s="103">
        <f t="shared" ca="1" si="1"/>
        <v>0</v>
      </c>
      <c r="I148" s="104">
        <f t="shared" ca="1" si="2"/>
        <v>0</v>
      </c>
      <c r="J148" s="15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9.5" customHeight="1">
      <c r="A149" s="7" t="str">
        <f ca="1">IFERROR(__xludf.DUMMYFUNCTION("""COMPUTED_VALUE"""),"ti-ing-b0ee2f17-6fc3-4df9-b346-7fc55396fcd9")</f>
        <v>ti-ing-b0ee2f17-6fc3-4df9-b346-7fc55396fcd9</v>
      </c>
      <c r="B149" s="98" t="str">
        <f ca="1">IFERROR(__xludf.DUMMYFUNCTION("""COMPUTED_VALUE"""),"Pan Pita integral")</f>
        <v>Pan Pita integral</v>
      </c>
      <c r="C149" s="110">
        <v>0</v>
      </c>
      <c r="D149" s="100">
        <f ca="1">IFERROR(__xludf.DUMMYFUNCTION("""COMPUTED_VALUE"""),1500)</f>
        <v>1500</v>
      </c>
      <c r="E149" s="101" t="str">
        <f ca="1">IFERROR(__xludf.DUMMYFUNCTION("""COMPUTED_VALUE"""),"UN")</f>
        <v>UN</v>
      </c>
      <c r="F149" s="101" t="str">
        <f ca="1">IFERROR(__xludf.DUMMYFUNCTION("""COMPUTED_VALUE"""),"Productos Elaborados")</f>
        <v>Productos Elaborados</v>
      </c>
      <c r="G149" s="102">
        <f t="shared" ca="1" si="0"/>
        <v>0</v>
      </c>
      <c r="H149" s="103">
        <f t="shared" ca="1" si="1"/>
        <v>0</v>
      </c>
      <c r="I149" s="104">
        <f t="shared" ca="1" si="2"/>
        <v>0</v>
      </c>
      <c r="J149" s="15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9.5" customHeight="1">
      <c r="A150" s="7" t="str">
        <f ca="1">IFERROR(__xludf.DUMMYFUNCTION("""COMPUTED_VALUE"""),"ti-ing-a545bf35-10f3-4c22-b63b-a65befdc36cf")</f>
        <v>ti-ing-a545bf35-10f3-4c22-b63b-a65befdc36cf</v>
      </c>
      <c r="B150" s="98" t="str">
        <f ca="1">IFERROR(__xludf.DUMMYFUNCTION("""COMPUTED_VALUE"""),"Pan yema")</f>
        <v>Pan yema</v>
      </c>
      <c r="C150" s="110">
        <v>15</v>
      </c>
      <c r="D150" s="100">
        <f ca="1">IFERROR(__xludf.DUMMYFUNCTION("""COMPUTED_VALUE"""),1500)</f>
        <v>1500</v>
      </c>
      <c r="E150" s="101" t="str">
        <f ca="1">IFERROR(__xludf.DUMMYFUNCTION("""COMPUTED_VALUE"""),"Kg")</f>
        <v>Kg</v>
      </c>
      <c r="F150" s="101" t="str">
        <f ca="1">IFERROR(__xludf.DUMMYFUNCTION("""COMPUTED_VALUE"""),"Productos Elaborados")</f>
        <v>Productos Elaborados</v>
      </c>
      <c r="G150" s="102">
        <f t="shared" ca="1" si="0"/>
        <v>22500</v>
      </c>
      <c r="H150" s="103">
        <f t="shared" ca="1" si="1"/>
        <v>4275</v>
      </c>
      <c r="I150" s="104">
        <f t="shared" ca="1" si="2"/>
        <v>26775</v>
      </c>
      <c r="J150" s="15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9.5" customHeight="1">
      <c r="A151" s="7" t="str">
        <f ca="1">IFERROR(__xludf.DUMMYFUNCTION("""COMPUTED_VALUE"""),"ti-ing-2b2e3e5c-76b8-422e-ba93-1db4fb33b10f")</f>
        <v>ti-ing-2b2e3e5c-76b8-422e-ba93-1db4fb33b10f</v>
      </c>
      <c r="B151" s="98" t="str">
        <f ca="1">IFERROR(__xludf.DUMMYFUNCTION("""COMPUTED_VALUE"""),"Rollito De Pizza-Jamon")</f>
        <v>Rollito De Pizza-Jamon</v>
      </c>
      <c r="C151" s="110">
        <v>24</v>
      </c>
      <c r="D151" s="100">
        <f ca="1">IFERROR(__xludf.DUMMYFUNCTION("""COMPUTED_VALUE"""),500)</f>
        <v>500</v>
      </c>
      <c r="E151" s="101" t="str">
        <f ca="1">IFERROR(__xludf.DUMMYFUNCTION("""COMPUTED_VALUE"""),"UN")</f>
        <v>UN</v>
      </c>
      <c r="F151" s="101" t="str">
        <f ca="1">IFERROR(__xludf.DUMMYFUNCTION("""COMPUTED_VALUE"""),"Productos Elaborados")</f>
        <v>Productos Elaborados</v>
      </c>
      <c r="G151" s="102">
        <f t="shared" ca="1" si="0"/>
        <v>12000</v>
      </c>
      <c r="H151" s="103">
        <f t="shared" ca="1" si="1"/>
        <v>2280</v>
      </c>
      <c r="I151" s="104">
        <f t="shared" ca="1" si="2"/>
        <v>14280</v>
      </c>
      <c r="J151" s="15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9.5" customHeight="1">
      <c r="A152" s="7" t="str">
        <f ca="1">IFERROR(__xludf.DUMMYFUNCTION("""COMPUTED_VALUE"""),"ti-ing-c4985743-55e6-48bd-b020-96032230e580")</f>
        <v>ti-ing-c4985743-55e6-48bd-b020-96032230e580</v>
      </c>
      <c r="B152" s="98" t="str">
        <f ca="1">IFERROR(__xludf.DUMMYFUNCTION("""COMPUTED_VALUE"""),"ROSQUITAS")</f>
        <v>ROSQUITAS</v>
      </c>
      <c r="C152" s="110">
        <v>0</v>
      </c>
      <c r="D152" s="100">
        <f ca="1">IFERROR(__xludf.DUMMYFUNCTION("""COMPUTED_VALUE"""),250)</f>
        <v>250</v>
      </c>
      <c r="E152" s="101" t="str">
        <f ca="1">IFERROR(__xludf.DUMMYFUNCTION("""COMPUTED_VALUE"""),"UN")</f>
        <v>UN</v>
      </c>
      <c r="F152" s="101" t="str">
        <f ca="1">IFERROR(__xludf.DUMMYFUNCTION("""COMPUTED_VALUE"""),"Productos Elaborados")</f>
        <v>Productos Elaborados</v>
      </c>
      <c r="G152" s="102">
        <f t="shared" ca="1" si="0"/>
        <v>0</v>
      </c>
      <c r="H152" s="103">
        <f t="shared" ca="1" si="1"/>
        <v>0</v>
      </c>
      <c r="I152" s="104">
        <f t="shared" ca="1" si="2"/>
        <v>0</v>
      </c>
      <c r="J152" s="15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9.5" customHeight="1">
      <c r="A153" s="7" t="str">
        <f ca="1">IFERROR(__xludf.DUMMYFUNCTION("""COMPUTED_VALUE"""),"ti-ing-557bd6d7-0c2c-4ea9-b4c9-06ac0a5647fa")</f>
        <v>ti-ing-557bd6d7-0c2c-4ea9-b4c9-06ac0a5647fa</v>
      </c>
      <c r="B153" s="98" t="str">
        <f ca="1">IFERROR(__xludf.DUMMYFUNCTION("""COMPUTED_VALUE"""),"Tostaditas")</f>
        <v>Tostaditas</v>
      </c>
      <c r="C153" s="110">
        <v>0</v>
      </c>
      <c r="D153" s="100">
        <f ca="1">IFERROR(__xludf.DUMMYFUNCTION("""COMPUTED_VALUE"""),600)</f>
        <v>600</v>
      </c>
      <c r="E153" s="101" t="str">
        <f ca="1">IFERROR(__xludf.DUMMYFUNCTION("""COMPUTED_VALUE"""),"UN")</f>
        <v>UN</v>
      </c>
      <c r="F153" s="101" t="str">
        <f ca="1">IFERROR(__xludf.DUMMYFUNCTION("""COMPUTED_VALUE"""),"Productos Elaborados")</f>
        <v>Productos Elaborados</v>
      </c>
      <c r="G153" s="102">
        <f t="shared" ca="1" si="0"/>
        <v>0</v>
      </c>
      <c r="H153" s="103">
        <f t="shared" ca="1" si="1"/>
        <v>0</v>
      </c>
      <c r="I153" s="104">
        <f t="shared" ca="1" si="2"/>
        <v>0</v>
      </c>
      <c r="J153" s="15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9.5" customHeight="1">
      <c r="A154" s="7"/>
      <c r="B154" s="98"/>
      <c r="C154" s="110"/>
      <c r="D154" s="100"/>
      <c r="E154" s="101"/>
      <c r="F154" s="101"/>
      <c r="G154" s="102">
        <f t="shared" si="0"/>
        <v>0</v>
      </c>
      <c r="H154" s="103">
        <f t="shared" si="1"/>
        <v>0</v>
      </c>
      <c r="I154" s="104">
        <f t="shared" si="2"/>
        <v>0</v>
      </c>
      <c r="J154" s="15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9.5" customHeight="1">
      <c r="A155" s="7"/>
      <c r="B155" s="98"/>
      <c r="C155" s="110"/>
      <c r="D155" s="100"/>
      <c r="E155" s="101"/>
      <c r="F155" s="101"/>
      <c r="G155" s="102">
        <f t="shared" si="0"/>
        <v>0</v>
      </c>
      <c r="H155" s="103">
        <f t="shared" si="1"/>
        <v>0</v>
      </c>
      <c r="I155" s="104">
        <f t="shared" si="2"/>
        <v>0</v>
      </c>
      <c r="J155" s="15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21">
      <c r="A156" s="112"/>
      <c r="B156" s="113"/>
      <c r="C156" s="114"/>
      <c r="D156" s="115"/>
      <c r="E156" s="116"/>
      <c r="F156" s="116"/>
      <c r="G156" s="102">
        <f t="shared" si="0"/>
        <v>0</v>
      </c>
      <c r="H156" s="103">
        <f t="shared" si="1"/>
        <v>0</v>
      </c>
      <c r="I156" s="104">
        <f t="shared" si="2"/>
        <v>0</v>
      </c>
      <c r="J156" s="15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21">
      <c r="A157" s="4"/>
      <c r="B157" s="117"/>
      <c r="C157" s="117"/>
      <c r="D157" s="118"/>
      <c r="E157" s="118"/>
      <c r="F157" s="118"/>
      <c r="G157" s="119">
        <f ca="1">SUM(G3:G156)</f>
        <v>2692844.6729342001</v>
      </c>
      <c r="H157" s="10"/>
      <c r="I157" s="119">
        <f ca="1">SUM(I3:I156)</f>
        <v>3204485.1607916993</v>
      </c>
      <c r="J157" s="15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21">
      <c r="A158" s="4"/>
      <c r="B158" s="117"/>
      <c r="C158" s="117"/>
      <c r="D158" s="118"/>
      <c r="E158" s="118"/>
      <c r="F158" s="118"/>
      <c r="G158" s="10"/>
      <c r="H158" s="10"/>
      <c r="I158" s="10"/>
      <c r="J158" s="15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21">
      <c r="A159" s="4"/>
      <c r="B159" s="117"/>
      <c r="C159" s="117"/>
      <c r="D159" s="118"/>
      <c r="E159" s="118"/>
      <c r="F159" s="118"/>
      <c r="G159" s="10"/>
      <c r="H159" s="10"/>
      <c r="I159" s="10"/>
      <c r="J159" s="15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21">
      <c r="A160" s="4"/>
      <c r="B160" s="117"/>
      <c r="C160" s="117"/>
      <c r="D160" s="118"/>
      <c r="E160" s="118"/>
      <c r="F160" s="118"/>
      <c r="G160" s="10"/>
      <c r="H160" s="10"/>
      <c r="I160" s="10"/>
      <c r="J160" s="15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21">
      <c r="A161" s="4"/>
      <c r="B161" s="117"/>
      <c r="C161" s="117"/>
      <c r="D161" s="118"/>
      <c r="E161" s="118"/>
      <c r="F161" s="118"/>
      <c r="J161" s="15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21">
      <c r="A162" s="4"/>
      <c r="B162" s="117"/>
      <c r="C162" s="117"/>
      <c r="D162" s="118"/>
      <c r="E162" s="118"/>
      <c r="F162" s="118"/>
      <c r="G162" s="10"/>
      <c r="H162" s="10"/>
      <c r="I162" s="10"/>
      <c r="J162" s="15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21">
      <c r="A163" s="4"/>
      <c r="B163" s="117"/>
      <c r="C163" s="117"/>
      <c r="D163" s="118"/>
      <c r="E163" s="118"/>
      <c r="F163" s="118"/>
      <c r="G163" s="10"/>
      <c r="H163" s="10"/>
      <c r="I163" s="10"/>
      <c r="J163" s="15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21">
      <c r="A164" s="4"/>
      <c r="B164" s="117"/>
      <c r="C164" s="117"/>
      <c r="D164" s="118"/>
      <c r="E164" s="118"/>
      <c r="F164" s="118"/>
      <c r="G164" s="10"/>
      <c r="H164" s="10"/>
      <c r="I164" s="10"/>
      <c r="J164" s="15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21">
      <c r="A165" s="4"/>
      <c r="B165" s="117"/>
      <c r="C165" s="117"/>
      <c r="D165" s="118"/>
      <c r="E165" s="118"/>
      <c r="F165" s="118"/>
      <c r="G165" s="10"/>
      <c r="H165" s="10"/>
      <c r="I165" s="10"/>
      <c r="J165" s="15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21">
      <c r="A166" s="4"/>
      <c r="B166" s="117"/>
      <c r="C166" s="117"/>
      <c r="D166" s="118"/>
      <c r="E166" s="118"/>
      <c r="F166" s="118"/>
      <c r="G166" s="10"/>
      <c r="H166" s="10"/>
      <c r="I166" s="10"/>
      <c r="J166" s="15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21">
      <c r="A167" s="4"/>
      <c r="B167" s="117"/>
      <c r="C167" s="117"/>
      <c r="D167" s="118"/>
      <c r="E167" s="118"/>
      <c r="F167" s="118"/>
      <c r="G167" s="10"/>
      <c r="H167" s="10"/>
      <c r="I167" s="10"/>
      <c r="J167" s="15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21">
      <c r="A168" s="4"/>
      <c r="B168" s="117"/>
      <c r="C168" s="117"/>
      <c r="D168" s="118"/>
      <c r="E168" s="118"/>
      <c r="F168" s="118"/>
      <c r="G168" s="10"/>
      <c r="H168" s="10"/>
      <c r="I168" s="10"/>
      <c r="J168" s="15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21">
      <c r="A169" s="4"/>
      <c r="B169" s="117"/>
      <c r="C169" s="117"/>
      <c r="D169" s="118"/>
      <c r="E169" s="118"/>
      <c r="F169" s="118"/>
      <c r="G169" s="10"/>
      <c r="H169" s="10"/>
      <c r="I169" s="10"/>
      <c r="J169" s="15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21">
      <c r="A170" s="4"/>
      <c r="B170" s="117"/>
      <c r="C170" s="117"/>
      <c r="D170" s="118"/>
      <c r="E170" s="118"/>
      <c r="F170" s="118"/>
      <c r="G170" s="10"/>
      <c r="H170" s="10"/>
      <c r="I170" s="10"/>
      <c r="J170" s="15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21">
      <c r="A171" s="4"/>
      <c r="B171" s="117"/>
      <c r="C171" s="117"/>
      <c r="D171" s="10"/>
      <c r="E171" s="10"/>
      <c r="F171" s="10"/>
      <c r="G171" s="10"/>
      <c r="H171" s="10"/>
      <c r="I171" s="10"/>
      <c r="J171" s="15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21">
      <c r="A172" s="4"/>
      <c r="B172" s="117"/>
      <c r="C172" s="117"/>
      <c r="D172" s="10"/>
      <c r="E172" s="10"/>
      <c r="F172" s="10"/>
      <c r="G172" s="10"/>
      <c r="H172" s="10"/>
      <c r="I172" s="10"/>
      <c r="J172" s="15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21">
      <c r="A173" s="4"/>
      <c r="B173" s="117"/>
      <c r="C173" s="117"/>
      <c r="D173" s="10"/>
      <c r="E173" s="10"/>
      <c r="F173" s="10"/>
      <c r="G173" s="10"/>
      <c r="H173" s="10"/>
      <c r="I173" s="10"/>
      <c r="J173" s="15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21">
      <c r="A174" s="4"/>
      <c r="B174" s="117"/>
      <c r="C174" s="117"/>
      <c r="D174" s="10"/>
      <c r="E174" s="10"/>
      <c r="F174" s="10"/>
      <c r="G174" s="10"/>
      <c r="H174" s="10"/>
      <c r="I174" s="10"/>
      <c r="J174" s="15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21">
      <c r="A175" s="4"/>
      <c r="B175" s="117"/>
      <c r="C175" s="117"/>
      <c r="D175" s="10"/>
      <c r="E175" s="10"/>
      <c r="F175" s="10"/>
      <c r="G175" s="10"/>
      <c r="H175" s="10"/>
      <c r="I175" s="10"/>
      <c r="J175" s="15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21">
      <c r="A176" s="4"/>
      <c r="B176" s="117"/>
      <c r="C176" s="117"/>
      <c r="D176" s="10"/>
      <c r="E176" s="10"/>
      <c r="F176" s="10"/>
      <c r="G176" s="10"/>
      <c r="H176" s="10"/>
      <c r="I176" s="10"/>
      <c r="J176" s="15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21">
      <c r="A177" s="4"/>
      <c r="B177" s="117"/>
      <c r="C177" s="117"/>
      <c r="D177" s="10"/>
      <c r="E177" s="10"/>
      <c r="F177" s="10"/>
      <c r="G177" s="10"/>
      <c r="H177" s="10"/>
      <c r="I177" s="10"/>
      <c r="J177" s="15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21">
      <c r="A178" s="4"/>
      <c r="B178" s="117"/>
      <c r="C178" s="117"/>
      <c r="D178" s="10"/>
      <c r="E178" s="10"/>
      <c r="F178" s="10"/>
      <c r="G178" s="10"/>
      <c r="H178" s="10"/>
      <c r="I178" s="10"/>
      <c r="J178" s="15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21">
      <c r="A179" s="4"/>
      <c r="B179" s="117"/>
      <c r="C179" s="117"/>
      <c r="D179" s="10"/>
      <c r="E179" s="10"/>
      <c r="F179" s="10"/>
      <c r="G179" s="10"/>
      <c r="H179" s="10"/>
      <c r="I179" s="10"/>
      <c r="J179" s="15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21">
      <c r="A180" s="4"/>
      <c r="B180" s="117"/>
      <c r="C180" s="117"/>
      <c r="D180" s="10"/>
      <c r="E180" s="10"/>
      <c r="F180" s="10"/>
      <c r="G180" s="10"/>
      <c r="H180" s="10"/>
      <c r="I180" s="10"/>
      <c r="J180" s="15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21">
      <c r="A181" s="4"/>
      <c r="B181" s="117"/>
      <c r="C181" s="117"/>
      <c r="D181" s="10"/>
      <c r="E181" s="10"/>
      <c r="F181" s="10"/>
      <c r="G181" s="10"/>
      <c r="H181" s="10"/>
      <c r="I181" s="10"/>
      <c r="J181" s="15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21">
      <c r="A182" s="4"/>
      <c r="B182" s="117"/>
      <c r="C182" s="117"/>
      <c r="D182" s="10"/>
      <c r="E182" s="10"/>
      <c r="F182" s="10"/>
      <c r="G182" s="10"/>
      <c r="H182" s="10"/>
      <c r="I182" s="10"/>
      <c r="J182" s="15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21">
      <c r="A183" s="4"/>
      <c r="B183" s="117"/>
      <c r="C183" s="117"/>
      <c r="D183" s="10"/>
      <c r="E183" s="10"/>
      <c r="F183" s="10"/>
      <c r="G183" s="10"/>
      <c r="H183" s="10"/>
      <c r="I183" s="10"/>
      <c r="J183" s="15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21">
      <c r="A184" s="4"/>
      <c r="B184" s="117"/>
      <c r="C184" s="117"/>
      <c r="D184" s="10"/>
      <c r="E184" s="10"/>
      <c r="F184" s="10"/>
      <c r="G184" s="10"/>
      <c r="H184" s="10"/>
      <c r="I184" s="10"/>
      <c r="J184" s="15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21">
      <c r="A185" s="4"/>
      <c r="B185" s="117"/>
      <c r="C185" s="117"/>
      <c r="D185" s="10"/>
      <c r="E185" s="10"/>
      <c r="F185" s="10"/>
      <c r="G185" s="10"/>
      <c r="H185" s="10"/>
      <c r="I185" s="10"/>
      <c r="J185" s="15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21">
      <c r="A186" s="4"/>
      <c r="B186" s="117"/>
      <c r="C186" s="117"/>
      <c r="D186" s="10"/>
      <c r="E186" s="10"/>
      <c r="F186" s="10"/>
      <c r="G186" s="10"/>
      <c r="H186" s="10"/>
      <c r="I186" s="10"/>
      <c r="J186" s="15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21">
      <c r="A187" s="4"/>
      <c r="B187" s="117"/>
      <c r="C187" s="117"/>
      <c r="D187" s="10"/>
      <c r="E187" s="10"/>
      <c r="F187" s="10"/>
      <c r="G187" s="10"/>
      <c r="H187" s="10"/>
      <c r="I187" s="10"/>
      <c r="J187" s="15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21">
      <c r="A188" s="4"/>
      <c r="B188" s="117"/>
      <c r="C188" s="117"/>
      <c r="D188" s="10"/>
      <c r="E188" s="10"/>
      <c r="F188" s="10"/>
      <c r="G188" s="10"/>
      <c r="H188" s="10"/>
      <c r="I188" s="10"/>
      <c r="J188" s="15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21">
      <c r="A189" s="4"/>
      <c r="B189" s="117"/>
      <c r="C189" s="117"/>
      <c r="D189" s="10"/>
      <c r="E189" s="10"/>
      <c r="F189" s="10"/>
      <c r="G189" s="10"/>
      <c r="H189" s="10"/>
      <c r="I189" s="10"/>
      <c r="J189" s="15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21">
      <c r="A190" s="4"/>
      <c r="B190" s="117"/>
      <c r="C190" s="117"/>
      <c r="D190" s="10"/>
      <c r="E190" s="10"/>
      <c r="F190" s="10"/>
      <c r="G190" s="10"/>
      <c r="H190" s="10"/>
      <c r="I190" s="10"/>
      <c r="J190" s="15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21">
      <c r="A191" s="4"/>
      <c r="B191" s="117"/>
      <c r="C191" s="117"/>
      <c r="D191" s="10"/>
      <c r="E191" s="10"/>
      <c r="F191" s="10"/>
      <c r="G191" s="10"/>
      <c r="H191" s="10"/>
      <c r="I191" s="10"/>
      <c r="J191" s="15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21">
      <c r="A192" s="4"/>
      <c r="B192" s="117"/>
      <c r="C192" s="117"/>
      <c r="D192" s="10"/>
      <c r="E192" s="10"/>
      <c r="F192" s="10"/>
      <c r="G192" s="10"/>
      <c r="H192" s="10"/>
      <c r="I192" s="10"/>
      <c r="J192" s="156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21">
      <c r="A193" s="4"/>
      <c r="B193" s="117"/>
      <c r="C193" s="117"/>
      <c r="D193" s="10"/>
      <c r="E193" s="10"/>
      <c r="F193" s="10"/>
      <c r="G193" s="10"/>
      <c r="H193" s="10"/>
      <c r="I193" s="10"/>
      <c r="J193" s="156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21">
      <c r="A194" s="4"/>
      <c r="B194" s="117"/>
      <c r="C194" s="117"/>
      <c r="D194" s="10"/>
      <c r="E194" s="10"/>
      <c r="F194" s="10"/>
      <c r="G194" s="10"/>
      <c r="H194" s="10"/>
      <c r="I194" s="10"/>
      <c r="J194" s="15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21">
      <c r="A195" s="4"/>
      <c r="B195" s="117"/>
      <c r="C195" s="117"/>
      <c r="D195" s="10"/>
      <c r="E195" s="10"/>
      <c r="F195" s="10"/>
      <c r="G195" s="10"/>
      <c r="H195" s="10"/>
      <c r="I195" s="10"/>
      <c r="J195" s="15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21">
      <c r="A196" s="4"/>
      <c r="B196" s="117"/>
      <c r="C196" s="117"/>
      <c r="D196" s="10"/>
      <c r="E196" s="10"/>
      <c r="F196" s="10"/>
      <c r="G196" s="10"/>
      <c r="H196" s="10"/>
      <c r="I196" s="10"/>
      <c r="J196" s="15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21">
      <c r="A197" s="4"/>
      <c r="B197" s="117"/>
      <c r="C197" s="117"/>
      <c r="D197" s="10"/>
      <c r="E197" s="10"/>
      <c r="F197" s="10"/>
      <c r="G197" s="10"/>
      <c r="H197" s="10"/>
      <c r="I197" s="10"/>
      <c r="J197" s="15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21">
      <c r="A198" s="4"/>
      <c r="B198" s="117"/>
      <c r="C198" s="117"/>
      <c r="D198" s="10"/>
      <c r="E198" s="10"/>
      <c r="F198" s="10"/>
      <c r="G198" s="10"/>
      <c r="H198" s="10"/>
      <c r="I198" s="10"/>
      <c r="J198" s="156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21">
      <c r="A199" s="4"/>
      <c r="B199" s="117"/>
      <c r="C199" s="117"/>
      <c r="D199" s="10"/>
      <c r="E199" s="10"/>
      <c r="F199" s="10"/>
      <c r="G199" s="10"/>
      <c r="H199" s="10"/>
      <c r="I199" s="10"/>
      <c r="J199" s="15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21">
      <c r="A200" s="4"/>
      <c r="B200" s="117"/>
      <c r="C200" s="117"/>
      <c r="D200" s="10"/>
      <c r="E200" s="10"/>
      <c r="F200" s="10"/>
      <c r="G200" s="10"/>
      <c r="H200" s="10"/>
      <c r="I200" s="10"/>
      <c r="J200" s="15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21">
      <c r="A201" s="4"/>
      <c r="B201" s="117"/>
      <c r="C201" s="117"/>
      <c r="D201" s="10"/>
      <c r="E201" s="10"/>
      <c r="F201" s="10"/>
      <c r="G201" s="10"/>
      <c r="H201" s="10"/>
      <c r="I201" s="10"/>
      <c r="J201" s="15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21">
      <c r="A202" s="4"/>
      <c r="B202" s="117"/>
      <c r="C202" s="117"/>
      <c r="D202" s="10"/>
      <c r="E202" s="10"/>
      <c r="F202" s="10"/>
      <c r="G202" s="10"/>
      <c r="H202" s="10"/>
      <c r="I202" s="10"/>
      <c r="J202" s="15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21">
      <c r="A203" s="4"/>
      <c r="B203" s="117"/>
      <c r="C203" s="117"/>
      <c r="D203" s="10"/>
      <c r="E203" s="10"/>
      <c r="F203" s="10"/>
      <c r="G203" s="10"/>
      <c r="H203" s="10"/>
      <c r="I203" s="10"/>
      <c r="J203" s="15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21">
      <c r="A204" s="4"/>
      <c r="B204" s="117"/>
      <c r="C204" s="117"/>
      <c r="D204" s="10"/>
      <c r="E204" s="10"/>
      <c r="F204" s="10"/>
      <c r="G204" s="10"/>
      <c r="H204" s="10"/>
      <c r="I204" s="10"/>
      <c r="J204" s="15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21">
      <c r="A205" s="4"/>
      <c r="B205" s="117"/>
      <c r="C205" s="117"/>
      <c r="D205" s="10"/>
      <c r="E205" s="10"/>
      <c r="F205" s="10"/>
      <c r="G205" s="10"/>
      <c r="H205" s="10"/>
      <c r="I205" s="10"/>
      <c r="J205" s="15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21">
      <c r="A206" s="4"/>
      <c r="B206" s="117"/>
      <c r="C206" s="117"/>
      <c r="D206" s="10"/>
      <c r="E206" s="10"/>
      <c r="F206" s="10"/>
      <c r="G206" s="10"/>
      <c r="H206" s="10"/>
      <c r="I206" s="10"/>
      <c r="J206" s="15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21">
      <c r="A207" s="4"/>
      <c r="B207" s="117"/>
      <c r="C207" s="117"/>
      <c r="D207" s="10"/>
      <c r="E207" s="10"/>
      <c r="F207" s="10"/>
      <c r="G207" s="10"/>
      <c r="H207" s="10"/>
      <c r="I207" s="10"/>
      <c r="J207" s="156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21">
      <c r="A208" s="4"/>
      <c r="B208" s="117"/>
      <c r="C208" s="117"/>
      <c r="D208" s="10"/>
      <c r="E208" s="10"/>
      <c r="F208" s="10"/>
      <c r="G208" s="10"/>
      <c r="H208" s="10"/>
      <c r="I208" s="10"/>
      <c r="J208" s="15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21">
      <c r="A209" s="4"/>
      <c r="B209" s="117"/>
      <c r="C209" s="117"/>
      <c r="D209" s="10"/>
      <c r="E209" s="10"/>
      <c r="F209" s="10"/>
      <c r="G209" s="10"/>
      <c r="H209" s="10"/>
      <c r="I209" s="10"/>
      <c r="J209" s="15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21">
      <c r="A210" s="4"/>
      <c r="B210" s="117"/>
      <c r="C210" s="117"/>
      <c r="D210" s="10"/>
      <c r="E210" s="10"/>
      <c r="F210" s="10"/>
      <c r="G210" s="10"/>
      <c r="H210" s="10"/>
      <c r="I210" s="10"/>
      <c r="J210" s="156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21">
      <c r="A211" s="4"/>
      <c r="B211" s="117"/>
      <c r="C211" s="117"/>
      <c r="D211" s="10"/>
      <c r="E211" s="10"/>
      <c r="F211" s="10"/>
      <c r="G211" s="10"/>
      <c r="H211" s="10"/>
      <c r="I211" s="10"/>
      <c r="J211" s="15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21">
      <c r="A212" s="4"/>
      <c r="B212" s="117"/>
      <c r="C212" s="117"/>
      <c r="D212" s="10"/>
      <c r="E212" s="10"/>
      <c r="F212" s="10"/>
      <c r="G212" s="10"/>
      <c r="H212" s="10"/>
      <c r="I212" s="10"/>
      <c r="J212" s="15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21">
      <c r="A213" s="4"/>
      <c r="B213" s="117"/>
      <c r="C213" s="117"/>
      <c r="D213" s="10"/>
      <c r="E213" s="10"/>
      <c r="F213" s="10"/>
      <c r="G213" s="10"/>
      <c r="H213" s="10"/>
      <c r="I213" s="10"/>
      <c r="J213" s="15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21">
      <c r="A214" s="4"/>
      <c r="B214" s="117"/>
      <c r="C214" s="117"/>
      <c r="D214" s="10"/>
      <c r="E214" s="10"/>
      <c r="F214" s="10"/>
      <c r="G214" s="10"/>
      <c r="H214" s="10"/>
      <c r="I214" s="10"/>
      <c r="J214" s="15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21">
      <c r="A215" s="4"/>
      <c r="B215" s="117"/>
      <c r="C215" s="117"/>
      <c r="D215" s="10"/>
      <c r="E215" s="10"/>
      <c r="F215" s="10"/>
      <c r="G215" s="10"/>
      <c r="H215" s="10"/>
      <c r="I215" s="10"/>
      <c r="J215" s="15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21">
      <c r="A216" s="4"/>
      <c r="B216" s="117"/>
      <c r="C216" s="117"/>
      <c r="D216" s="10"/>
      <c r="E216" s="10"/>
      <c r="F216" s="10"/>
      <c r="G216" s="10"/>
      <c r="H216" s="10"/>
      <c r="I216" s="10"/>
      <c r="J216" s="15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21">
      <c r="A217" s="4"/>
      <c r="B217" s="117"/>
      <c r="C217" s="117"/>
      <c r="D217" s="10"/>
      <c r="E217" s="10"/>
      <c r="F217" s="10"/>
      <c r="G217" s="10"/>
      <c r="H217" s="10"/>
      <c r="I217" s="10"/>
      <c r="J217" s="15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21">
      <c r="A218" s="4"/>
      <c r="B218" s="117"/>
      <c r="C218" s="117"/>
      <c r="D218" s="10"/>
      <c r="E218" s="10"/>
      <c r="F218" s="10"/>
      <c r="G218" s="10"/>
      <c r="H218" s="10"/>
      <c r="I218" s="10"/>
      <c r="J218" s="156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21">
      <c r="A219" s="4"/>
      <c r="B219" s="117"/>
      <c r="C219" s="117"/>
      <c r="D219" s="10"/>
      <c r="E219" s="10"/>
      <c r="F219" s="10"/>
      <c r="G219" s="10"/>
      <c r="H219" s="10"/>
      <c r="I219" s="10"/>
      <c r="J219" s="15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21">
      <c r="A220" s="4"/>
      <c r="B220" s="117"/>
      <c r="C220" s="117"/>
      <c r="D220" s="10"/>
      <c r="E220" s="10"/>
      <c r="F220" s="10"/>
      <c r="G220" s="10"/>
      <c r="H220" s="10"/>
      <c r="I220" s="10"/>
      <c r="J220" s="15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21">
      <c r="A221" s="4"/>
      <c r="B221" s="117"/>
      <c r="C221" s="117"/>
      <c r="D221" s="10"/>
      <c r="E221" s="10"/>
      <c r="F221" s="10"/>
      <c r="G221" s="10"/>
      <c r="H221" s="10"/>
      <c r="I221" s="10"/>
      <c r="J221" s="15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21">
      <c r="A222" s="4"/>
      <c r="B222" s="117"/>
      <c r="C222" s="117"/>
      <c r="D222" s="10"/>
      <c r="E222" s="10"/>
      <c r="F222" s="10"/>
      <c r="G222" s="10"/>
      <c r="H222" s="10"/>
      <c r="I222" s="10"/>
      <c r="J222" s="15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21">
      <c r="A223" s="4"/>
      <c r="B223" s="117"/>
      <c r="C223" s="117"/>
      <c r="D223" s="10"/>
      <c r="E223" s="10"/>
      <c r="F223" s="10"/>
      <c r="G223" s="10"/>
      <c r="H223" s="10"/>
      <c r="I223" s="10"/>
      <c r="J223" s="156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21">
      <c r="A224" s="4"/>
      <c r="B224" s="117"/>
      <c r="C224" s="117"/>
      <c r="D224" s="10"/>
      <c r="E224" s="10"/>
      <c r="F224" s="10"/>
      <c r="G224" s="10"/>
      <c r="H224" s="10"/>
      <c r="I224" s="10"/>
      <c r="J224" s="15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21">
      <c r="A225" s="4"/>
      <c r="B225" s="117"/>
      <c r="C225" s="117"/>
      <c r="D225" s="10"/>
      <c r="E225" s="10"/>
      <c r="F225" s="10"/>
      <c r="G225" s="10"/>
      <c r="H225" s="10"/>
      <c r="I225" s="10"/>
      <c r="J225" s="15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21">
      <c r="A226" s="4"/>
      <c r="B226" s="117"/>
      <c r="C226" s="117"/>
      <c r="D226" s="10"/>
      <c r="E226" s="10"/>
      <c r="F226" s="10"/>
      <c r="G226" s="10"/>
      <c r="H226" s="10"/>
      <c r="I226" s="10"/>
      <c r="J226" s="15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21">
      <c r="A227" s="4"/>
      <c r="B227" s="117"/>
      <c r="C227" s="117"/>
      <c r="D227" s="10"/>
      <c r="E227" s="10"/>
      <c r="F227" s="10"/>
      <c r="G227" s="10"/>
      <c r="H227" s="10"/>
      <c r="I227" s="10"/>
      <c r="J227" s="15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21">
      <c r="A228" s="4"/>
      <c r="B228" s="117"/>
      <c r="C228" s="117"/>
      <c r="D228" s="10"/>
      <c r="E228" s="10"/>
      <c r="F228" s="10"/>
      <c r="G228" s="10"/>
      <c r="H228" s="10"/>
      <c r="I228" s="10"/>
      <c r="J228" s="15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21">
      <c r="A229" s="4"/>
      <c r="B229" s="117"/>
      <c r="C229" s="117"/>
      <c r="D229" s="10"/>
      <c r="E229" s="10"/>
      <c r="F229" s="10"/>
      <c r="G229" s="10"/>
      <c r="H229" s="10"/>
      <c r="I229" s="10"/>
      <c r="J229" s="15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21">
      <c r="A230" s="4"/>
      <c r="B230" s="117"/>
      <c r="C230" s="117"/>
      <c r="D230" s="10"/>
      <c r="E230" s="10"/>
      <c r="F230" s="10"/>
      <c r="G230" s="10"/>
      <c r="H230" s="10"/>
      <c r="I230" s="10"/>
      <c r="J230" s="15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21">
      <c r="A231" s="4"/>
      <c r="B231" s="117"/>
      <c r="C231" s="117"/>
      <c r="D231" s="10"/>
      <c r="E231" s="10"/>
      <c r="F231" s="10"/>
      <c r="G231" s="10"/>
      <c r="H231" s="10"/>
      <c r="I231" s="10"/>
      <c r="J231" s="156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21">
      <c r="A232" s="4"/>
      <c r="B232" s="117"/>
      <c r="C232" s="117"/>
      <c r="D232" s="10"/>
      <c r="E232" s="10"/>
      <c r="F232" s="10"/>
      <c r="G232" s="10"/>
      <c r="H232" s="10"/>
      <c r="I232" s="10"/>
      <c r="J232" s="15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21">
      <c r="A233" s="4"/>
      <c r="B233" s="117"/>
      <c r="C233" s="117"/>
      <c r="D233" s="10"/>
      <c r="E233" s="10"/>
      <c r="F233" s="10"/>
      <c r="G233" s="10"/>
      <c r="H233" s="10"/>
      <c r="I233" s="10"/>
      <c r="J233" s="15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21">
      <c r="A234" s="4"/>
      <c r="B234" s="117"/>
      <c r="C234" s="117"/>
      <c r="D234" s="10"/>
      <c r="E234" s="10"/>
      <c r="F234" s="10"/>
      <c r="G234" s="10"/>
      <c r="H234" s="10"/>
      <c r="I234" s="10"/>
      <c r="J234" s="156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21">
      <c r="A235" s="4"/>
      <c r="B235" s="117"/>
      <c r="C235" s="117"/>
      <c r="D235" s="10"/>
      <c r="E235" s="10"/>
      <c r="F235" s="10"/>
      <c r="G235" s="10"/>
      <c r="H235" s="10"/>
      <c r="I235" s="10"/>
      <c r="J235" s="15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21">
      <c r="A236" s="4"/>
      <c r="B236" s="117"/>
      <c r="C236" s="117"/>
      <c r="D236" s="10"/>
      <c r="E236" s="10"/>
      <c r="F236" s="10"/>
      <c r="G236" s="10"/>
      <c r="H236" s="10"/>
      <c r="I236" s="10"/>
      <c r="J236" s="15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21">
      <c r="A237" s="4"/>
      <c r="B237" s="117"/>
      <c r="C237" s="117"/>
      <c r="D237" s="10"/>
      <c r="E237" s="10"/>
      <c r="F237" s="10"/>
      <c r="G237" s="10"/>
      <c r="H237" s="10"/>
      <c r="I237" s="10"/>
      <c r="J237" s="15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21">
      <c r="A238" s="4"/>
      <c r="B238" s="117"/>
      <c r="C238" s="117"/>
      <c r="D238" s="10"/>
      <c r="E238" s="10"/>
      <c r="F238" s="10"/>
      <c r="G238" s="10"/>
      <c r="H238" s="10"/>
      <c r="I238" s="10"/>
      <c r="J238" s="15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21">
      <c r="A239" s="4"/>
      <c r="B239" s="117"/>
      <c r="C239" s="117"/>
      <c r="D239" s="10"/>
      <c r="E239" s="10"/>
      <c r="F239" s="10"/>
      <c r="G239" s="10"/>
      <c r="H239" s="10"/>
      <c r="I239" s="10"/>
      <c r="J239" s="15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21">
      <c r="A240" s="4"/>
      <c r="B240" s="117"/>
      <c r="C240" s="117"/>
      <c r="D240" s="10"/>
      <c r="E240" s="10"/>
      <c r="F240" s="10"/>
      <c r="G240" s="10"/>
      <c r="H240" s="10"/>
      <c r="I240" s="10"/>
      <c r="J240" s="15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21">
      <c r="A241" s="4"/>
      <c r="B241" s="117"/>
      <c r="C241" s="117"/>
      <c r="D241" s="10"/>
      <c r="E241" s="10"/>
      <c r="F241" s="10"/>
      <c r="G241" s="10"/>
      <c r="H241" s="10"/>
      <c r="I241" s="10"/>
      <c r="J241" s="15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21">
      <c r="A242" s="4"/>
      <c r="B242" s="117"/>
      <c r="C242" s="117"/>
      <c r="D242" s="10"/>
      <c r="E242" s="10"/>
      <c r="F242" s="10"/>
      <c r="G242" s="10"/>
      <c r="H242" s="10"/>
      <c r="I242" s="10"/>
      <c r="J242" s="15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21">
      <c r="A243" s="4"/>
      <c r="B243" s="117"/>
      <c r="C243" s="117"/>
      <c r="D243" s="10"/>
      <c r="E243" s="10"/>
      <c r="F243" s="10"/>
      <c r="G243" s="10"/>
      <c r="H243" s="10"/>
      <c r="I243" s="10"/>
      <c r="J243" s="15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21">
      <c r="A244" s="4"/>
      <c r="B244" s="117"/>
      <c r="C244" s="117"/>
      <c r="D244" s="10"/>
      <c r="E244" s="10"/>
      <c r="F244" s="10"/>
      <c r="G244" s="10"/>
      <c r="H244" s="10"/>
      <c r="I244" s="10"/>
      <c r="J244" s="15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21">
      <c r="A245" s="4"/>
      <c r="B245" s="117"/>
      <c r="C245" s="117"/>
      <c r="D245" s="10"/>
      <c r="E245" s="10"/>
      <c r="F245" s="10"/>
      <c r="G245" s="10"/>
      <c r="H245" s="10"/>
      <c r="I245" s="10"/>
      <c r="J245" s="15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21">
      <c r="A246" s="4"/>
      <c r="B246" s="117"/>
      <c r="C246" s="117"/>
      <c r="D246" s="10"/>
      <c r="E246" s="10"/>
      <c r="F246" s="10"/>
      <c r="G246" s="10"/>
      <c r="H246" s="10"/>
      <c r="I246" s="10"/>
      <c r="J246" s="15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21">
      <c r="A247" s="4"/>
      <c r="B247" s="117"/>
      <c r="C247" s="117"/>
      <c r="D247" s="10"/>
      <c r="E247" s="10"/>
      <c r="F247" s="10"/>
      <c r="G247" s="10"/>
      <c r="H247" s="10"/>
      <c r="I247" s="10"/>
      <c r="J247" s="15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21">
      <c r="A248" s="4"/>
      <c r="B248" s="117"/>
      <c r="C248" s="117"/>
      <c r="D248" s="10"/>
      <c r="E248" s="10"/>
      <c r="F248" s="10"/>
      <c r="G248" s="10"/>
      <c r="H248" s="10"/>
      <c r="I248" s="10"/>
      <c r="J248" s="15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21">
      <c r="A249" s="4"/>
      <c r="B249" s="117"/>
      <c r="C249" s="117"/>
      <c r="D249" s="10"/>
      <c r="E249" s="10"/>
      <c r="F249" s="10"/>
      <c r="G249" s="10"/>
      <c r="H249" s="10"/>
      <c r="I249" s="10"/>
      <c r="J249" s="15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21">
      <c r="A250" s="4"/>
      <c r="B250" s="117"/>
      <c r="C250" s="117"/>
      <c r="D250" s="10"/>
      <c r="E250" s="10"/>
      <c r="F250" s="10"/>
      <c r="G250" s="10"/>
      <c r="H250" s="10"/>
      <c r="I250" s="10"/>
      <c r="J250" s="15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21">
      <c r="A251" s="4"/>
      <c r="B251" s="117"/>
      <c r="C251" s="117"/>
      <c r="D251" s="10"/>
      <c r="E251" s="10"/>
      <c r="F251" s="10"/>
      <c r="G251" s="10"/>
      <c r="H251" s="10"/>
      <c r="I251" s="10"/>
      <c r="J251" s="15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21">
      <c r="A252" s="4"/>
      <c r="B252" s="117"/>
      <c r="C252" s="117"/>
      <c r="D252" s="10"/>
      <c r="E252" s="10"/>
      <c r="F252" s="10"/>
      <c r="G252" s="10"/>
      <c r="H252" s="10"/>
      <c r="I252" s="10"/>
      <c r="J252" s="15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21">
      <c r="A253" s="4"/>
      <c r="B253" s="117"/>
      <c r="C253" s="117"/>
      <c r="D253" s="10"/>
      <c r="E253" s="10"/>
      <c r="F253" s="10"/>
      <c r="G253" s="10"/>
      <c r="H253" s="10"/>
      <c r="I253" s="10"/>
      <c r="J253" s="15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21">
      <c r="A254" s="4"/>
      <c r="B254" s="117"/>
      <c r="C254" s="117"/>
      <c r="D254" s="10"/>
      <c r="E254" s="10"/>
      <c r="F254" s="10"/>
      <c r="G254" s="10"/>
      <c r="H254" s="10"/>
      <c r="I254" s="10"/>
      <c r="J254" s="15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21">
      <c r="A255" s="4"/>
      <c r="B255" s="117"/>
      <c r="C255" s="117"/>
      <c r="D255" s="10"/>
      <c r="E255" s="10"/>
      <c r="F255" s="10"/>
      <c r="G255" s="10"/>
      <c r="H255" s="10"/>
      <c r="I255" s="10"/>
      <c r="J255" s="15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21">
      <c r="A256" s="4"/>
      <c r="B256" s="117"/>
      <c r="C256" s="117"/>
      <c r="D256" s="10"/>
      <c r="E256" s="10"/>
      <c r="F256" s="10"/>
      <c r="G256" s="10"/>
      <c r="H256" s="10"/>
      <c r="I256" s="10"/>
      <c r="J256" s="15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21">
      <c r="A257" s="4"/>
      <c r="B257" s="117"/>
      <c r="C257" s="117"/>
      <c r="D257" s="10"/>
      <c r="E257" s="10"/>
      <c r="F257" s="10"/>
      <c r="G257" s="10"/>
      <c r="H257" s="10"/>
      <c r="I257" s="10"/>
      <c r="J257" s="15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21">
      <c r="A258" s="4"/>
      <c r="B258" s="117"/>
      <c r="C258" s="117"/>
      <c r="D258" s="10"/>
      <c r="E258" s="10"/>
      <c r="F258" s="10"/>
      <c r="G258" s="10"/>
      <c r="H258" s="10"/>
      <c r="I258" s="10"/>
      <c r="J258" s="15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21">
      <c r="A259" s="4"/>
      <c r="B259" s="117"/>
      <c r="C259" s="117"/>
      <c r="D259" s="10"/>
      <c r="E259" s="10"/>
      <c r="F259" s="10"/>
      <c r="G259" s="10"/>
      <c r="H259" s="10"/>
      <c r="I259" s="10"/>
      <c r="J259" s="15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21">
      <c r="A260" s="4"/>
      <c r="B260" s="117"/>
      <c r="C260" s="117"/>
      <c r="D260" s="10"/>
      <c r="E260" s="10"/>
      <c r="F260" s="10"/>
      <c r="G260" s="10"/>
      <c r="H260" s="10"/>
      <c r="I260" s="10"/>
      <c r="J260" s="15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21">
      <c r="A261" s="4"/>
      <c r="B261" s="117"/>
      <c r="C261" s="117"/>
      <c r="D261" s="10"/>
      <c r="E261" s="10"/>
      <c r="F261" s="10"/>
      <c r="G261" s="10"/>
      <c r="H261" s="10"/>
      <c r="I261" s="10"/>
      <c r="J261" s="15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21">
      <c r="A262" s="4"/>
      <c r="B262" s="117"/>
      <c r="C262" s="117"/>
      <c r="D262" s="10"/>
      <c r="E262" s="10"/>
      <c r="F262" s="10"/>
      <c r="G262" s="10"/>
      <c r="H262" s="10"/>
      <c r="I262" s="10"/>
      <c r="J262" s="15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21">
      <c r="A263" s="4"/>
      <c r="B263" s="117"/>
      <c r="C263" s="117"/>
      <c r="D263" s="10"/>
      <c r="E263" s="10"/>
      <c r="F263" s="10"/>
      <c r="G263" s="10"/>
      <c r="H263" s="10"/>
      <c r="I263" s="10"/>
      <c r="J263" s="15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21">
      <c r="A264" s="4"/>
      <c r="B264" s="117"/>
      <c r="C264" s="117"/>
      <c r="D264" s="10"/>
      <c r="E264" s="10"/>
      <c r="F264" s="10"/>
      <c r="G264" s="10"/>
      <c r="H264" s="10"/>
      <c r="I264" s="10"/>
      <c r="J264" s="15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21">
      <c r="A265" s="4"/>
      <c r="B265" s="117"/>
      <c r="C265" s="117"/>
      <c r="D265" s="10"/>
      <c r="E265" s="10"/>
      <c r="F265" s="10"/>
      <c r="G265" s="10"/>
      <c r="H265" s="10"/>
      <c r="I265" s="10"/>
      <c r="J265" s="15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21">
      <c r="A266" s="4"/>
      <c r="B266" s="117"/>
      <c r="C266" s="117"/>
      <c r="D266" s="10"/>
      <c r="E266" s="10"/>
      <c r="F266" s="10"/>
      <c r="G266" s="10"/>
      <c r="H266" s="10"/>
      <c r="I266" s="10"/>
      <c r="J266" s="15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21">
      <c r="A267" s="4"/>
      <c r="B267" s="117"/>
      <c r="C267" s="117"/>
      <c r="D267" s="10"/>
      <c r="E267" s="10"/>
      <c r="F267" s="10"/>
      <c r="G267" s="10"/>
      <c r="H267" s="10"/>
      <c r="I267" s="10"/>
      <c r="J267" s="15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21">
      <c r="A268" s="4"/>
      <c r="B268" s="117"/>
      <c r="C268" s="117"/>
      <c r="D268" s="10"/>
      <c r="E268" s="10"/>
      <c r="F268" s="10"/>
      <c r="G268" s="10"/>
      <c r="H268" s="10"/>
      <c r="I268" s="10"/>
      <c r="J268" s="15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21">
      <c r="A269" s="4"/>
      <c r="B269" s="117"/>
      <c r="C269" s="117"/>
      <c r="D269" s="10"/>
      <c r="E269" s="10"/>
      <c r="F269" s="10"/>
      <c r="G269" s="10"/>
      <c r="H269" s="10"/>
      <c r="I269" s="10"/>
      <c r="J269" s="15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21">
      <c r="A270" s="4"/>
      <c r="B270" s="117"/>
      <c r="C270" s="117"/>
      <c r="D270" s="10"/>
      <c r="E270" s="10"/>
      <c r="F270" s="10"/>
      <c r="G270" s="10"/>
      <c r="H270" s="10"/>
      <c r="I270" s="10"/>
      <c r="J270" s="15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21">
      <c r="A271" s="4"/>
      <c r="B271" s="117"/>
      <c r="C271" s="117"/>
      <c r="D271" s="10"/>
      <c r="E271" s="10"/>
      <c r="F271" s="10"/>
      <c r="G271" s="10"/>
      <c r="H271" s="10"/>
      <c r="I271" s="10"/>
      <c r="J271" s="15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21">
      <c r="A272" s="4"/>
      <c r="B272" s="117"/>
      <c r="C272" s="117"/>
      <c r="D272" s="10"/>
      <c r="E272" s="10"/>
      <c r="F272" s="10"/>
      <c r="G272" s="10"/>
      <c r="H272" s="10"/>
      <c r="I272" s="10"/>
      <c r="J272" s="15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21">
      <c r="A273" s="4"/>
      <c r="B273" s="117"/>
      <c r="C273" s="117"/>
      <c r="D273" s="10"/>
      <c r="E273" s="10"/>
      <c r="F273" s="10"/>
      <c r="G273" s="10"/>
      <c r="H273" s="10"/>
      <c r="I273" s="10"/>
      <c r="J273" s="15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21">
      <c r="A274" s="4"/>
      <c r="B274" s="117"/>
      <c r="C274" s="117"/>
      <c r="D274" s="10"/>
      <c r="E274" s="10"/>
      <c r="F274" s="10"/>
      <c r="G274" s="10"/>
      <c r="H274" s="10"/>
      <c r="I274" s="10"/>
      <c r="J274" s="15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21">
      <c r="A275" s="4"/>
      <c r="B275" s="117"/>
      <c r="C275" s="117"/>
      <c r="D275" s="10"/>
      <c r="E275" s="10"/>
      <c r="F275" s="10"/>
      <c r="G275" s="10"/>
      <c r="H275" s="10"/>
      <c r="I275" s="10"/>
      <c r="J275" s="15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21">
      <c r="A276" s="4"/>
      <c r="B276" s="117"/>
      <c r="C276" s="117"/>
      <c r="D276" s="10"/>
      <c r="E276" s="10"/>
      <c r="F276" s="10"/>
      <c r="G276" s="10"/>
      <c r="H276" s="10"/>
      <c r="I276" s="10"/>
      <c r="J276" s="15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21">
      <c r="A277" s="4"/>
      <c r="B277" s="117"/>
      <c r="C277" s="117"/>
      <c r="D277" s="10"/>
      <c r="E277" s="10"/>
      <c r="F277" s="10"/>
      <c r="G277" s="10"/>
      <c r="H277" s="10"/>
      <c r="I277" s="10"/>
      <c r="J277" s="15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21">
      <c r="A278" s="4"/>
      <c r="B278" s="117"/>
      <c r="C278" s="117"/>
      <c r="D278" s="10"/>
      <c r="E278" s="10"/>
      <c r="F278" s="10"/>
      <c r="G278" s="10"/>
      <c r="H278" s="10"/>
      <c r="I278" s="10"/>
      <c r="J278" s="15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21">
      <c r="A279" s="4"/>
      <c r="B279" s="117"/>
      <c r="C279" s="117"/>
      <c r="D279" s="10"/>
      <c r="E279" s="10"/>
      <c r="F279" s="10"/>
      <c r="G279" s="10"/>
      <c r="H279" s="10"/>
      <c r="I279" s="10"/>
      <c r="J279" s="15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21">
      <c r="A280" s="4"/>
      <c r="B280" s="117"/>
      <c r="C280" s="117"/>
      <c r="D280" s="10"/>
      <c r="E280" s="10"/>
      <c r="F280" s="10"/>
      <c r="G280" s="10"/>
      <c r="H280" s="10"/>
      <c r="I280" s="10"/>
      <c r="J280" s="15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21">
      <c r="A281" s="4"/>
      <c r="B281" s="117"/>
      <c r="C281" s="117"/>
      <c r="D281" s="10"/>
      <c r="E281" s="10"/>
      <c r="F281" s="10"/>
      <c r="G281" s="10"/>
      <c r="H281" s="10"/>
      <c r="I281" s="10"/>
      <c r="J281" s="15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21">
      <c r="A282" s="4"/>
      <c r="B282" s="117"/>
      <c r="C282" s="117"/>
      <c r="D282" s="10"/>
      <c r="E282" s="10"/>
      <c r="F282" s="10"/>
      <c r="G282" s="10"/>
      <c r="H282" s="10"/>
      <c r="I282" s="10"/>
      <c r="J282" s="15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21">
      <c r="A283" s="4"/>
      <c r="B283" s="117"/>
      <c r="C283" s="117"/>
      <c r="D283" s="10"/>
      <c r="E283" s="10"/>
      <c r="F283" s="10"/>
      <c r="G283" s="10"/>
      <c r="H283" s="10"/>
      <c r="I283" s="10"/>
      <c r="J283" s="15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21">
      <c r="A284" s="4"/>
      <c r="B284" s="117"/>
      <c r="C284" s="117"/>
      <c r="D284" s="10"/>
      <c r="E284" s="10"/>
      <c r="F284" s="10"/>
      <c r="G284" s="10"/>
      <c r="H284" s="10"/>
      <c r="I284" s="10"/>
      <c r="J284" s="15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21">
      <c r="A285" s="4"/>
      <c r="B285" s="117"/>
      <c r="C285" s="117"/>
      <c r="D285" s="10"/>
      <c r="E285" s="10"/>
      <c r="F285" s="10"/>
      <c r="G285" s="10"/>
      <c r="H285" s="10"/>
      <c r="I285" s="10"/>
      <c r="J285" s="15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21">
      <c r="A286" s="4"/>
      <c r="B286" s="117"/>
      <c r="C286" s="117"/>
      <c r="D286" s="10"/>
      <c r="E286" s="10"/>
      <c r="F286" s="10"/>
      <c r="G286" s="10"/>
      <c r="H286" s="10"/>
      <c r="I286" s="10"/>
      <c r="J286" s="15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21">
      <c r="A287" s="4"/>
      <c r="B287" s="117"/>
      <c r="C287" s="117"/>
      <c r="D287" s="10"/>
      <c r="E287" s="10"/>
      <c r="F287" s="10"/>
      <c r="G287" s="10"/>
      <c r="H287" s="10"/>
      <c r="I287" s="10"/>
      <c r="J287" s="15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21">
      <c r="A288" s="4"/>
      <c r="B288" s="117"/>
      <c r="C288" s="117"/>
      <c r="D288" s="10"/>
      <c r="E288" s="10"/>
      <c r="F288" s="10"/>
      <c r="G288" s="10"/>
      <c r="H288" s="10"/>
      <c r="I288" s="10"/>
      <c r="J288" s="15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21">
      <c r="A289" s="4"/>
      <c r="B289" s="117"/>
      <c r="C289" s="117"/>
      <c r="D289" s="10"/>
      <c r="E289" s="10"/>
      <c r="F289" s="10"/>
      <c r="G289" s="10"/>
      <c r="H289" s="10"/>
      <c r="I289" s="10"/>
      <c r="J289" s="15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21">
      <c r="A290" s="4"/>
      <c r="B290" s="117"/>
      <c r="C290" s="117"/>
      <c r="D290" s="10"/>
      <c r="E290" s="10"/>
      <c r="F290" s="10"/>
      <c r="G290" s="10"/>
      <c r="H290" s="10"/>
      <c r="I290" s="10"/>
      <c r="J290" s="15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21">
      <c r="A291" s="4"/>
      <c r="B291" s="117"/>
      <c r="C291" s="117"/>
      <c r="D291" s="10"/>
      <c r="E291" s="10"/>
      <c r="F291" s="10"/>
      <c r="G291" s="10"/>
      <c r="H291" s="10"/>
      <c r="I291" s="10"/>
      <c r="J291" s="15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21">
      <c r="A292" s="4"/>
      <c r="B292" s="117"/>
      <c r="C292" s="117"/>
      <c r="D292" s="10"/>
      <c r="E292" s="10"/>
      <c r="F292" s="10"/>
      <c r="G292" s="10"/>
      <c r="H292" s="10"/>
      <c r="I292" s="10"/>
      <c r="J292" s="15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21">
      <c r="A293" s="4"/>
      <c r="B293" s="117"/>
      <c r="C293" s="117"/>
      <c r="D293" s="10"/>
      <c r="E293" s="10"/>
      <c r="F293" s="10"/>
      <c r="G293" s="10"/>
      <c r="H293" s="10"/>
      <c r="I293" s="10"/>
      <c r="J293" s="15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21">
      <c r="A294" s="4"/>
      <c r="B294" s="117"/>
      <c r="C294" s="117"/>
      <c r="D294" s="10"/>
      <c r="E294" s="10"/>
      <c r="F294" s="10"/>
      <c r="G294" s="10"/>
      <c r="H294" s="10"/>
      <c r="I294" s="10"/>
      <c r="J294" s="15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21">
      <c r="A295" s="4"/>
      <c r="B295" s="117"/>
      <c r="C295" s="117"/>
      <c r="D295" s="10"/>
      <c r="E295" s="10"/>
      <c r="F295" s="10"/>
      <c r="G295" s="10"/>
      <c r="H295" s="10"/>
      <c r="I295" s="10"/>
      <c r="J295" s="15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21">
      <c r="A296" s="4"/>
      <c r="B296" s="117"/>
      <c r="C296" s="117"/>
      <c r="D296" s="10"/>
      <c r="E296" s="10"/>
      <c r="F296" s="10"/>
      <c r="G296" s="10"/>
      <c r="H296" s="10"/>
      <c r="I296" s="10"/>
      <c r="J296" s="15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21">
      <c r="A297" s="4"/>
      <c r="B297" s="117"/>
      <c r="C297" s="117"/>
      <c r="D297" s="10"/>
      <c r="E297" s="10"/>
      <c r="F297" s="10"/>
      <c r="G297" s="10"/>
      <c r="H297" s="10"/>
      <c r="I297" s="10"/>
      <c r="J297" s="15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21">
      <c r="A298" s="4"/>
      <c r="B298" s="117"/>
      <c r="C298" s="117"/>
      <c r="D298" s="10"/>
      <c r="E298" s="10"/>
      <c r="F298" s="10"/>
      <c r="G298" s="10"/>
      <c r="H298" s="10"/>
      <c r="I298" s="10"/>
      <c r="J298" s="15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21">
      <c r="A299" s="4"/>
      <c r="B299" s="117"/>
      <c r="C299" s="117"/>
      <c r="D299" s="10"/>
      <c r="E299" s="10"/>
      <c r="F299" s="10"/>
      <c r="G299" s="10"/>
      <c r="H299" s="10"/>
      <c r="I299" s="10"/>
      <c r="J299" s="15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21">
      <c r="A300" s="4"/>
      <c r="B300" s="117"/>
      <c r="C300" s="117"/>
      <c r="D300" s="10"/>
      <c r="E300" s="10"/>
      <c r="F300" s="10"/>
      <c r="G300" s="10"/>
      <c r="H300" s="10"/>
      <c r="I300" s="10"/>
      <c r="J300" s="15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21">
      <c r="A301" s="4"/>
      <c r="B301" s="117"/>
      <c r="C301" s="117"/>
      <c r="D301" s="10"/>
      <c r="E301" s="10"/>
      <c r="F301" s="10"/>
      <c r="G301" s="10"/>
      <c r="H301" s="10"/>
      <c r="I301" s="1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21">
      <c r="A302" s="4"/>
      <c r="B302" s="117"/>
      <c r="C302" s="117"/>
      <c r="D302" s="10"/>
      <c r="E302" s="10"/>
      <c r="F302" s="10"/>
      <c r="G302" s="10"/>
      <c r="H302" s="10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21">
      <c r="A303" s="4"/>
      <c r="B303" s="117"/>
      <c r="C303" s="117"/>
      <c r="D303" s="10"/>
      <c r="E303" s="10"/>
      <c r="F303" s="10"/>
      <c r="G303" s="10"/>
      <c r="H303" s="10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21">
      <c r="A304" s="4"/>
      <c r="B304" s="117"/>
      <c r="C304" s="117"/>
      <c r="D304" s="10"/>
      <c r="E304" s="10"/>
      <c r="F304" s="10"/>
      <c r="G304" s="10"/>
      <c r="H304" s="10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21">
      <c r="A305" s="4"/>
      <c r="B305" s="117"/>
      <c r="C305" s="117"/>
      <c r="D305" s="10"/>
      <c r="E305" s="10"/>
      <c r="F305" s="10"/>
      <c r="G305" s="10"/>
      <c r="H305" s="10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21">
      <c r="A306" s="4"/>
      <c r="B306" s="117"/>
      <c r="C306" s="117"/>
      <c r="D306" s="10"/>
      <c r="E306" s="10"/>
      <c r="F306" s="10"/>
      <c r="G306" s="10"/>
      <c r="H306" s="10"/>
      <c r="I306" s="10"/>
      <c r="J306" s="15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21">
      <c r="A307" s="4"/>
      <c r="B307" s="117"/>
      <c r="C307" s="117"/>
      <c r="D307" s="10"/>
      <c r="E307" s="10"/>
      <c r="F307" s="10"/>
      <c r="G307" s="10"/>
      <c r="H307" s="10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21">
      <c r="A308" s="4"/>
      <c r="B308" s="117"/>
      <c r="C308" s="117"/>
      <c r="D308" s="10"/>
      <c r="E308" s="10"/>
      <c r="F308" s="10"/>
      <c r="G308" s="10"/>
      <c r="H308" s="10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21">
      <c r="A309" s="4"/>
      <c r="B309" s="117"/>
      <c r="C309" s="117"/>
      <c r="D309" s="10"/>
      <c r="E309" s="10"/>
      <c r="F309" s="10"/>
      <c r="G309" s="10"/>
      <c r="H309" s="10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21">
      <c r="A310" s="4"/>
      <c r="B310" s="117"/>
      <c r="C310" s="117"/>
      <c r="D310" s="10"/>
      <c r="E310" s="10"/>
      <c r="F310" s="10"/>
      <c r="G310" s="10"/>
      <c r="H310" s="10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21">
      <c r="A311" s="4"/>
      <c r="B311" s="117"/>
      <c r="C311" s="117"/>
      <c r="D311" s="10"/>
      <c r="E311" s="10"/>
      <c r="F311" s="10"/>
      <c r="G311" s="10"/>
      <c r="H311" s="10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21">
      <c r="A312" s="4"/>
      <c r="B312" s="117"/>
      <c r="C312" s="117"/>
      <c r="D312" s="10"/>
      <c r="E312" s="10"/>
      <c r="F312" s="10"/>
      <c r="G312" s="10"/>
      <c r="H312" s="10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21">
      <c r="A313" s="4"/>
      <c r="B313" s="117"/>
      <c r="C313" s="117"/>
      <c r="D313" s="10"/>
      <c r="E313" s="10"/>
      <c r="F313" s="10"/>
      <c r="G313" s="10"/>
      <c r="H313" s="10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21">
      <c r="A314" s="4"/>
      <c r="B314" s="117"/>
      <c r="C314" s="117"/>
      <c r="D314" s="10"/>
      <c r="E314" s="10"/>
      <c r="F314" s="10"/>
      <c r="G314" s="10"/>
      <c r="H314" s="10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21">
      <c r="A315" s="4"/>
      <c r="B315" s="117"/>
      <c r="C315" s="117"/>
      <c r="D315" s="10"/>
      <c r="E315" s="10"/>
      <c r="F315" s="10"/>
      <c r="G315" s="10"/>
      <c r="H315" s="10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21">
      <c r="A316" s="4"/>
      <c r="B316" s="117"/>
      <c r="C316" s="117"/>
      <c r="D316" s="10"/>
      <c r="E316" s="10"/>
      <c r="F316" s="10"/>
      <c r="G316" s="10"/>
      <c r="H316" s="10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21">
      <c r="A317" s="4"/>
      <c r="B317" s="117"/>
      <c r="C317" s="117"/>
      <c r="D317" s="10"/>
      <c r="E317" s="10"/>
      <c r="F317" s="10"/>
      <c r="G317" s="10"/>
      <c r="H317" s="10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21">
      <c r="A318" s="4"/>
      <c r="B318" s="117"/>
      <c r="C318" s="117"/>
      <c r="D318" s="10"/>
      <c r="E318" s="10"/>
      <c r="F318" s="10"/>
      <c r="G318" s="10"/>
      <c r="H318" s="10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21">
      <c r="A319" s="4"/>
      <c r="B319" s="117"/>
      <c r="C319" s="117"/>
      <c r="D319" s="10"/>
      <c r="E319" s="10"/>
      <c r="F319" s="10"/>
      <c r="G319" s="10"/>
      <c r="H319" s="10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21">
      <c r="A320" s="4"/>
      <c r="B320" s="117"/>
      <c r="C320" s="117"/>
      <c r="D320" s="10"/>
      <c r="E320" s="10"/>
      <c r="F320" s="10"/>
      <c r="G320" s="10"/>
      <c r="H320" s="10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21">
      <c r="A321" s="4"/>
      <c r="B321" s="117"/>
      <c r="C321" s="117"/>
      <c r="D321" s="10"/>
      <c r="E321" s="10"/>
      <c r="F321" s="10"/>
      <c r="G321" s="10"/>
      <c r="H321" s="10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21">
      <c r="A322" s="4"/>
      <c r="B322" s="117"/>
      <c r="C322" s="117"/>
      <c r="D322" s="10"/>
      <c r="E322" s="10"/>
      <c r="F322" s="10"/>
      <c r="G322" s="10"/>
      <c r="H322" s="10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21">
      <c r="A323" s="4"/>
      <c r="B323" s="117"/>
      <c r="C323" s="117"/>
      <c r="D323" s="10"/>
      <c r="E323" s="10"/>
      <c r="F323" s="10"/>
      <c r="G323" s="10"/>
      <c r="H323" s="10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21">
      <c r="A324" s="4"/>
      <c r="B324" s="117"/>
      <c r="C324" s="117"/>
      <c r="D324" s="10"/>
      <c r="E324" s="10"/>
      <c r="F324" s="10"/>
      <c r="G324" s="10"/>
      <c r="H324" s="10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21">
      <c r="A325" s="4"/>
      <c r="B325" s="117"/>
      <c r="C325" s="117"/>
      <c r="D325" s="10"/>
      <c r="E325" s="10"/>
      <c r="F325" s="10"/>
      <c r="G325" s="10"/>
      <c r="H325" s="10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21">
      <c r="A326" s="4"/>
      <c r="B326" s="117"/>
      <c r="C326" s="117"/>
      <c r="D326" s="10"/>
      <c r="E326" s="10"/>
      <c r="F326" s="10"/>
      <c r="G326" s="10"/>
      <c r="H326" s="10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21">
      <c r="A327" s="4"/>
      <c r="B327" s="117"/>
      <c r="C327" s="117"/>
      <c r="D327" s="10"/>
      <c r="E327" s="10"/>
      <c r="F327" s="10"/>
      <c r="G327" s="10"/>
      <c r="H327" s="10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21">
      <c r="A328" s="4"/>
      <c r="B328" s="117"/>
      <c r="C328" s="117"/>
      <c r="D328" s="10"/>
      <c r="E328" s="10"/>
      <c r="F328" s="10"/>
      <c r="G328" s="10"/>
      <c r="H328" s="10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21">
      <c r="A329" s="4"/>
      <c r="B329" s="117"/>
      <c r="C329" s="117"/>
      <c r="D329" s="10"/>
      <c r="E329" s="10"/>
      <c r="F329" s="10"/>
      <c r="G329" s="10"/>
      <c r="H329" s="10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21">
      <c r="A330" s="4"/>
      <c r="B330" s="117"/>
      <c r="C330" s="117"/>
      <c r="D330" s="10"/>
      <c r="E330" s="10"/>
      <c r="F330" s="10"/>
      <c r="G330" s="10"/>
      <c r="H330" s="10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21">
      <c r="A331" s="4"/>
      <c r="B331" s="117"/>
      <c r="C331" s="117"/>
      <c r="D331" s="10"/>
      <c r="E331" s="10"/>
      <c r="F331" s="10"/>
      <c r="G331" s="10"/>
      <c r="H331" s="10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21">
      <c r="A332" s="4"/>
      <c r="B332" s="117"/>
      <c r="C332" s="117"/>
      <c r="D332" s="10"/>
      <c r="E332" s="10"/>
      <c r="F332" s="10"/>
      <c r="G332" s="10"/>
      <c r="H332" s="10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21">
      <c r="A333" s="4"/>
      <c r="B333" s="117"/>
      <c r="C333" s="117"/>
      <c r="D333" s="10"/>
      <c r="E333" s="10"/>
      <c r="F333" s="10"/>
      <c r="G333" s="10"/>
      <c r="H333" s="10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21">
      <c r="A334" s="4"/>
      <c r="B334" s="117"/>
      <c r="C334" s="117"/>
      <c r="D334" s="10"/>
      <c r="E334" s="10"/>
      <c r="F334" s="10"/>
      <c r="G334" s="10"/>
      <c r="H334" s="10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21">
      <c r="A335" s="4"/>
      <c r="B335" s="117"/>
      <c r="C335" s="117"/>
      <c r="D335" s="10"/>
      <c r="E335" s="10"/>
      <c r="F335" s="10"/>
      <c r="G335" s="10"/>
      <c r="H335" s="10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21">
      <c r="A336" s="4"/>
      <c r="B336" s="117"/>
      <c r="C336" s="117"/>
      <c r="D336" s="10"/>
      <c r="E336" s="10"/>
      <c r="F336" s="10"/>
      <c r="G336" s="10"/>
      <c r="H336" s="10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21">
      <c r="A337" s="4"/>
      <c r="B337" s="117"/>
      <c r="C337" s="117"/>
      <c r="D337" s="10"/>
      <c r="E337" s="10"/>
      <c r="F337" s="10"/>
      <c r="G337" s="10"/>
      <c r="H337" s="10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21">
      <c r="A338" s="4"/>
      <c r="B338" s="117"/>
      <c r="C338" s="117"/>
      <c r="D338" s="10"/>
      <c r="E338" s="10"/>
      <c r="F338" s="10"/>
      <c r="G338" s="10"/>
      <c r="H338" s="10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21">
      <c r="A339" s="4"/>
      <c r="B339" s="117"/>
      <c r="C339" s="117"/>
      <c r="D339" s="10"/>
      <c r="E339" s="10"/>
      <c r="F339" s="10"/>
      <c r="G339" s="10"/>
      <c r="H339" s="10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21">
      <c r="A340" s="4"/>
      <c r="B340" s="117"/>
      <c r="C340" s="117"/>
      <c r="D340" s="10"/>
      <c r="E340" s="10"/>
      <c r="F340" s="10"/>
      <c r="G340" s="10"/>
      <c r="H340" s="10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21">
      <c r="A341" s="4"/>
      <c r="B341" s="117"/>
      <c r="C341" s="117"/>
      <c r="D341" s="10"/>
      <c r="E341" s="10"/>
      <c r="F341" s="10"/>
      <c r="G341" s="10"/>
      <c r="H341" s="10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21">
      <c r="A342" s="4"/>
      <c r="B342" s="117"/>
      <c r="C342" s="117"/>
      <c r="D342" s="10"/>
      <c r="E342" s="10"/>
      <c r="F342" s="10"/>
      <c r="G342" s="10"/>
      <c r="H342" s="10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21">
      <c r="A343" s="4"/>
      <c r="B343" s="117"/>
      <c r="C343" s="117"/>
      <c r="D343" s="10"/>
      <c r="E343" s="10"/>
      <c r="F343" s="10"/>
      <c r="G343" s="10"/>
      <c r="H343" s="10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21">
      <c r="A344" s="4"/>
      <c r="B344" s="117"/>
      <c r="C344" s="117"/>
      <c r="D344" s="10"/>
      <c r="E344" s="10"/>
      <c r="F344" s="10"/>
      <c r="G344" s="10"/>
      <c r="H344" s="10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21">
      <c r="A345" s="4"/>
      <c r="B345" s="117"/>
      <c r="C345" s="117"/>
      <c r="D345" s="10"/>
      <c r="E345" s="10"/>
      <c r="F345" s="10"/>
      <c r="G345" s="10"/>
      <c r="H345" s="10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21">
      <c r="A346" s="4"/>
      <c r="B346" s="117"/>
      <c r="C346" s="117"/>
      <c r="D346" s="10"/>
      <c r="E346" s="10"/>
      <c r="F346" s="10"/>
      <c r="G346" s="10"/>
      <c r="H346" s="10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21">
      <c r="A347" s="4"/>
      <c r="B347" s="117"/>
      <c r="C347" s="117"/>
      <c r="D347" s="10"/>
      <c r="E347" s="10"/>
      <c r="F347" s="10"/>
      <c r="G347" s="10"/>
      <c r="H347" s="10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21">
      <c r="A348" s="4"/>
      <c r="B348" s="117"/>
      <c r="C348" s="117"/>
      <c r="D348" s="10"/>
      <c r="E348" s="10"/>
      <c r="F348" s="10"/>
      <c r="G348" s="10"/>
      <c r="H348" s="10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21">
      <c r="A349" s="4"/>
      <c r="B349" s="117"/>
      <c r="C349" s="117"/>
      <c r="D349" s="10"/>
      <c r="E349" s="10"/>
      <c r="F349" s="10"/>
      <c r="G349" s="10"/>
      <c r="H349" s="10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21">
      <c r="A350" s="4"/>
      <c r="B350" s="117"/>
      <c r="C350" s="117"/>
      <c r="D350" s="10"/>
      <c r="E350" s="10"/>
      <c r="F350" s="10"/>
      <c r="G350" s="10"/>
      <c r="H350" s="10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21">
      <c r="A351" s="4"/>
      <c r="B351" s="117"/>
      <c r="C351" s="117"/>
      <c r="D351" s="10"/>
      <c r="E351" s="10"/>
      <c r="F351" s="10"/>
      <c r="G351" s="10"/>
      <c r="H351" s="10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21">
      <c r="A352" s="4"/>
      <c r="B352" s="117"/>
      <c r="C352" s="117"/>
      <c r="D352" s="10"/>
      <c r="E352" s="10"/>
      <c r="F352" s="10"/>
      <c r="G352" s="10"/>
      <c r="H352" s="10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21">
      <c r="A353" s="4"/>
      <c r="B353" s="117"/>
      <c r="C353" s="117"/>
      <c r="D353" s="10"/>
      <c r="E353" s="10"/>
      <c r="F353" s="10"/>
      <c r="G353" s="10"/>
      <c r="H353" s="10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21">
      <c r="A354" s="4"/>
      <c r="B354" s="117"/>
      <c r="C354" s="117"/>
      <c r="D354" s="10"/>
      <c r="E354" s="10"/>
      <c r="F354" s="10"/>
      <c r="G354" s="10"/>
      <c r="H354" s="10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21">
      <c r="A355" s="4"/>
      <c r="B355" s="117"/>
      <c r="C355" s="117"/>
      <c r="D355" s="10"/>
      <c r="E355" s="10"/>
      <c r="F355" s="10"/>
      <c r="G355" s="10"/>
      <c r="H355" s="10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21">
      <c r="A356" s="4"/>
      <c r="B356" s="117"/>
      <c r="C356" s="117"/>
      <c r="D356" s="10"/>
      <c r="E356" s="10"/>
      <c r="F356" s="10"/>
      <c r="G356" s="10"/>
      <c r="H356" s="10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21">
      <c r="A357" s="4"/>
      <c r="B357" s="117"/>
      <c r="C357" s="117"/>
      <c r="D357" s="10"/>
      <c r="E357" s="10"/>
      <c r="F357" s="10"/>
      <c r="G357" s="10"/>
      <c r="H357" s="10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21">
      <c r="A358" s="4"/>
      <c r="B358" s="117"/>
      <c r="C358" s="117"/>
      <c r="D358" s="10"/>
      <c r="E358" s="10"/>
      <c r="F358" s="10"/>
      <c r="G358" s="10"/>
      <c r="H358" s="10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21">
      <c r="A359" s="4"/>
      <c r="B359" s="117"/>
      <c r="C359" s="117"/>
      <c r="D359" s="10"/>
      <c r="E359" s="10"/>
      <c r="F359" s="10"/>
      <c r="G359" s="10"/>
      <c r="H359" s="10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21">
      <c r="A360" s="4"/>
      <c r="B360" s="117"/>
      <c r="C360" s="117"/>
      <c r="D360" s="10"/>
      <c r="E360" s="10"/>
      <c r="F360" s="10"/>
      <c r="G360" s="10"/>
      <c r="H360" s="10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21">
      <c r="A361" s="4"/>
      <c r="B361" s="117"/>
      <c r="C361" s="117"/>
      <c r="D361" s="10"/>
      <c r="E361" s="10"/>
      <c r="F361" s="10"/>
      <c r="G361" s="10"/>
      <c r="H361" s="10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21">
      <c r="A362" s="4"/>
      <c r="B362" s="117"/>
      <c r="C362" s="117"/>
      <c r="D362" s="10"/>
      <c r="E362" s="10"/>
      <c r="F362" s="10"/>
      <c r="G362" s="10"/>
      <c r="H362" s="10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21">
      <c r="A363" s="4"/>
      <c r="B363" s="117"/>
      <c r="C363" s="117"/>
      <c r="D363" s="10"/>
      <c r="E363" s="10"/>
      <c r="F363" s="10"/>
      <c r="G363" s="10"/>
      <c r="H363" s="10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21">
      <c r="A364" s="4"/>
      <c r="B364" s="117"/>
      <c r="C364" s="117"/>
      <c r="D364" s="10"/>
      <c r="E364" s="10"/>
      <c r="F364" s="10"/>
      <c r="G364" s="10"/>
      <c r="H364" s="10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21">
      <c r="A365" s="4"/>
      <c r="B365" s="117"/>
      <c r="C365" s="117"/>
      <c r="D365" s="10"/>
      <c r="E365" s="10"/>
      <c r="F365" s="10"/>
      <c r="G365" s="10"/>
      <c r="H365" s="10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21">
      <c r="A366" s="4"/>
      <c r="B366" s="117"/>
      <c r="C366" s="117"/>
      <c r="D366" s="10"/>
      <c r="E366" s="10"/>
      <c r="F366" s="10"/>
      <c r="G366" s="10"/>
      <c r="H366" s="10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21">
      <c r="A367" s="4"/>
      <c r="B367" s="117"/>
      <c r="C367" s="117"/>
      <c r="D367" s="10"/>
      <c r="E367" s="10"/>
      <c r="F367" s="10"/>
      <c r="G367" s="10"/>
      <c r="H367" s="10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21">
      <c r="A368" s="4"/>
      <c r="B368" s="117"/>
      <c r="C368" s="117"/>
      <c r="D368" s="10"/>
      <c r="E368" s="10"/>
      <c r="F368" s="10"/>
      <c r="G368" s="10"/>
      <c r="H368" s="10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21">
      <c r="A369" s="4"/>
      <c r="B369" s="117"/>
      <c r="C369" s="117"/>
      <c r="D369" s="10"/>
      <c r="E369" s="10"/>
      <c r="F369" s="10"/>
      <c r="G369" s="10"/>
      <c r="H369" s="10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21">
      <c r="A370" s="4"/>
      <c r="B370" s="117"/>
      <c r="C370" s="117"/>
      <c r="D370" s="10"/>
      <c r="E370" s="10"/>
      <c r="F370" s="10"/>
      <c r="G370" s="10"/>
      <c r="H370" s="10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21">
      <c r="A371" s="4"/>
      <c r="B371" s="117"/>
      <c r="C371" s="117"/>
      <c r="D371" s="10"/>
      <c r="E371" s="10"/>
      <c r="F371" s="10"/>
      <c r="G371" s="10"/>
      <c r="H371" s="10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21">
      <c r="A372" s="4"/>
      <c r="B372" s="117"/>
      <c r="C372" s="117"/>
      <c r="D372" s="10"/>
      <c r="E372" s="10"/>
      <c r="F372" s="10"/>
      <c r="G372" s="10"/>
      <c r="H372" s="10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21">
      <c r="A373" s="4"/>
      <c r="B373" s="117"/>
      <c r="C373" s="117"/>
      <c r="D373" s="10"/>
      <c r="E373" s="10"/>
      <c r="F373" s="10"/>
      <c r="G373" s="10"/>
      <c r="H373" s="10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21">
      <c r="A374" s="4"/>
      <c r="B374" s="117"/>
      <c r="C374" s="117"/>
      <c r="D374" s="10"/>
      <c r="E374" s="10"/>
      <c r="F374" s="10"/>
      <c r="G374" s="10"/>
      <c r="H374" s="10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21">
      <c r="A375" s="4"/>
      <c r="B375" s="117"/>
      <c r="C375" s="117"/>
      <c r="D375" s="10"/>
      <c r="E375" s="10"/>
      <c r="F375" s="10"/>
      <c r="G375" s="10"/>
      <c r="H375" s="10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21">
      <c r="A376" s="4"/>
      <c r="B376" s="117"/>
      <c r="C376" s="117"/>
      <c r="D376" s="10"/>
      <c r="E376" s="10"/>
      <c r="F376" s="10"/>
      <c r="G376" s="10"/>
      <c r="H376" s="10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21">
      <c r="A377" s="4"/>
      <c r="B377" s="117"/>
      <c r="C377" s="117"/>
      <c r="D377" s="10"/>
      <c r="E377" s="10"/>
      <c r="F377" s="10"/>
      <c r="G377" s="10"/>
      <c r="H377" s="10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21">
      <c r="A378" s="4"/>
      <c r="B378" s="117"/>
      <c r="C378" s="117"/>
      <c r="D378" s="10"/>
      <c r="E378" s="10"/>
      <c r="F378" s="10"/>
      <c r="G378" s="10"/>
      <c r="H378" s="10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21">
      <c r="A379" s="4"/>
      <c r="B379" s="117"/>
      <c r="C379" s="117"/>
      <c r="D379" s="10"/>
      <c r="E379" s="10"/>
      <c r="F379" s="10"/>
      <c r="G379" s="10"/>
      <c r="H379" s="10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21">
      <c r="A380" s="4"/>
      <c r="B380" s="117"/>
      <c r="C380" s="117"/>
      <c r="D380" s="10"/>
      <c r="E380" s="10"/>
      <c r="F380" s="10"/>
      <c r="G380" s="10"/>
      <c r="H380" s="10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21">
      <c r="A381" s="4"/>
      <c r="B381" s="117"/>
      <c r="C381" s="117"/>
      <c r="D381" s="10"/>
      <c r="E381" s="10"/>
      <c r="F381" s="10"/>
      <c r="G381" s="10"/>
      <c r="H381" s="10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21">
      <c r="A382" s="4"/>
      <c r="B382" s="117"/>
      <c r="C382" s="117"/>
      <c r="D382" s="10"/>
      <c r="E382" s="10"/>
      <c r="F382" s="10"/>
      <c r="G382" s="10"/>
      <c r="H382" s="10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21">
      <c r="A383" s="4"/>
      <c r="B383" s="117"/>
      <c r="C383" s="117"/>
      <c r="D383" s="10"/>
      <c r="E383" s="10"/>
      <c r="F383" s="10"/>
      <c r="G383" s="10"/>
      <c r="H383" s="10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21">
      <c r="A384" s="4"/>
      <c r="B384" s="117"/>
      <c r="C384" s="117"/>
      <c r="D384" s="10"/>
      <c r="E384" s="10"/>
      <c r="F384" s="10"/>
      <c r="G384" s="10"/>
      <c r="H384" s="10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21">
      <c r="A385" s="4"/>
      <c r="B385" s="117"/>
      <c r="C385" s="117"/>
      <c r="D385" s="10"/>
      <c r="E385" s="10"/>
      <c r="F385" s="10"/>
      <c r="G385" s="10"/>
      <c r="H385" s="10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21">
      <c r="A386" s="4"/>
      <c r="B386" s="117"/>
      <c r="C386" s="117"/>
      <c r="D386" s="10"/>
      <c r="E386" s="10"/>
      <c r="F386" s="10"/>
      <c r="G386" s="10"/>
      <c r="H386" s="10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21">
      <c r="A387" s="4"/>
      <c r="B387" s="117"/>
      <c r="C387" s="117"/>
      <c r="D387" s="10"/>
      <c r="E387" s="10"/>
      <c r="F387" s="10"/>
      <c r="G387" s="10"/>
      <c r="H387" s="10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21">
      <c r="A388" s="4"/>
      <c r="B388" s="117"/>
      <c r="C388" s="117"/>
      <c r="D388" s="10"/>
      <c r="E388" s="10"/>
      <c r="F388" s="10"/>
      <c r="G388" s="10"/>
      <c r="H388" s="10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21">
      <c r="A389" s="4"/>
      <c r="B389" s="117"/>
      <c r="C389" s="117"/>
      <c r="D389" s="10"/>
      <c r="E389" s="10"/>
      <c r="F389" s="10"/>
      <c r="G389" s="10"/>
      <c r="H389" s="10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21">
      <c r="A390" s="4"/>
      <c r="B390" s="117"/>
      <c r="C390" s="117"/>
      <c r="D390" s="10"/>
      <c r="E390" s="10"/>
      <c r="F390" s="10"/>
      <c r="G390" s="10"/>
      <c r="H390" s="10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21">
      <c r="A391" s="4"/>
      <c r="B391" s="117"/>
      <c r="C391" s="117"/>
      <c r="D391" s="10"/>
      <c r="E391" s="10"/>
      <c r="F391" s="10"/>
      <c r="G391" s="10"/>
      <c r="H391" s="10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21">
      <c r="A392" s="4"/>
      <c r="B392" s="117"/>
      <c r="C392" s="117"/>
      <c r="D392" s="10"/>
      <c r="E392" s="10"/>
      <c r="F392" s="10"/>
      <c r="G392" s="10"/>
      <c r="H392" s="10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21">
      <c r="A393" s="4"/>
      <c r="B393" s="117"/>
      <c r="C393" s="117"/>
      <c r="D393" s="10"/>
      <c r="E393" s="10"/>
      <c r="F393" s="10"/>
      <c r="G393" s="10"/>
      <c r="H393" s="10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21">
      <c r="A394" s="4"/>
      <c r="B394" s="117"/>
      <c r="C394" s="117"/>
      <c r="D394" s="10"/>
      <c r="E394" s="10"/>
      <c r="F394" s="10"/>
      <c r="G394" s="10"/>
      <c r="H394" s="10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21">
      <c r="A395" s="4"/>
      <c r="B395" s="117"/>
      <c r="C395" s="117"/>
      <c r="D395" s="10"/>
      <c r="E395" s="10"/>
      <c r="F395" s="10"/>
      <c r="G395" s="10"/>
      <c r="H395" s="10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21">
      <c r="A396" s="4"/>
      <c r="B396" s="117"/>
      <c r="C396" s="117"/>
      <c r="D396" s="10"/>
      <c r="E396" s="10"/>
      <c r="F396" s="10"/>
      <c r="G396" s="10"/>
      <c r="H396" s="10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21">
      <c r="A397" s="4"/>
      <c r="B397" s="117"/>
      <c r="C397" s="117"/>
      <c r="D397" s="10"/>
      <c r="E397" s="10"/>
      <c r="F397" s="10"/>
      <c r="G397" s="10"/>
      <c r="H397" s="10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21">
      <c r="A398" s="4"/>
      <c r="B398" s="117"/>
      <c r="C398" s="117"/>
      <c r="D398" s="10"/>
      <c r="E398" s="10"/>
      <c r="F398" s="10"/>
      <c r="G398" s="10"/>
      <c r="H398" s="10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21">
      <c r="A399" s="4"/>
      <c r="B399" s="117"/>
      <c r="C399" s="117"/>
      <c r="D399" s="10"/>
      <c r="E399" s="10"/>
      <c r="F399" s="10"/>
      <c r="G399" s="10"/>
      <c r="H399" s="10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21">
      <c r="A400" s="4"/>
      <c r="B400" s="117"/>
      <c r="C400" s="117"/>
      <c r="D400" s="10"/>
      <c r="E400" s="10"/>
      <c r="F400" s="10"/>
      <c r="G400" s="10"/>
      <c r="H400" s="10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21">
      <c r="A401" s="4"/>
      <c r="B401" s="117"/>
      <c r="C401" s="117"/>
      <c r="D401" s="10"/>
      <c r="E401" s="10"/>
      <c r="F401" s="10"/>
      <c r="G401" s="10"/>
      <c r="H401" s="10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21">
      <c r="A402" s="4"/>
      <c r="B402" s="117"/>
      <c r="C402" s="117"/>
      <c r="D402" s="10"/>
      <c r="E402" s="10"/>
      <c r="F402" s="10"/>
      <c r="G402" s="10"/>
      <c r="H402" s="10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21">
      <c r="A403" s="4"/>
      <c r="B403" s="117"/>
      <c r="C403" s="117"/>
      <c r="D403" s="10"/>
      <c r="E403" s="10"/>
      <c r="F403" s="10"/>
      <c r="G403" s="10"/>
      <c r="H403" s="10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21">
      <c r="A404" s="4"/>
      <c r="B404" s="117"/>
      <c r="C404" s="117"/>
      <c r="D404" s="10"/>
      <c r="E404" s="10"/>
      <c r="F404" s="10"/>
      <c r="G404" s="10"/>
      <c r="H404" s="10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21">
      <c r="A405" s="4"/>
      <c r="B405" s="117"/>
      <c r="C405" s="117"/>
      <c r="D405" s="10"/>
      <c r="E405" s="10"/>
      <c r="F405" s="10"/>
      <c r="G405" s="10"/>
      <c r="H405" s="10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21">
      <c r="A406" s="4"/>
      <c r="B406" s="117"/>
      <c r="C406" s="117"/>
      <c r="D406" s="10"/>
      <c r="E406" s="10"/>
      <c r="F406" s="10"/>
      <c r="G406" s="10"/>
      <c r="H406" s="10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21">
      <c r="A407" s="4"/>
      <c r="B407" s="117"/>
      <c r="C407" s="117"/>
      <c r="D407" s="10"/>
      <c r="E407" s="10"/>
      <c r="F407" s="10"/>
      <c r="G407" s="10"/>
      <c r="H407" s="10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21">
      <c r="A408" s="4"/>
      <c r="B408" s="117"/>
      <c r="C408" s="117"/>
      <c r="D408" s="10"/>
      <c r="E408" s="10"/>
      <c r="F408" s="10"/>
      <c r="G408" s="10"/>
      <c r="H408" s="10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21">
      <c r="A409" s="4"/>
      <c r="B409" s="117"/>
      <c r="C409" s="117"/>
      <c r="D409" s="10"/>
      <c r="E409" s="10"/>
      <c r="F409" s="10"/>
      <c r="G409" s="10"/>
      <c r="H409" s="10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21">
      <c r="A410" s="4"/>
      <c r="B410" s="117"/>
      <c r="C410" s="117"/>
      <c r="D410" s="10"/>
      <c r="E410" s="10"/>
      <c r="F410" s="10"/>
      <c r="G410" s="10"/>
      <c r="H410" s="10"/>
      <c r="I410" s="10"/>
      <c r="J410" s="8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21">
      <c r="A411" s="4"/>
      <c r="B411" s="117"/>
      <c r="C411" s="117"/>
      <c r="D411" s="10"/>
      <c r="E411" s="10"/>
      <c r="F411" s="10"/>
      <c r="G411" s="10"/>
      <c r="H411" s="10"/>
      <c r="I411" s="10"/>
      <c r="J411" s="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21">
      <c r="A412" s="4"/>
      <c r="B412" s="117"/>
      <c r="C412" s="117"/>
      <c r="D412" s="10"/>
      <c r="E412" s="10"/>
      <c r="F412" s="10"/>
      <c r="G412" s="10"/>
      <c r="H412" s="10"/>
      <c r="I412" s="10"/>
      <c r="J412" s="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21">
      <c r="A413" s="4"/>
      <c r="B413" s="117"/>
      <c r="C413" s="117"/>
      <c r="D413" s="10"/>
      <c r="E413" s="10"/>
      <c r="F413" s="10"/>
      <c r="G413" s="10"/>
      <c r="H413" s="10"/>
      <c r="I413" s="10"/>
      <c r="J413" s="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21">
      <c r="A414" s="4"/>
      <c r="B414" s="117"/>
      <c r="C414" s="117"/>
      <c r="D414" s="10"/>
      <c r="E414" s="10"/>
      <c r="F414" s="10"/>
      <c r="G414" s="10"/>
      <c r="H414" s="10"/>
      <c r="I414" s="10"/>
      <c r="J414" s="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21">
      <c r="A415" s="4"/>
      <c r="B415" s="117"/>
      <c r="C415" s="117"/>
      <c r="D415" s="10"/>
      <c r="E415" s="10"/>
      <c r="F415" s="10"/>
      <c r="G415" s="10"/>
      <c r="H415" s="10"/>
      <c r="I415" s="10"/>
      <c r="J415" s="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21">
      <c r="A416" s="4"/>
      <c r="B416" s="117"/>
      <c r="C416" s="117"/>
      <c r="D416" s="10"/>
      <c r="E416" s="10"/>
      <c r="F416" s="10"/>
      <c r="G416" s="10"/>
      <c r="H416" s="10"/>
      <c r="I416" s="10"/>
      <c r="J416" s="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21">
      <c r="A417" s="4"/>
      <c r="B417" s="117"/>
      <c r="C417" s="117"/>
      <c r="D417" s="10"/>
      <c r="E417" s="10"/>
      <c r="F417" s="10"/>
      <c r="G417" s="10"/>
      <c r="H417" s="10"/>
      <c r="I417" s="10"/>
      <c r="J417" s="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21">
      <c r="A418" s="4"/>
      <c r="B418" s="117"/>
      <c r="C418" s="117"/>
      <c r="D418" s="10"/>
      <c r="E418" s="10"/>
      <c r="F418" s="10"/>
      <c r="G418" s="10"/>
      <c r="H418" s="10"/>
      <c r="I418" s="10"/>
      <c r="J418" s="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21">
      <c r="A419" s="4"/>
      <c r="B419" s="117"/>
      <c r="C419" s="117"/>
      <c r="D419" s="10"/>
      <c r="E419" s="10"/>
      <c r="F419" s="10"/>
      <c r="G419" s="10"/>
      <c r="H419" s="10"/>
      <c r="I419" s="10"/>
      <c r="J419" s="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21">
      <c r="A420" s="4"/>
      <c r="B420" s="117"/>
      <c r="C420" s="117"/>
      <c r="D420" s="10"/>
      <c r="E420" s="10"/>
      <c r="F420" s="10"/>
      <c r="G420" s="10"/>
      <c r="H420" s="10"/>
      <c r="I420" s="10"/>
      <c r="J420" s="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21">
      <c r="A421" s="4"/>
      <c r="B421" s="117"/>
      <c r="C421" s="117"/>
      <c r="D421" s="10"/>
      <c r="E421" s="10"/>
      <c r="F421" s="10"/>
      <c r="G421" s="10"/>
      <c r="H421" s="10"/>
      <c r="I421" s="10"/>
      <c r="J421" s="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21">
      <c r="A422" s="4"/>
      <c r="B422" s="117"/>
      <c r="C422" s="117"/>
      <c r="D422" s="10"/>
      <c r="E422" s="10"/>
      <c r="F422" s="10"/>
      <c r="G422" s="10"/>
      <c r="H422" s="10"/>
      <c r="I422" s="10"/>
      <c r="J422" s="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21">
      <c r="A423" s="4"/>
      <c r="B423" s="117"/>
      <c r="C423" s="117"/>
      <c r="D423" s="10"/>
      <c r="E423" s="10"/>
      <c r="F423" s="10"/>
      <c r="G423" s="10"/>
      <c r="H423" s="10"/>
      <c r="I423" s="10"/>
      <c r="J423" s="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21">
      <c r="A424" s="4"/>
      <c r="B424" s="117"/>
      <c r="C424" s="117"/>
      <c r="D424" s="10"/>
      <c r="E424" s="10"/>
      <c r="F424" s="10"/>
      <c r="G424" s="10"/>
      <c r="H424" s="10"/>
      <c r="I424" s="10"/>
      <c r="J424" s="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21">
      <c r="A425" s="4"/>
      <c r="B425" s="117"/>
      <c r="C425" s="117"/>
      <c r="D425" s="10"/>
      <c r="E425" s="10"/>
      <c r="F425" s="10"/>
      <c r="G425" s="10"/>
      <c r="H425" s="10"/>
      <c r="I425" s="10"/>
      <c r="J425" s="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21">
      <c r="A426" s="4"/>
      <c r="B426" s="117"/>
      <c r="C426" s="117"/>
      <c r="D426" s="10"/>
      <c r="E426" s="10"/>
      <c r="F426" s="10"/>
      <c r="G426" s="10"/>
      <c r="H426" s="10"/>
      <c r="I426" s="10"/>
      <c r="J426" s="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21">
      <c r="A427" s="4"/>
      <c r="B427" s="117"/>
      <c r="C427" s="117"/>
      <c r="D427" s="10"/>
      <c r="E427" s="10"/>
      <c r="F427" s="10"/>
      <c r="G427" s="10"/>
      <c r="H427" s="10"/>
      <c r="I427" s="10"/>
      <c r="J427" s="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21">
      <c r="A428" s="4"/>
      <c r="B428" s="117"/>
      <c r="C428" s="117"/>
      <c r="D428" s="10"/>
      <c r="E428" s="10"/>
      <c r="F428" s="10"/>
      <c r="G428" s="10"/>
      <c r="H428" s="10"/>
      <c r="I428" s="10"/>
      <c r="J428" s="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21">
      <c r="A429" s="4"/>
      <c r="B429" s="117"/>
      <c r="C429" s="117"/>
      <c r="D429" s="10"/>
      <c r="E429" s="10"/>
      <c r="F429" s="10"/>
      <c r="G429" s="10"/>
      <c r="H429" s="10"/>
      <c r="I429" s="10"/>
      <c r="J429" s="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21">
      <c r="A430" s="4"/>
      <c r="B430" s="117"/>
      <c r="C430" s="117"/>
      <c r="D430" s="10"/>
      <c r="E430" s="10"/>
      <c r="F430" s="10"/>
      <c r="G430" s="10"/>
      <c r="H430" s="10"/>
      <c r="I430" s="10"/>
      <c r="J430" s="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21">
      <c r="A431" s="4"/>
      <c r="B431" s="117"/>
      <c r="C431" s="117"/>
      <c r="D431" s="10"/>
      <c r="E431" s="10"/>
      <c r="F431" s="10"/>
      <c r="G431" s="10"/>
      <c r="H431" s="10"/>
      <c r="I431" s="10"/>
      <c r="J431" s="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21">
      <c r="A432" s="4"/>
      <c r="B432" s="117"/>
      <c r="C432" s="117"/>
      <c r="D432" s="10"/>
      <c r="E432" s="10"/>
      <c r="F432" s="10"/>
      <c r="G432" s="10"/>
      <c r="H432" s="10"/>
      <c r="I432" s="10"/>
      <c r="J432" s="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21">
      <c r="A433" s="4"/>
      <c r="B433" s="117"/>
      <c r="C433" s="117"/>
      <c r="D433" s="10"/>
      <c r="E433" s="10"/>
      <c r="F433" s="10"/>
      <c r="G433" s="10"/>
      <c r="H433" s="10"/>
      <c r="I433" s="10"/>
      <c r="J433" s="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21">
      <c r="A434" s="4"/>
      <c r="B434" s="117"/>
      <c r="C434" s="117"/>
      <c r="D434" s="10"/>
      <c r="E434" s="10"/>
      <c r="F434" s="10"/>
      <c r="G434" s="10"/>
      <c r="H434" s="10"/>
      <c r="I434" s="10"/>
      <c r="J434" s="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21">
      <c r="A435" s="4"/>
      <c r="B435" s="117"/>
      <c r="C435" s="117"/>
      <c r="D435" s="10"/>
      <c r="E435" s="10"/>
      <c r="F435" s="10"/>
      <c r="G435" s="10"/>
      <c r="H435" s="10"/>
      <c r="I435" s="10"/>
      <c r="J435" s="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21">
      <c r="A436" s="4"/>
      <c r="B436" s="117"/>
      <c r="C436" s="117"/>
      <c r="D436" s="10"/>
      <c r="E436" s="10"/>
      <c r="F436" s="10"/>
      <c r="G436" s="10"/>
      <c r="H436" s="10"/>
      <c r="I436" s="10"/>
      <c r="J436" s="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21">
      <c r="A437" s="4"/>
      <c r="B437" s="117"/>
      <c r="C437" s="117"/>
      <c r="D437" s="10"/>
      <c r="E437" s="10"/>
      <c r="F437" s="10"/>
      <c r="G437" s="10"/>
      <c r="H437" s="10"/>
      <c r="I437" s="10"/>
      <c r="J437" s="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21">
      <c r="A438" s="4"/>
      <c r="B438" s="117"/>
      <c r="C438" s="117"/>
      <c r="D438" s="10"/>
      <c r="E438" s="10"/>
      <c r="F438" s="10"/>
      <c r="G438" s="10"/>
      <c r="H438" s="10"/>
      <c r="I438" s="10"/>
      <c r="J438" s="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21">
      <c r="A439" s="4"/>
      <c r="B439" s="117"/>
      <c r="C439" s="117"/>
      <c r="D439" s="10"/>
      <c r="E439" s="10"/>
      <c r="F439" s="10"/>
      <c r="G439" s="10"/>
      <c r="H439" s="10"/>
      <c r="I439" s="10"/>
      <c r="J439" s="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21">
      <c r="A440" s="4"/>
      <c r="B440" s="117"/>
      <c r="C440" s="117"/>
      <c r="D440" s="10"/>
      <c r="E440" s="10"/>
      <c r="F440" s="10"/>
      <c r="G440" s="10"/>
      <c r="H440" s="10"/>
      <c r="I440" s="10"/>
      <c r="J440" s="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21">
      <c r="A441" s="4"/>
      <c r="B441" s="117"/>
      <c r="C441" s="117"/>
      <c r="D441" s="10"/>
      <c r="E441" s="10"/>
      <c r="F441" s="10"/>
      <c r="G441" s="10"/>
      <c r="H441" s="10"/>
      <c r="I441" s="10"/>
      <c r="J441" s="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21">
      <c r="A442" s="4"/>
      <c r="B442" s="117"/>
      <c r="C442" s="117"/>
      <c r="D442" s="10"/>
      <c r="E442" s="10"/>
      <c r="F442" s="10"/>
      <c r="G442" s="10"/>
      <c r="H442" s="10"/>
      <c r="I442" s="10"/>
      <c r="J442" s="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21">
      <c r="A443" s="4"/>
      <c r="B443" s="117"/>
      <c r="C443" s="117"/>
      <c r="D443" s="10"/>
      <c r="E443" s="10"/>
      <c r="F443" s="10"/>
      <c r="G443" s="10"/>
      <c r="H443" s="10"/>
      <c r="I443" s="10"/>
      <c r="J443" s="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21">
      <c r="A444" s="4"/>
      <c r="B444" s="117"/>
      <c r="C444" s="117"/>
      <c r="D444" s="10"/>
      <c r="E444" s="10"/>
      <c r="F444" s="10"/>
      <c r="G444" s="10"/>
      <c r="H444" s="10"/>
      <c r="I444" s="10"/>
      <c r="J444" s="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21">
      <c r="A445" s="4"/>
      <c r="B445" s="117"/>
      <c r="C445" s="117"/>
      <c r="D445" s="10"/>
      <c r="E445" s="10"/>
      <c r="F445" s="10"/>
      <c r="G445" s="10"/>
      <c r="H445" s="10"/>
      <c r="I445" s="10"/>
      <c r="J445" s="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21">
      <c r="A446" s="4"/>
      <c r="B446" s="117"/>
      <c r="C446" s="117"/>
      <c r="D446" s="10"/>
      <c r="E446" s="10"/>
      <c r="F446" s="10"/>
      <c r="G446" s="10"/>
      <c r="H446" s="10"/>
      <c r="I446" s="10"/>
      <c r="J446" s="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21">
      <c r="A447" s="4"/>
      <c r="B447" s="117"/>
      <c r="C447" s="117"/>
      <c r="D447" s="10"/>
      <c r="E447" s="10"/>
      <c r="F447" s="10"/>
      <c r="G447" s="10"/>
      <c r="H447" s="10"/>
      <c r="I447" s="10"/>
      <c r="J447" s="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21">
      <c r="A448" s="4"/>
      <c r="B448" s="117"/>
      <c r="C448" s="117"/>
      <c r="D448" s="10"/>
      <c r="E448" s="10"/>
      <c r="F448" s="10"/>
      <c r="G448" s="10"/>
      <c r="H448" s="10"/>
      <c r="I448" s="10"/>
      <c r="J448" s="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21">
      <c r="A449" s="4"/>
      <c r="B449" s="117"/>
      <c r="C449" s="117"/>
      <c r="D449" s="10"/>
      <c r="E449" s="10"/>
      <c r="F449" s="10"/>
      <c r="G449" s="10"/>
      <c r="H449" s="10"/>
      <c r="I449" s="10"/>
      <c r="J449" s="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21">
      <c r="A450" s="4"/>
      <c r="B450" s="117"/>
      <c r="C450" s="117"/>
      <c r="D450" s="10"/>
      <c r="E450" s="10"/>
      <c r="F450" s="10"/>
      <c r="G450" s="10"/>
      <c r="H450" s="10"/>
      <c r="I450" s="10"/>
      <c r="J450" s="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21">
      <c r="A451" s="4"/>
      <c r="B451" s="117"/>
      <c r="C451" s="117"/>
      <c r="D451" s="10"/>
      <c r="E451" s="10"/>
      <c r="F451" s="10"/>
      <c r="G451" s="10"/>
      <c r="H451" s="10"/>
      <c r="I451" s="10"/>
      <c r="J451" s="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21">
      <c r="A452" s="4"/>
      <c r="B452" s="117"/>
      <c r="C452" s="117"/>
      <c r="D452" s="10"/>
      <c r="E452" s="10"/>
      <c r="F452" s="10"/>
      <c r="G452" s="10"/>
      <c r="H452" s="10"/>
      <c r="I452" s="10"/>
      <c r="J452" s="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21">
      <c r="A453" s="4"/>
      <c r="B453" s="117"/>
      <c r="C453" s="117"/>
      <c r="D453" s="10"/>
      <c r="E453" s="10"/>
      <c r="F453" s="10"/>
      <c r="G453" s="10"/>
      <c r="H453" s="10"/>
      <c r="I453" s="10"/>
      <c r="J453" s="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21">
      <c r="A454" s="4"/>
      <c r="B454" s="117"/>
      <c r="C454" s="117"/>
      <c r="D454" s="10"/>
      <c r="E454" s="10"/>
      <c r="F454" s="10"/>
      <c r="G454" s="10"/>
      <c r="H454" s="10"/>
      <c r="I454" s="10"/>
      <c r="J454" s="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21">
      <c r="A455" s="4"/>
      <c r="B455" s="117"/>
      <c r="C455" s="117"/>
      <c r="D455" s="10"/>
      <c r="E455" s="10"/>
      <c r="F455" s="10"/>
      <c r="G455" s="10"/>
      <c r="H455" s="10"/>
      <c r="I455" s="10"/>
      <c r="J455" s="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21">
      <c r="A456" s="4"/>
      <c r="B456" s="117"/>
      <c r="C456" s="117"/>
      <c r="D456" s="10"/>
      <c r="E456" s="10"/>
      <c r="F456" s="10"/>
      <c r="G456" s="10"/>
      <c r="H456" s="10"/>
      <c r="I456" s="10"/>
      <c r="J456" s="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21">
      <c r="A457" s="4"/>
      <c r="B457" s="117"/>
      <c r="C457" s="117"/>
      <c r="D457" s="10"/>
      <c r="E457" s="10"/>
      <c r="F457" s="10"/>
      <c r="G457" s="10"/>
      <c r="H457" s="10"/>
      <c r="I457" s="10"/>
      <c r="J457" s="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21">
      <c r="A458" s="4"/>
      <c r="B458" s="117"/>
      <c r="C458" s="117"/>
      <c r="D458" s="10"/>
      <c r="E458" s="10"/>
      <c r="F458" s="10"/>
      <c r="G458" s="10"/>
      <c r="H458" s="10"/>
      <c r="I458" s="10"/>
      <c r="J458" s="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21">
      <c r="A459" s="4"/>
      <c r="B459" s="117"/>
      <c r="C459" s="117"/>
      <c r="D459" s="10"/>
      <c r="E459" s="10"/>
      <c r="F459" s="10"/>
      <c r="G459" s="10"/>
      <c r="H459" s="10"/>
      <c r="I459" s="10"/>
      <c r="J459" s="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21">
      <c r="A460" s="4"/>
      <c r="B460" s="117"/>
      <c r="C460" s="117"/>
      <c r="D460" s="10"/>
      <c r="E460" s="10"/>
      <c r="F460" s="10"/>
      <c r="G460" s="10"/>
      <c r="H460" s="10"/>
      <c r="I460" s="10"/>
      <c r="J460" s="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21">
      <c r="A461" s="4"/>
      <c r="B461" s="117"/>
      <c r="C461" s="117"/>
      <c r="D461" s="10"/>
      <c r="E461" s="10"/>
      <c r="F461" s="10"/>
      <c r="G461" s="10"/>
      <c r="H461" s="10"/>
      <c r="I461" s="10"/>
      <c r="J461" s="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21">
      <c r="A462" s="4"/>
      <c r="B462" s="117"/>
      <c r="C462" s="117"/>
      <c r="D462" s="10"/>
      <c r="E462" s="10"/>
      <c r="F462" s="10"/>
      <c r="G462" s="10"/>
      <c r="H462" s="10"/>
      <c r="I462" s="10"/>
      <c r="J462" s="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21">
      <c r="A463" s="4"/>
      <c r="B463" s="117"/>
      <c r="C463" s="117"/>
      <c r="D463" s="10"/>
      <c r="E463" s="10"/>
      <c r="F463" s="10"/>
      <c r="G463" s="10"/>
      <c r="H463" s="10"/>
      <c r="I463" s="10"/>
      <c r="J463" s="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21">
      <c r="A464" s="4"/>
      <c r="B464" s="117"/>
      <c r="C464" s="117"/>
      <c r="D464" s="10"/>
      <c r="E464" s="10"/>
      <c r="F464" s="10"/>
      <c r="G464" s="10"/>
      <c r="H464" s="10"/>
      <c r="I464" s="10"/>
      <c r="J464" s="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21">
      <c r="A465" s="4"/>
      <c r="B465" s="117"/>
      <c r="C465" s="117"/>
      <c r="D465" s="10"/>
      <c r="E465" s="10"/>
      <c r="F465" s="10"/>
      <c r="G465" s="10"/>
      <c r="H465" s="10"/>
      <c r="I465" s="10"/>
      <c r="J465" s="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21">
      <c r="A466" s="4"/>
      <c r="B466" s="117"/>
      <c r="C466" s="117"/>
      <c r="D466" s="10"/>
      <c r="E466" s="10"/>
      <c r="F466" s="10"/>
      <c r="G466" s="10"/>
      <c r="H466" s="10"/>
      <c r="I466" s="10"/>
      <c r="J466" s="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21">
      <c r="A467" s="4"/>
      <c r="B467" s="117"/>
      <c r="C467" s="117"/>
      <c r="D467" s="10"/>
      <c r="E467" s="10"/>
      <c r="F467" s="10"/>
      <c r="G467" s="10"/>
      <c r="H467" s="10"/>
      <c r="I467" s="10"/>
      <c r="J467" s="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21">
      <c r="A468" s="4"/>
      <c r="B468" s="117"/>
      <c r="C468" s="117"/>
      <c r="D468" s="10"/>
      <c r="E468" s="10"/>
      <c r="F468" s="10"/>
      <c r="G468" s="10"/>
      <c r="H468" s="10"/>
      <c r="I468" s="10"/>
      <c r="J468" s="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21">
      <c r="A469" s="4"/>
      <c r="B469" s="117"/>
      <c r="C469" s="117"/>
      <c r="D469" s="10"/>
      <c r="E469" s="10"/>
      <c r="F469" s="10"/>
      <c r="G469" s="10"/>
      <c r="H469" s="10"/>
      <c r="I469" s="10"/>
      <c r="J469" s="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21">
      <c r="A470" s="4"/>
      <c r="B470" s="117"/>
      <c r="C470" s="117"/>
      <c r="D470" s="10"/>
      <c r="E470" s="10"/>
      <c r="F470" s="10"/>
      <c r="G470" s="10"/>
      <c r="H470" s="10"/>
      <c r="I470" s="10"/>
      <c r="J470" s="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21">
      <c r="A471" s="4"/>
      <c r="B471" s="117"/>
      <c r="C471" s="117"/>
      <c r="D471" s="10"/>
      <c r="E471" s="10"/>
      <c r="F471" s="10"/>
      <c r="G471" s="10"/>
      <c r="H471" s="10"/>
      <c r="I471" s="10"/>
      <c r="J471" s="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21">
      <c r="A472" s="4"/>
      <c r="B472" s="117"/>
      <c r="C472" s="117"/>
      <c r="D472" s="10"/>
      <c r="E472" s="10"/>
      <c r="F472" s="10"/>
      <c r="G472" s="10"/>
      <c r="H472" s="10"/>
      <c r="I472" s="10"/>
      <c r="J472" s="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21">
      <c r="A473" s="4"/>
      <c r="B473" s="117"/>
      <c r="C473" s="117"/>
      <c r="D473" s="10"/>
      <c r="E473" s="10"/>
      <c r="F473" s="10"/>
      <c r="G473" s="10"/>
      <c r="H473" s="10"/>
      <c r="I473" s="10"/>
      <c r="J473" s="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21">
      <c r="A474" s="4"/>
      <c r="B474" s="117"/>
      <c r="C474" s="117"/>
      <c r="D474" s="10"/>
      <c r="E474" s="10"/>
      <c r="F474" s="10"/>
      <c r="G474" s="10"/>
      <c r="H474" s="10"/>
      <c r="I474" s="10"/>
      <c r="J474" s="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21">
      <c r="A475" s="4"/>
      <c r="B475" s="117"/>
      <c r="C475" s="117"/>
      <c r="D475" s="10"/>
      <c r="E475" s="10"/>
      <c r="F475" s="10"/>
      <c r="G475" s="10"/>
      <c r="H475" s="10"/>
      <c r="I475" s="10"/>
      <c r="J475" s="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21">
      <c r="A476" s="4"/>
      <c r="B476" s="117"/>
      <c r="C476" s="117"/>
      <c r="D476" s="10"/>
      <c r="E476" s="10"/>
      <c r="F476" s="10"/>
      <c r="G476" s="10"/>
      <c r="H476" s="10"/>
      <c r="I476" s="10"/>
      <c r="J476" s="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21">
      <c r="A477" s="4"/>
      <c r="B477" s="117"/>
      <c r="C477" s="117"/>
      <c r="D477" s="10"/>
      <c r="E477" s="10"/>
      <c r="F477" s="10"/>
      <c r="G477" s="10"/>
      <c r="H477" s="10"/>
      <c r="I477" s="10"/>
      <c r="J477" s="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21">
      <c r="A478" s="4"/>
      <c r="B478" s="117"/>
      <c r="C478" s="117"/>
      <c r="D478" s="10"/>
      <c r="E478" s="10"/>
      <c r="F478" s="10"/>
      <c r="G478" s="10"/>
      <c r="H478" s="10"/>
      <c r="I478" s="10"/>
      <c r="J478" s="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21">
      <c r="A479" s="4"/>
      <c r="B479" s="117"/>
      <c r="C479" s="117"/>
      <c r="D479" s="10"/>
      <c r="E479" s="10"/>
      <c r="F479" s="10"/>
      <c r="G479" s="10"/>
      <c r="H479" s="10"/>
      <c r="I479" s="10"/>
      <c r="J479" s="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21">
      <c r="A480" s="4"/>
      <c r="B480" s="117"/>
      <c r="C480" s="117"/>
      <c r="D480" s="10"/>
      <c r="E480" s="10"/>
      <c r="F480" s="10"/>
      <c r="G480" s="10"/>
      <c r="H480" s="10"/>
      <c r="I480" s="10"/>
      <c r="J480" s="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21">
      <c r="A481" s="4"/>
      <c r="B481" s="117"/>
      <c r="C481" s="117"/>
      <c r="D481" s="10"/>
      <c r="E481" s="10"/>
      <c r="F481" s="10"/>
      <c r="G481" s="10"/>
      <c r="H481" s="10"/>
      <c r="I481" s="10"/>
      <c r="J481" s="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21">
      <c r="A482" s="4"/>
      <c r="B482" s="117"/>
      <c r="C482" s="117"/>
      <c r="D482" s="10"/>
      <c r="E482" s="10"/>
      <c r="F482" s="10"/>
      <c r="G482" s="10"/>
      <c r="H482" s="10"/>
      <c r="I482" s="10"/>
      <c r="J482" s="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21">
      <c r="A483" s="4"/>
      <c r="B483" s="117"/>
      <c r="C483" s="117"/>
      <c r="D483" s="10"/>
      <c r="E483" s="10"/>
      <c r="F483" s="10"/>
      <c r="G483" s="10"/>
      <c r="H483" s="10"/>
      <c r="I483" s="10"/>
      <c r="J483" s="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21">
      <c r="A484" s="4"/>
      <c r="B484" s="117"/>
      <c r="C484" s="117"/>
      <c r="D484" s="10"/>
      <c r="E484" s="10"/>
      <c r="F484" s="10"/>
      <c r="G484" s="10"/>
      <c r="H484" s="10"/>
      <c r="I484" s="10"/>
      <c r="J484" s="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21">
      <c r="A485" s="4"/>
      <c r="B485" s="117"/>
      <c r="C485" s="117"/>
      <c r="D485" s="10"/>
      <c r="E485" s="10"/>
      <c r="F485" s="10"/>
      <c r="G485" s="10"/>
      <c r="H485" s="10"/>
      <c r="I485" s="10"/>
      <c r="J485" s="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21">
      <c r="A486" s="4"/>
      <c r="B486" s="117"/>
      <c r="C486" s="117"/>
      <c r="D486" s="10"/>
      <c r="E486" s="10"/>
      <c r="F486" s="10"/>
      <c r="G486" s="10"/>
      <c r="H486" s="10"/>
      <c r="I486" s="10"/>
      <c r="J486" s="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21">
      <c r="A487" s="4"/>
      <c r="B487" s="117"/>
      <c r="C487" s="117"/>
      <c r="D487" s="10"/>
      <c r="E487" s="10"/>
      <c r="F487" s="10"/>
      <c r="G487" s="10"/>
      <c r="H487" s="10"/>
      <c r="I487" s="10"/>
      <c r="J487" s="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21">
      <c r="A488" s="4"/>
      <c r="B488" s="117"/>
      <c r="C488" s="117"/>
      <c r="D488" s="10"/>
      <c r="E488" s="10"/>
      <c r="F488" s="10"/>
      <c r="G488" s="10"/>
      <c r="H488" s="10"/>
      <c r="I488" s="10"/>
      <c r="J488" s="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21">
      <c r="A489" s="4"/>
      <c r="B489" s="117"/>
      <c r="C489" s="117"/>
      <c r="D489" s="10"/>
      <c r="E489" s="10"/>
      <c r="F489" s="10"/>
      <c r="G489" s="10"/>
      <c r="H489" s="10"/>
      <c r="I489" s="10"/>
      <c r="J489" s="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21">
      <c r="A490" s="4"/>
      <c r="B490" s="117"/>
      <c r="C490" s="117"/>
      <c r="D490" s="10"/>
      <c r="E490" s="10"/>
      <c r="F490" s="10"/>
      <c r="G490" s="10"/>
      <c r="H490" s="10"/>
      <c r="I490" s="10"/>
      <c r="J490" s="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21">
      <c r="A491" s="4"/>
      <c r="B491" s="117"/>
      <c r="C491" s="117"/>
      <c r="D491" s="10"/>
      <c r="E491" s="10"/>
      <c r="F491" s="10"/>
      <c r="G491" s="10"/>
      <c r="H491" s="10"/>
      <c r="I491" s="10"/>
      <c r="J491" s="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21">
      <c r="A492" s="4"/>
      <c r="B492" s="117"/>
      <c r="C492" s="117"/>
      <c r="D492" s="10"/>
      <c r="E492" s="10"/>
      <c r="F492" s="10"/>
      <c r="G492" s="10"/>
      <c r="H492" s="10"/>
      <c r="I492" s="10"/>
      <c r="J492" s="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21">
      <c r="A493" s="4"/>
      <c r="B493" s="117"/>
      <c r="C493" s="117"/>
      <c r="D493" s="10"/>
      <c r="E493" s="10"/>
      <c r="F493" s="10"/>
      <c r="G493" s="10"/>
      <c r="H493" s="10"/>
      <c r="I493" s="10"/>
      <c r="J493" s="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21">
      <c r="A494" s="4"/>
      <c r="B494" s="117"/>
      <c r="C494" s="117"/>
      <c r="D494" s="10"/>
      <c r="E494" s="10"/>
      <c r="F494" s="10"/>
      <c r="G494" s="10"/>
      <c r="H494" s="10"/>
      <c r="I494" s="10"/>
      <c r="J494" s="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21">
      <c r="A495" s="4"/>
      <c r="B495" s="117"/>
      <c r="C495" s="117"/>
      <c r="D495" s="10"/>
      <c r="E495" s="10"/>
      <c r="F495" s="10"/>
      <c r="G495" s="10"/>
      <c r="H495" s="10"/>
      <c r="I495" s="10"/>
      <c r="J495" s="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21">
      <c r="A496" s="4"/>
      <c r="B496" s="117"/>
      <c r="C496" s="117"/>
      <c r="D496" s="10"/>
      <c r="E496" s="10"/>
      <c r="F496" s="10"/>
      <c r="G496" s="10"/>
      <c r="H496" s="10"/>
      <c r="I496" s="10"/>
      <c r="J496" s="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21">
      <c r="A497" s="4"/>
      <c r="B497" s="117"/>
      <c r="C497" s="117"/>
      <c r="D497" s="10"/>
      <c r="E497" s="10"/>
      <c r="F497" s="10"/>
      <c r="G497" s="10"/>
      <c r="H497" s="10"/>
      <c r="I497" s="10"/>
      <c r="J497" s="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21">
      <c r="A498" s="4"/>
      <c r="B498" s="117"/>
      <c r="C498" s="117"/>
      <c r="D498" s="10"/>
      <c r="E498" s="10"/>
      <c r="F498" s="10"/>
      <c r="G498" s="10"/>
      <c r="H498" s="10"/>
      <c r="I498" s="10"/>
      <c r="J498" s="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21">
      <c r="A499" s="4"/>
      <c r="B499" s="117"/>
      <c r="C499" s="117"/>
      <c r="D499" s="10"/>
      <c r="E499" s="10"/>
      <c r="F499" s="10"/>
      <c r="G499" s="10"/>
      <c r="H499" s="10"/>
      <c r="I499" s="10"/>
      <c r="J499" s="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21">
      <c r="A500" s="4"/>
      <c r="B500" s="117"/>
      <c r="C500" s="117"/>
      <c r="D500" s="10"/>
      <c r="E500" s="10"/>
      <c r="F500" s="10"/>
      <c r="G500" s="10"/>
      <c r="H500" s="10"/>
      <c r="I500" s="10"/>
      <c r="J500" s="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21">
      <c r="A501" s="4"/>
      <c r="B501" s="117"/>
      <c r="C501" s="117"/>
      <c r="D501" s="10"/>
      <c r="E501" s="10"/>
      <c r="F501" s="10"/>
      <c r="G501" s="10"/>
      <c r="H501" s="10"/>
      <c r="I501" s="10"/>
      <c r="J501" s="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21">
      <c r="A502" s="4"/>
      <c r="B502" s="117"/>
      <c r="C502" s="117"/>
      <c r="D502" s="10"/>
      <c r="E502" s="10"/>
      <c r="F502" s="10"/>
      <c r="G502" s="10"/>
      <c r="H502" s="10"/>
      <c r="I502" s="10"/>
      <c r="J502" s="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21">
      <c r="A503" s="4"/>
      <c r="B503" s="117"/>
      <c r="C503" s="117"/>
      <c r="D503" s="10"/>
      <c r="E503" s="10"/>
      <c r="F503" s="10"/>
      <c r="G503" s="10"/>
      <c r="H503" s="10"/>
      <c r="I503" s="10"/>
      <c r="J503" s="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21">
      <c r="A504" s="4"/>
      <c r="B504" s="117"/>
      <c r="C504" s="117"/>
      <c r="D504" s="10"/>
      <c r="E504" s="10"/>
      <c r="F504" s="10"/>
      <c r="G504" s="10"/>
      <c r="H504" s="10"/>
      <c r="I504" s="10"/>
      <c r="J504" s="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21">
      <c r="A505" s="4"/>
      <c r="B505" s="117"/>
      <c r="C505" s="117"/>
      <c r="D505" s="10"/>
      <c r="E505" s="10"/>
      <c r="F505" s="10"/>
      <c r="G505" s="10"/>
      <c r="H505" s="10"/>
      <c r="I505" s="10"/>
      <c r="J505" s="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21">
      <c r="A506" s="4"/>
      <c r="B506" s="117"/>
      <c r="C506" s="117"/>
      <c r="D506" s="10"/>
      <c r="E506" s="10"/>
      <c r="F506" s="10"/>
      <c r="G506" s="10"/>
      <c r="H506" s="10"/>
      <c r="I506" s="10"/>
      <c r="J506" s="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21">
      <c r="A507" s="4"/>
      <c r="B507" s="117"/>
      <c r="C507" s="117"/>
      <c r="D507" s="10"/>
      <c r="E507" s="10"/>
      <c r="F507" s="10"/>
      <c r="G507" s="10"/>
      <c r="H507" s="10"/>
      <c r="I507" s="10"/>
      <c r="J507" s="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21">
      <c r="A508" s="4"/>
      <c r="B508" s="117"/>
      <c r="C508" s="117"/>
      <c r="D508" s="10"/>
      <c r="E508" s="10"/>
      <c r="F508" s="10"/>
      <c r="G508" s="10"/>
      <c r="H508" s="10"/>
      <c r="I508" s="10"/>
      <c r="J508" s="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21">
      <c r="A509" s="4"/>
      <c r="B509" s="117"/>
      <c r="C509" s="117"/>
      <c r="D509" s="10"/>
      <c r="E509" s="10"/>
      <c r="F509" s="10"/>
      <c r="G509" s="10"/>
      <c r="H509" s="10"/>
      <c r="I509" s="10"/>
      <c r="J509" s="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21">
      <c r="A510" s="4"/>
      <c r="B510" s="117"/>
      <c r="C510" s="117"/>
      <c r="D510" s="10"/>
      <c r="E510" s="10"/>
      <c r="F510" s="10"/>
      <c r="G510" s="10"/>
      <c r="H510" s="10"/>
      <c r="I510" s="10"/>
      <c r="J510" s="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21">
      <c r="A511" s="4"/>
      <c r="B511" s="117"/>
      <c r="C511" s="117"/>
      <c r="D511" s="10"/>
      <c r="E511" s="10"/>
      <c r="F511" s="10"/>
      <c r="G511" s="10"/>
      <c r="H511" s="10"/>
      <c r="I511" s="10"/>
      <c r="J511" s="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21">
      <c r="A512" s="4"/>
      <c r="B512" s="117"/>
      <c r="C512" s="117"/>
      <c r="D512" s="10"/>
      <c r="E512" s="10"/>
      <c r="F512" s="10"/>
      <c r="G512" s="10"/>
      <c r="H512" s="10"/>
      <c r="I512" s="10"/>
      <c r="J512" s="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21">
      <c r="A513" s="4"/>
      <c r="B513" s="117"/>
      <c r="C513" s="117"/>
      <c r="D513" s="10"/>
      <c r="E513" s="10"/>
      <c r="F513" s="10"/>
      <c r="G513" s="10"/>
      <c r="H513" s="10"/>
      <c r="I513" s="10"/>
      <c r="J513" s="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21">
      <c r="A514" s="4"/>
      <c r="B514" s="117"/>
      <c r="C514" s="117"/>
      <c r="D514" s="10"/>
      <c r="E514" s="10"/>
      <c r="F514" s="10"/>
      <c r="G514" s="10"/>
      <c r="H514" s="10"/>
      <c r="I514" s="10"/>
      <c r="J514" s="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21">
      <c r="A515" s="4"/>
      <c r="B515" s="117"/>
      <c r="C515" s="117"/>
      <c r="D515" s="10"/>
      <c r="E515" s="10"/>
      <c r="F515" s="10"/>
      <c r="G515" s="10"/>
      <c r="H515" s="10"/>
      <c r="I515" s="10"/>
      <c r="J515" s="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21">
      <c r="A516" s="4"/>
      <c r="B516" s="117"/>
      <c r="C516" s="117"/>
      <c r="D516" s="10"/>
      <c r="E516" s="10"/>
      <c r="F516" s="10"/>
      <c r="G516" s="10"/>
      <c r="H516" s="10"/>
      <c r="I516" s="10"/>
      <c r="J516" s="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21">
      <c r="A517" s="4"/>
      <c r="B517" s="117"/>
      <c r="C517" s="117"/>
      <c r="D517" s="10"/>
      <c r="E517" s="10"/>
      <c r="F517" s="10"/>
      <c r="G517" s="10"/>
      <c r="H517" s="10"/>
      <c r="I517" s="10"/>
      <c r="J517" s="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21">
      <c r="A518" s="4"/>
      <c r="B518" s="117"/>
      <c r="C518" s="117"/>
      <c r="D518" s="10"/>
      <c r="E518" s="10"/>
      <c r="F518" s="10"/>
      <c r="G518" s="10"/>
      <c r="H518" s="10"/>
      <c r="I518" s="10"/>
      <c r="J518" s="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21">
      <c r="A519" s="4"/>
      <c r="B519" s="117"/>
      <c r="C519" s="117"/>
      <c r="D519" s="10"/>
      <c r="E519" s="10"/>
      <c r="F519" s="10"/>
      <c r="G519" s="10"/>
      <c r="H519" s="10"/>
      <c r="I519" s="10"/>
      <c r="J519" s="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21">
      <c r="A520" s="4"/>
      <c r="B520" s="117"/>
      <c r="C520" s="117"/>
      <c r="D520" s="10"/>
      <c r="E520" s="10"/>
      <c r="F520" s="10"/>
      <c r="G520" s="10"/>
      <c r="H520" s="10"/>
      <c r="I520" s="10"/>
      <c r="J520" s="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21">
      <c r="A521" s="4"/>
      <c r="B521" s="117"/>
      <c r="C521" s="117"/>
      <c r="D521" s="10"/>
      <c r="E521" s="10"/>
      <c r="F521" s="10"/>
      <c r="G521" s="10"/>
      <c r="H521" s="10"/>
      <c r="I521" s="10"/>
      <c r="J521" s="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21">
      <c r="A522" s="4"/>
      <c r="B522" s="117"/>
      <c r="C522" s="117"/>
      <c r="D522" s="10"/>
      <c r="E522" s="10"/>
      <c r="F522" s="10"/>
      <c r="G522" s="10"/>
      <c r="H522" s="10"/>
      <c r="I522" s="10"/>
      <c r="J522" s="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21">
      <c r="A523" s="4"/>
      <c r="B523" s="117"/>
      <c r="C523" s="117"/>
      <c r="D523" s="10"/>
      <c r="E523" s="10"/>
      <c r="F523" s="10"/>
      <c r="G523" s="10"/>
      <c r="H523" s="10"/>
      <c r="I523" s="10"/>
      <c r="J523" s="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21">
      <c r="A524" s="4"/>
      <c r="B524" s="117"/>
      <c r="C524" s="117"/>
      <c r="D524" s="10"/>
      <c r="E524" s="10"/>
      <c r="F524" s="10"/>
      <c r="G524" s="10"/>
      <c r="H524" s="10"/>
      <c r="I524" s="10"/>
      <c r="J524" s="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21">
      <c r="A525" s="4"/>
      <c r="B525" s="117"/>
      <c r="C525" s="117"/>
      <c r="D525" s="10"/>
      <c r="E525" s="10"/>
      <c r="F525" s="10"/>
      <c r="G525" s="10"/>
      <c r="H525" s="10"/>
      <c r="I525" s="10"/>
      <c r="J525" s="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21">
      <c r="A526" s="4"/>
      <c r="B526" s="117"/>
      <c r="C526" s="117"/>
      <c r="D526" s="10"/>
      <c r="E526" s="10"/>
      <c r="F526" s="10"/>
      <c r="G526" s="10"/>
      <c r="H526" s="10"/>
      <c r="I526" s="10"/>
      <c r="J526" s="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21">
      <c r="A527" s="4"/>
      <c r="B527" s="117"/>
      <c r="C527" s="117"/>
      <c r="D527" s="10"/>
      <c r="E527" s="10"/>
      <c r="F527" s="10"/>
      <c r="G527" s="10"/>
      <c r="H527" s="10"/>
      <c r="I527" s="10"/>
      <c r="J527" s="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21">
      <c r="A528" s="4"/>
      <c r="B528" s="117"/>
      <c r="C528" s="117"/>
      <c r="D528" s="10"/>
      <c r="E528" s="10"/>
      <c r="F528" s="10"/>
      <c r="G528" s="10"/>
      <c r="H528" s="10"/>
      <c r="I528" s="10"/>
      <c r="J528" s="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21">
      <c r="A529" s="4"/>
      <c r="B529" s="117"/>
      <c r="C529" s="117"/>
      <c r="D529" s="10"/>
      <c r="E529" s="10"/>
      <c r="F529" s="10"/>
      <c r="G529" s="10"/>
      <c r="H529" s="10"/>
      <c r="I529" s="10"/>
      <c r="J529" s="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21">
      <c r="A530" s="4"/>
      <c r="B530" s="117"/>
      <c r="C530" s="117"/>
      <c r="D530" s="10"/>
      <c r="E530" s="10"/>
      <c r="F530" s="10"/>
      <c r="G530" s="10"/>
      <c r="H530" s="10"/>
      <c r="I530" s="10"/>
      <c r="J530" s="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21">
      <c r="A531" s="4"/>
      <c r="B531" s="117"/>
      <c r="C531" s="117"/>
      <c r="D531" s="10"/>
      <c r="E531" s="10"/>
      <c r="F531" s="10"/>
      <c r="G531" s="10"/>
      <c r="H531" s="10"/>
      <c r="I531" s="10"/>
      <c r="J531" s="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21">
      <c r="A532" s="4"/>
      <c r="B532" s="117"/>
      <c r="C532" s="117"/>
      <c r="D532" s="10"/>
      <c r="E532" s="10"/>
      <c r="F532" s="10"/>
      <c r="G532" s="10"/>
      <c r="H532" s="10"/>
      <c r="I532" s="10"/>
      <c r="J532" s="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21">
      <c r="A533" s="4"/>
      <c r="B533" s="117"/>
      <c r="C533" s="117"/>
      <c r="D533" s="10"/>
      <c r="E533" s="10"/>
      <c r="F533" s="10"/>
      <c r="G533" s="10"/>
      <c r="H533" s="10"/>
      <c r="I533" s="10"/>
      <c r="J533" s="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21">
      <c r="A534" s="4"/>
      <c r="B534" s="117"/>
      <c r="C534" s="117"/>
      <c r="D534" s="10"/>
      <c r="E534" s="10"/>
      <c r="F534" s="10"/>
      <c r="G534" s="10"/>
      <c r="H534" s="10"/>
      <c r="I534" s="10"/>
      <c r="J534" s="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21">
      <c r="A535" s="4"/>
      <c r="B535" s="117"/>
      <c r="C535" s="117"/>
      <c r="D535" s="10"/>
      <c r="E535" s="10"/>
      <c r="F535" s="10"/>
      <c r="G535" s="10"/>
      <c r="H535" s="10"/>
      <c r="I535" s="10"/>
      <c r="J535" s="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21">
      <c r="A536" s="4"/>
      <c r="B536" s="117"/>
      <c r="C536" s="117"/>
      <c r="D536" s="10"/>
      <c r="E536" s="10"/>
      <c r="F536" s="10"/>
      <c r="G536" s="10"/>
      <c r="H536" s="10"/>
      <c r="I536" s="10"/>
      <c r="J536" s="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21">
      <c r="A537" s="4"/>
      <c r="B537" s="117"/>
      <c r="C537" s="117"/>
      <c r="D537" s="10"/>
      <c r="E537" s="10"/>
      <c r="F537" s="10"/>
      <c r="G537" s="10"/>
      <c r="H537" s="10"/>
      <c r="I537" s="10"/>
      <c r="J537" s="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21">
      <c r="A538" s="4"/>
      <c r="B538" s="117"/>
      <c r="C538" s="117"/>
      <c r="D538" s="10"/>
      <c r="E538" s="10"/>
      <c r="F538" s="10"/>
      <c r="G538" s="10"/>
      <c r="H538" s="10"/>
      <c r="I538" s="10"/>
      <c r="J538" s="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21">
      <c r="A539" s="4"/>
      <c r="B539" s="117"/>
      <c r="C539" s="117"/>
      <c r="D539" s="10"/>
      <c r="E539" s="10"/>
      <c r="F539" s="10"/>
      <c r="G539" s="10"/>
      <c r="H539" s="10"/>
      <c r="I539" s="10"/>
      <c r="J539" s="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21">
      <c r="A540" s="4"/>
      <c r="B540" s="117"/>
      <c r="C540" s="117"/>
      <c r="D540" s="10"/>
      <c r="E540" s="10"/>
      <c r="F540" s="10"/>
      <c r="G540" s="10"/>
      <c r="H540" s="10"/>
      <c r="I540" s="10"/>
      <c r="J540" s="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21">
      <c r="A541" s="4"/>
      <c r="B541" s="117"/>
      <c r="C541" s="117"/>
      <c r="D541" s="10"/>
      <c r="E541" s="10"/>
      <c r="F541" s="10"/>
      <c r="G541" s="10"/>
      <c r="H541" s="10"/>
      <c r="I541" s="10"/>
      <c r="J541" s="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21">
      <c r="A542" s="4"/>
      <c r="B542" s="117"/>
      <c r="C542" s="117"/>
      <c r="D542" s="10"/>
      <c r="E542" s="10"/>
      <c r="F542" s="10"/>
      <c r="G542" s="10"/>
      <c r="H542" s="10"/>
      <c r="I542" s="10"/>
      <c r="J542" s="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21">
      <c r="A543" s="4"/>
      <c r="B543" s="117"/>
      <c r="C543" s="117"/>
      <c r="D543" s="10"/>
      <c r="E543" s="10"/>
      <c r="F543" s="10"/>
      <c r="G543" s="10"/>
      <c r="H543" s="10"/>
      <c r="I543" s="10"/>
      <c r="J543" s="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21">
      <c r="A544" s="4"/>
      <c r="B544" s="117"/>
      <c r="C544" s="117"/>
      <c r="D544" s="10"/>
      <c r="E544" s="10"/>
      <c r="F544" s="10"/>
      <c r="G544" s="10"/>
      <c r="H544" s="10"/>
      <c r="I544" s="10"/>
      <c r="J544" s="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21">
      <c r="A545" s="4"/>
      <c r="B545" s="117"/>
      <c r="C545" s="117"/>
      <c r="D545" s="10"/>
      <c r="E545" s="10"/>
      <c r="F545" s="10"/>
      <c r="G545" s="10"/>
      <c r="H545" s="10"/>
      <c r="I545" s="10"/>
      <c r="J545" s="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21">
      <c r="A546" s="4"/>
      <c r="B546" s="117"/>
      <c r="C546" s="117"/>
      <c r="D546" s="10"/>
      <c r="E546" s="10"/>
      <c r="F546" s="10"/>
      <c r="G546" s="10"/>
      <c r="H546" s="10"/>
      <c r="I546" s="10"/>
      <c r="J546" s="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21">
      <c r="A547" s="4"/>
      <c r="B547" s="117"/>
      <c r="C547" s="117"/>
      <c r="D547" s="10"/>
      <c r="E547" s="10"/>
      <c r="F547" s="10"/>
      <c r="G547" s="10"/>
      <c r="H547" s="10"/>
      <c r="I547" s="10"/>
      <c r="J547" s="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21">
      <c r="A548" s="4"/>
      <c r="B548" s="117"/>
      <c r="C548" s="117"/>
      <c r="D548" s="10"/>
      <c r="E548" s="10"/>
      <c r="F548" s="10"/>
      <c r="G548" s="10"/>
      <c r="H548" s="10"/>
      <c r="I548" s="10"/>
      <c r="J548" s="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21">
      <c r="A549" s="4"/>
      <c r="B549" s="117"/>
      <c r="C549" s="117"/>
      <c r="D549" s="10"/>
      <c r="E549" s="10"/>
      <c r="F549" s="10"/>
      <c r="G549" s="10"/>
      <c r="H549" s="10"/>
      <c r="I549" s="10"/>
      <c r="J549" s="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21">
      <c r="A550" s="4"/>
      <c r="B550" s="117"/>
      <c r="C550" s="117"/>
      <c r="D550" s="10"/>
      <c r="E550" s="10"/>
      <c r="F550" s="10"/>
      <c r="G550" s="10"/>
      <c r="H550" s="10"/>
      <c r="I550" s="10"/>
      <c r="J550" s="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21">
      <c r="A551" s="4"/>
      <c r="B551" s="117"/>
      <c r="C551" s="117"/>
      <c r="D551" s="10"/>
      <c r="E551" s="10"/>
      <c r="F551" s="10"/>
      <c r="G551" s="10"/>
      <c r="H551" s="10"/>
      <c r="I551" s="10"/>
      <c r="J551" s="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21">
      <c r="A552" s="4"/>
      <c r="B552" s="117"/>
      <c r="C552" s="117"/>
      <c r="D552" s="10"/>
      <c r="E552" s="10"/>
      <c r="F552" s="10"/>
      <c r="G552" s="10"/>
      <c r="H552" s="10"/>
      <c r="I552" s="10"/>
      <c r="J552" s="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21">
      <c r="A553" s="4"/>
      <c r="B553" s="117"/>
      <c r="C553" s="117"/>
      <c r="D553" s="10"/>
      <c r="E553" s="10"/>
      <c r="F553" s="10"/>
      <c r="G553" s="10"/>
      <c r="H553" s="10"/>
      <c r="I553" s="10"/>
      <c r="J553" s="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21">
      <c r="A554" s="4"/>
      <c r="B554" s="117"/>
      <c r="C554" s="117"/>
      <c r="D554" s="10"/>
      <c r="E554" s="10"/>
      <c r="F554" s="10"/>
      <c r="G554" s="10"/>
      <c r="H554" s="10"/>
      <c r="I554" s="10"/>
      <c r="J554" s="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21">
      <c r="A555" s="4"/>
      <c r="B555" s="117"/>
      <c r="C555" s="117"/>
      <c r="D555" s="10"/>
      <c r="E555" s="10"/>
      <c r="F555" s="10"/>
      <c r="G555" s="10"/>
      <c r="H555" s="10"/>
      <c r="I555" s="10"/>
      <c r="J555" s="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21">
      <c r="A556" s="4"/>
      <c r="B556" s="117"/>
      <c r="C556" s="117"/>
      <c r="D556" s="10"/>
      <c r="E556" s="10"/>
      <c r="F556" s="10"/>
      <c r="G556" s="10"/>
      <c r="H556" s="10"/>
      <c r="I556" s="10"/>
      <c r="J556" s="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21">
      <c r="A557" s="4"/>
      <c r="B557" s="117"/>
      <c r="C557" s="117"/>
      <c r="D557" s="10"/>
      <c r="E557" s="10"/>
      <c r="F557" s="10"/>
      <c r="G557" s="10"/>
      <c r="H557" s="10"/>
      <c r="I557" s="10"/>
      <c r="J557" s="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21">
      <c r="A558" s="4"/>
      <c r="B558" s="117"/>
      <c r="C558" s="117"/>
      <c r="D558" s="10"/>
      <c r="E558" s="10"/>
      <c r="F558" s="10"/>
      <c r="G558" s="10"/>
      <c r="H558" s="10"/>
      <c r="I558" s="10"/>
      <c r="J558" s="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21">
      <c r="A559" s="4"/>
      <c r="B559" s="117"/>
      <c r="C559" s="117"/>
      <c r="D559" s="10"/>
      <c r="E559" s="10"/>
      <c r="F559" s="10"/>
      <c r="G559" s="10"/>
      <c r="H559" s="10"/>
      <c r="I559" s="10"/>
      <c r="J559" s="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21">
      <c r="A560" s="4"/>
      <c r="B560" s="117"/>
      <c r="C560" s="117"/>
      <c r="D560" s="10"/>
      <c r="E560" s="10"/>
      <c r="F560" s="10"/>
      <c r="G560" s="10"/>
      <c r="H560" s="10"/>
      <c r="I560" s="10"/>
      <c r="J560" s="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21">
      <c r="A561" s="4"/>
      <c r="B561" s="117"/>
      <c r="C561" s="117"/>
      <c r="D561" s="10"/>
      <c r="E561" s="10"/>
      <c r="F561" s="10"/>
      <c r="G561" s="10"/>
      <c r="H561" s="10"/>
      <c r="I561" s="10"/>
      <c r="J561" s="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21">
      <c r="A562" s="4"/>
      <c r="B562" s="117"/>
      <c r="C562" s="117"/>
      <c r="D562" s="10"/>
      <c r="E562" s="10"/>
      <c r="F562" s="10"/>
      <c r="G562" s="10"/>
      <c r="H562" s="10"/>
      <c r="I562" s="10"/>
      <c r="J562" s="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21">
      <c r="A563" s="4"/>
      <c r="B563" s="117"/>
      <c r="C563" s="117"/>
      <c r="D563" s="10"/>
      <c r="E563" s="10"/>
      <c r="F563" s="10"/>
      <c r="G563" s="10"/>
      <c r="H563" s="10"/>
      <c r="I563" s="10"/>
      <c r="J563" s="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21">
      <c r="A564" s="4"/>
      <c r="B564" s="117"/>
      <c r="C564" s="117"/>
      <c r="D564" s="10"/>
      <c r="E564" s="10"/>
      <c r="F564" s="10"/>
      <c r="G564" s="10"/>
      <c r="H564" s="10"/>
      <c r="I564" s="10"/>
      <c r="J564" s="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21">
      <c r="A565" s="4"/>
      <c r="B565" s="117"/>
      <c r="C565" s="117"/>
      <c r="D565" s="10"/>
      <c r="E565" s="10"/>
      <c r="F565" s="10"/>
      <c r="G565" s="10"/>
      <c r="H565" s="10"/>
      <c r="I565" s="10"/>
      <c r="J565" s="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21">
      <c r="A566" s="4"/>
      <c r="B566" s="117"/>
      <c r="C566" s="117"/>
      <c r="D566" s="10"/>
      <c r="E566" s="10"/>
      <c r="F566" s="10"/>
      <c r="G566" s="10"/>
      <c r="H566" s="10"/>
      <c r="I566" s="10"/>
      <c r="J566" s="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21">
      <c r="A567" s="4"/>
      <c r="B567" s="117"/>
      <c r="C567" s="117"/>
      <c r="D567" s="10"/>
      <c r="E567" s="10"/>
      <c r="F567" s="10"/>
      <c r="G567" s="10"/>
      <c r="H567" s="10"/>
      <c r="I567" s="10"/>
      <c r="J567" s="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21">
      <c r="A568" s="4"/>
      <c r="B568" s="117"/>
      <c r="C568" s="117"/>
      <c r="D568" s="10"/>
      <c r="E568" s="10"/>
      <c r="F568" s="10"/>
      <c r="G568" s="10"/>
      <c r="H568" s="10"/>
      <c r="I568" s="10"/>
      <c r="J568" s="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21">
      <c r="A569" s="4"/>
      <c r="B569" s="117"/>
      <c r="C569" s="117"/>
      <c r="D569" s="10"/>
      <c r="E569" s="10"/>
      <c r="F569" s="10"/>
      <c r="G569" s="10"/>
      <c r="H569" s="10"/>
      <c r="I569" s="10"/>
      <c r="J569" s="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21">
      <c r="A570" s="4"/>
      <c r="B570" s="117"/>
      <c r="C570" s="117"/>
      <c r="D570" s="10"/>
      <c r="E570" s="10"/>
      <c r="F570" s="10"/>
      <c r="G570" s="10"/>
      <c r="H570" s="10"/>
      <c r="I570" s="10"/>
      <c r="J570" s="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21">
      <c r="A571" s="4"/>
      <c r="B571" s="117"/>
      <c r="C571" s="117"/>
      <c r="D571" s="10"/>
      <c r="E571" s="10"/>
      <c r="F571" s="10"/>
      <c r="G571" s="10"/>
      <c r="H571" s="10"/>
      <c r="I571" s="10"/>
      <c r="J571" s="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21">
      <c r="A572" s="4"/>
      <c r="B572" s="117"/>
      <c r="C572" s="117"/>
      <c r="D572" s="10"/>
      <c r="E572" s="10"/>
      <c r="F572" s="10"/>
      <c r="G572" s="10"/>
      <c r="H572" s="10"/>
      <c r="I572" s="10"/>
      <c r="J572" s="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21">
      <c r="A573" s="4"/>
      <c r="B573" s="117"/>
      <c r="C573" s="117"/>
      <c r="D573" s="10"/>
      <c r="E573" s="10"/>
      <c r="F573" s="10"/>
      <c r="G573" s="10"/>
      <c r="H573" s="10"/>
      <c r="I573" s="10"/>
      <c r="J573" s="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21">
      <c r="A574" s="4"/>
      <c r="B574" s="117"/>
      <c r="C574" s="117"/>
      <c r="D574" s="10"/>
      <c r="E574" s="10"/>
      <c r="F574" s="10"/>
      <c r="G574" s="10"/>
      <c r="H574" s="10"/>
      <c r="I574" s="10"/>
      <c r="J574" s="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21">
      <c r="A575" s="4"/>
      <c r="B575" s="117"/>
      <c r="C575" s="117"/>
      <c r="D575" s="10"/>
      <c r="E575" s="10"/>
      <c r="F575" s="10"/>
      <c r="G575" s="10"/>
      <c r="H575" s="10"/>
      <c r="I575" s="10"/>
      <c r="J575" s="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21">
      <c r="A576" s="4"/>
      <c r="B576" s="117"/>
      <c r="C576" s="117"/>
      <c r="D576" s="10"/>
      <c r="E576" s="10"/>
      <c r="F576" s="10"/>
      <c r="G576" s="10"/>
      <c r="H576" s="10"/>
      <c r="I576" s="10"/>
      <c r="J576" s="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21">
      <c r="A577" s="4"/>
      <c r="B577" s="117"/>
      <c r="C577" s="117"/>
      <c r="D577" s="10"/>
      <c r="E577" s="10"/>
      <c r="F577" s="10"/>
      <c r="G577" s="10"/>
      <c r="H577" s="10"/>
      <c r="I577" s="10"/>
      <c r="J577" s="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21">
      <c r="A578" s="4"/>
      <c r="B578" s="117"/>
      <c r="C578" s="117"/>
      <c r="D578" s="10"/>
      <c r="E578" s="10"/>
      <c r="F578" s="10"/>
      <c r="G578" s="10"/>
      <c r="H578" s="10"/>
      <c r="I578" s="10"/>
      <c r="J578" s="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21">
      <c r="A579" s="4"/>
      <c r="B579" s="117"/>
      <c r="C579" s="117"/>
      <c r="D579" s="10"/>
      <c r="E579" s="10"/>
      <c r="F579" s="10"/>
      <c r="G579" s="10"/>
      <c r="H579" s="10"/>
      <c r="I579" s="10"/>
      <c r="J579" s="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21">
      <c r="A580" s="4"/>
      <c r="B580" s="117"/>
      <c r="C580" s="117"/>
      <c r="D580" s="10"/>
      <c r="E580" s="10"/>
      <c r="F580" s="10"/>
      <c r="G580" s="10"/>
      <c r="H580" s="10"/>
      <c r="I580" s="10"/>
      <c r="J580" s="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21">
      <c r="A581" s="4"/>
      <c r="B581" s="117"/>
      <c r="C581" s="117"/>
      <c r="D581" s="10"/>
      <c r="E581" s="10"/>
      <c r="F581" s="10"/>
      <c r="G581" s="10"/>
      <c r="H581" s="10"/>
      <c r="I581" s="10"/>
      <c r="J581" s="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21">
      <c r="A582" s="4"/>
      <c r="B582" s="117"/>
      <c r="C582" s="117"/>
      <c r="D582" s="10"/>
      <c r="E582" s="10"/>
      <c r="F582" s="10"/>
      <c r="G582" s="10"/>
      <c r="H582" s="10"/>
      <c r="I582" s="10"/>
      <c r="J582" s="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21">
      <c r="A583" s="4"/>
      <c r="B583" s="117"/>
      <c r="C583" s="117"/>
      <c r="D583" s="10"/>
      <c r="E583" s="10"/>
      <c r="F583" s="10"/>
      <c r="G583" s="10"/>
      <c r="H583" s="10"/>
      <c r="I583" s="10"/>
      <c r="J583" s="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21">
      <c r="A584" s="4"/>
      <c r="B584" s="117"/>
      <c r="C584" s="117"/>
      <c r="D584" s="10"/>
      <c r="E584" s="10"/>
      <c r="F584" s="10"/>
      <c r="G584" s="10"/>
      <c r="H584" s="10"/>
      <c r="I584" s="10"/>
      <c r="J584" s="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21">
      <c r="A585" s="4"/>
      <c r="B585" s="117"/>
      <c r="C585" s="117"/>
      <c r="D585" s="10"/>
      <c r="E585" s="10"/>
      <c r="F585" s="10"/>
      <c r="G585" s="10"/>
      <c r="H585" s="10"/>
      <c r="I585" s="10"/>
      <c r="J585" s="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21">
      <c r="A586" s="4"/>
      <c r="B586" s="117"/>
      <c r="C586" s="117"/>
      <c r="D586" s="10"/>
      <c r="E586" s="10"/>
      <c r="F586" s="10"/>
      <c r="G586" s="10"/>
      <c r="H586" s="10"/>
      <c r="I586" s="10"/>
      <c r="J586" s="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21">
      <c r="A587" s="4"/>
      <c r="B587" s="117"/>
      <c r="C587" s="117"/>
      <c r="D587" s="10"/>
      <c r="E587" s="10"/>
      <c r="F587" s="10"/>
      <c r="G587" s="10"/>
      <c r="H587" s="10"/>
      <c r="I587" s="10"/>
      <c r="J587" s="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21">
      <c r="A588" s="4"/>
      <c r="B588" s="117"/>
      <c r="C588" s="117"/>
      <c r="D588" s="10"/>
      <c r="E588" s="10"/>
      <c r="F588" s="10"/>
      <c r="G588" s="10"/>
      <c r="H588" s="10"/>
      <c r="I588" s="10"/>
      <c r="J588" s="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21">
      <c r="A589" s="4"/>
      <c r="B589" s="117"/>
      <c r="C589" s="117"/>
      <c r="D589" s="10"/>
      <c r="E589" s="10"/>
      <c r="F589" s="10"/>
      <c r="G589" s="10"/>
      <c r="H589" s="10"/>
      <c r="I589" s="10"/>
      <c r="J589" s="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21">
      <c r="A590" s="4"/>
      <c r="B590" s="117"/>
      <c r="C590" s="117"/>
      <c r="D590" s="10"/>
      <c r="E590" s="10"/>
      <c r="F590" s="10"/>
      <c r="G590" s="10"/>
      <c r="H590" s="10"/>
      <c r="I590" s="10"/>
      <c r="J590" s="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21">
      <c r="A591" s="4"/>
      <c r="B591" s="117"/>
      <c r="C591" s="117"/>
      <c r="D591" s="10"/>
      <c r="E591" s="10"/>
      <c r="F591" s="10"/>
      <c r="G591" s="10"/>
      <c r="H591" s="10"/>
      <c r="I591" s="10"/>
      <c r="J591" s="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21">
      <c r="A592" s="4"/>
      <c r="B592" s="117"/>
      <c r="C592" s="117"/>
      <c r="D592" s="10"/>
      <c r="E592" s="10"/>
      <c r="F592" s="10"/>
      <c r="G592" s="10"/>
      <c r="H592" s="10"/>
      <c r="I592" s="10"/>
      <c r="J592" s="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21">
      <c r="A593" s="4"/>
      <c r="B593" s="117"/>
      <c r="C593" s="117"/>
      <c r="D593" s="10"/>
      <c r="E593" s="10"/>
      <c r="F593" s="10"/>
      <c r="G593" s="10"/>
      <c r="H593" s="10"/>
      <c r="I593" s="10"/>
      <c r="J593" s="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21">
      <c r="A594" s="4"/>
      <c r="B594" s="117"/>
      <c r="C594" s="117"/>
      <c r="D594" s="10"/>
      <c r="E594" s="10"/>
      <c r="F594" s="10"/>
      <c r="G594" s="10"/>
      <c r="H594" s="10"/>
      <c r="I594" s="10"/>
      <c r="J594" s="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21">
      <c r="A595" s="4"/>
      <c r="B595" s="117"/>
      <c r="C595" s="117"/>
      <c r="D595" s="10"/>
      <c r="E595" s="10"/>
      <c r="F595" s="10"/>
      <c r="G595" s="10"/>
      <c r="H595" s="10"/>
      <c r="I595" s="10"/>
      <c r="J595" s="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21">
      <c r="A596" s="4"/>
      <c r="B596" s="117"/>
      <c r="C596" s="117"/>
      <c r="D596" s="10"/>
      <c r="E596" s="10"/>
      <c r="F596" s="10"/>
      <c r="G596" s="10"/>
      <c r="H596" s="10"/>
      <c r="I596" s="10"/>
      <c r="J596" s="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21">
      <c r="A597" s="4"/>
      <c r="B597" s="117"/>
      <c r="C597" s="117"/>
      <c r="D597" s="10"/>
      <c r="E597" s="10"/>
      <c r="F597" s="10"/>
      <c r="G597" s="10"/>
      <c r="H597" s="10"/>
      <c r="I597" s="10"/>
      <c r="J597" s="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21">
      <c r="A598" s="4"/>
      <c r="B598" s="117"/>
      <c r="C598" s="117"/>
      <c r="D598" s="10"/>
      <c r="E598" s="10"/>
      <c r="F598" s="10"/>
      <c r="G598" s="10"/>
      <c r="H598" s="10"/>
      <c r="I598" s="10"/>
      <c r="J598" s="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21">
      <c r="A599" s="4"/>
      <c r="B599" s="117"/>
      <c r="C599" s="117"/>
      <c r="D599" s="10"/>
      <c r="E599" s="10"/>
      <c r="F599" s="10"/>
      <c r="G599" s="10"/>
      <c r="H599" s="10"/>
      <c r="I599" s="10"/>
      <c r="J599" s="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21">
      <c r="A600" s="4"/>
      <c r="B600" s="117"/>
      <c r="C600" s="117"/>
      <c r="D600" s="10"/>
      <c r="E600" s="10"/>
      <c r="F600" s="10"/>
      <c r="G600" s="10"/>
      <c r="H600" s="10"/>
      <c r="I600" s="10"/>
      <c r="J600" s="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21">
      <c r="A601" s="4"/>
      <c r="B601" s="117"/>
      <c r="C601" s="117"/>
      <c r="D601" s="10"/>
      <c r="E601" s="10"/>
      <c r="F601" s="10"/>
      <c r="G601" s="10"/>
      <c r="H601" s="10"/>
      <c r="I601" s="10"/>
      <c r="J601" s="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21">
      <c r="A602" s="4"/>
      <c r="B602" s="117"/>
      <c r="C602" s="117"/>
      <c r="D602" s="10"/>
      <c r="E602" s="10"/>
      <c r="F602" s="10"/>
      <c r="G602" s="10"/>
      <c r="H602" s="10"/>
      <c r="I602" s="10"/>
      <c r="J602" s="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21">
      <c r="A603" s="4"/>
      <c r="B603" s="117"/>
      <c r="C603" s="117"/>
      <c r="D603" s="10"/>
      <c r="E603" s="10"/>
      <c r="F603" s="10"/>
      <c r="G603" s="10"/>
      <c r="H603" s="10"/>
      <c r="I603" s="10"/>
      <c r="J603" s="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21">
      <c r="A604" s="4"/>
      <c r="B604" s="117"/>
      <c r="C604" s="117"/>
      <c r="D604" s="10"/>
      <c r="E604" s="10"/>
      <c r="F604" s="10"/>
      <c r="G604" s="10"/>
      <c r="H604" s="10"/>
      <c r="I604" s="10"/>
      <c r="J604" s="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21">
      <c r="A605" s="4"/>
      <c r="B605" s="117"/>
      <c r="C605" s="117"/>
      <c r="D605" s="10"/>
      <c r="E605" s="10"/>
      <c r="F605" s="10"/>
      <c r="G605" s="10"/>
      <c r="H605" s="10"/>
      <c r="I605" s="10"/>
      <c r="J605" s="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21">
      <c r="A606" s="4"/>
      <c r="B606" s="117"/>
      <c r="C606" s="117"/>
      <c r="D606" s="10"/>
      <c r="E606" s="10"/>
      <c r="F606" s="10"/>
      <c r="G606" s="10"/>
      <c r="H606" s="10"/>
      <c r="I606" s="10"/>
      <c r="J606" s="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21">
      <c r="A607" s="4"/>
      <c r="B607" s="117"/>
      <c r="C607" s="117"/>
      <c r="D607" s="10"/>
      <c r="E607" s="10"/>
      <c r="F607" s="10"/>
      <c r="G607" s="10"/>
      <c r="H607" s="10"/>
      <c r="I607" s="10"/>
      <c r="J607" s="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21">
      <c r="A608" s="4"/>
      <c r="B608" s="117"/>
      <c r="C608" s="117"/>
      <c r="D608" s="10"/>
      <c r="E608" s="10"/>
      <c r="F608" s="10"/>
      <c r="G608" s="10"/>
      <c r="H608" s="10"/>
      <c r="I608" s="10"/>
      <c r="J608" s="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21">
      <c r="A609" s="4"/>
      <c r="B609" s="117"/>
      <c r="C609" s="117"/>
      <c r="D609" s="10"/>
      <c r="E609" s="10"/>
      <c r="F609" s="10"/>
      <c r="G609" s="10"/>
      <c r="H609" s="10"/>
      <c r="I609" s="10"/>
      <c r="J609" s="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21">
      <c r="A610" s="4"/>
      <c r="B610" s="117"/>
      <c r="C610" s="117"/>
      <c r="D610" s="10"/>
      <c r="E610" s="10"/>
      <c r="F610" s="10"/>
      <c r="G610" s="10"/>
      <c r="H610" s="10"/>
      <c r="I610" s="10"/>
      <c r="J610" s="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21">
      <c r="A611" s="4"/>
      <c r="B611" s="117"/>
      <c r="C611" s="117"/>
      <c r="D611" s="10"/>
      <c r="E611" s="10"/>
      <c r="F611" s="10"/>
      <c r="G611" s="10"/>
      <c r="H611" s="10"/>
      <c r="I611" s="10"/>
      <c r="J611" s="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21">
      <c r="A612" s="4"/>
      <c r="B612" s="117"/>
      <c r="C612" s="117"/>
      <c r="D612" s="10"/>
      <c r="E612" s="10"/>
      <c r="F612" s="10"/>
      <c r="G612" s="10"/>
      <c r="H612" s="10"/>
      <c r="I612" s="10"/>
      <c r="J612" s="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21">
      <c r="A613" s="4"/>
      <c r="B613" s="117"/>
      <c r="C613" s="117"/>
      <c r="D613" s="10"/>
      <c r="E613" s="10"/>
      <c r="F613" s="10"/>
      <c r="G613" s="10"/>
      <c r="H613" s="10"/>
      <c r="I613" s="10"/>
      <c r="J613" s="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21">
      <c r="A614" s="4"/>
      <c r="B614" s="117"/>
      <c r="C614" s="117"/>
      <c r="D614" s="10"/>
      <c r="E614" s="10"/>
      <c r="F614" s="10"/>
      <c r="G614" s="10"/>
      <c r="H614" s="10"/>
      <c r="I614" s="10"/>
      <c r="J614" s="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21">
      <c r="A615" s="4"/>
      <c r="B615" s="117"/>
      <c r="C615" s="117"/>
      <c r="D615" s="10"/>
      <c r="E615" s="10"/>
      <c r="F615" s="10"/>
      <c r="G615" s="10"/>
      <c r="H615" s="10"/>
      <c r="I615" s="10"/>
      <c r="J615" s="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21">
      <c r="A616" s="4"/>
      <c r="B616" s="117"/>
      <c r="C616" s="117"/>
      <c r="D616" s="10"/>
      <c r="E616" s="10"/>
      <c r="F616" s="10"/>
      <c r="G616" s="10"/>
      <c r="H616" s="10"/>
      <c r="I616" s="10"/>
      <c r="J616" s="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21">
      <c r="A617" s="4"/>
      <c r="B617" s="117"/>
      <c r="C617" s="117"/>
      <c r="D617" s="10"/>
      <c r="E617" s="10"/>
      <c r="F617" s="10"/>
      <c r="G617" s="10"/>
      <c r="H617" s="10"/>
      <c r="I617" s="10"/>
      <c r="J617" s="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21">
      <c r="A618" s="4"/>
      <c r="B618" s="117"/>
      <c r="C618" s="117"/>
      <c r="D618" s="10"/>
      <c r="E618" s="10"/>
      <c r="F618" s="10"/>
      <c r="G618" s="10"/>
      <c r="H618" s="10"/>
      <c r="I618" s="10"/>
      <c r="J618" s="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21">
      <c r="A619" s="4"/>
      <c r="B619" s="117"/>
      <c r="C619" s="117"/>
      <c r="D619" s="10"/>
      <c r="E619" s="10"/>
      <c r="F619" s="10"/>
      <c r="G619" s="10"/>
      <c r="H619" s="10"/>
      <c r="I619" s="10"/>
      <c r="J619" s="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21">
      <c r="A620" s="4"/>
      <c r="B620" s="117"/>
      <c r="C620" s="117"/>
      <c r="D620" s="10"/>
      <c r="E620" s="10"/>
      <c r="F620" s="10"/>
      <c r="G620" s="10"/>
      <c r="H620" s="10"/>
      <c r="I620" s="10"/>
      <c r="J620" s="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21">
      <c r="A621" s="4"/>
      <c r="B621" s="117"/>
      <c r="C621" s="117"/>
      <c r="D621" s="10"/>
      <c r="E621" s="10"/>
      <c r="F621" s="10"/>
      <c r="G621" s="10"/>
      <c r="H621" s="10"/>
      <c r="I621" s="10"/>
      <c r="J621" s="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21">
      <c r="A622" s="4"/>
      <c r="B622" s="117"/>
      <c r="C622" s="117"/>
      <c r="D622" s="10"/>
      <c r="E622" s="10"/>
      <c r="F622" s="10"/>
      <c r="G622" s="10"/>
      <c r="H622" s="10"/>
      <c r="I622" s="10"/>
      <c r="J622" s="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21">
      <c r="A623" s="4"/>
      <c r="B623" s="117"/>
      <c r="C623" s="117"/>
      <c r="D623" s="10"/>
      <c r="E623" s="10"/>
      <c r="F623" s="10"/>
      <c r="G623" s="10"/>
      <c r="H623" s="10"/>
      <c r="I623" s="10"/>
      <c r="J623" s="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21">
      <c r="A624" s="4"/>
      <c r="B624" s="117"/>
      <c r="C624" s="117"/>
      <c r="D624" s="10"/>
      <c r="E624" s="10"/>
      <c r="F624" s="10"/>
      <c r="G624" s="10"/>
      <c r="H624" s="10"/>
      <c r="I624" s="10"/>
      <c r="J624" s="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21">
      <c r="A625" s="4"/>
      <c r="B625" s="117"/>
      <c r="C625" s="117"/>
      <c r="D625" s="10"/>
      <c r="E625" s="10"/>
      <c r="F625" s="10"/>
      <c r="G625" s="10"/>
      <c r="H625" s="10"/>
      <c r="I625" s="10"/>
      <c r="J625" s="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21">
      <c r="A626" s="4"/>
      <c r="B626" s="117"/>
      <c r="C626" s="117"/>
      <c r="D626" s="10"/>
      <c r="E626" s="10"/>
      <c r="F626" s="10"/>
      <c r="G626" s="10"/>
      <c r="H626" s="10"/>
      <c r="I626" s="10"/>
      <c r="J626" s="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21">
      <c r="A627" s="4"/>
      <c r="B627" s="117"/>
      <c r="C627" s="117"/>
      <c r="D627" s="10"/>
      <c r="E627" s="10"/>
      <c r="F627" s="10"/>
      <c r="G627" s="10"/>
      <c r="H627" s="10"/>
      <c r="I627" s="10"/>
      <c r="J627" s="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21">
      <c r="A628" s="4"/>
      <c r="B628" s="117"/>
      <c r="C628" s="117"/>
      <c r="D628" s="10"/>
      <c r="E628" s="10"/>
      <c r="F628" s="10"/>
      <c r="G628" s="10"/>
      <c r="H628" s="10"/>
      <c r="I628" s="10"/>
      <c r="J628" s="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21">
      <c r="A629" s="4"/>
      <c r="B629" s="117"/>
      <c r="C629" s="117"/>
      <c r="D629" s="10"/>
      <c r="E629" s="10"/>
      <c r="F629" s="10"/>
      <c r="G629" s="10"/>
      <c r="H629" s="10"/>
      <c r="I629" s="10"/>
      <c r="J629" s="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21">
      <c r="A630" s="4"/>
      <c r="B630" s="117"/>
      <c r="C630" s="117"/>
      <c r="D630" s="10"/>
      <c r="E630" s="10"/>
      <c r="F630" s="10"/>
      <c r="G630" s="10"/>
      <c r="H630" s="10"/>
      <c r="I630" s="10"/>
      <c r="J630" s="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21">
      <c r="A631" s="4"/>
      <c r="B631" s="117"/>
      <c r="C631" s="117"/>
      <c r="D631" s="10"/>
      <c r="E631" s="10"/>
      <c r="F631" s="10"/>
      <c r="G631" s="10"/>
      <c r="H631" s="10"/>
      <c r="I631" s="10"/>
      <c r="J631" s="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21">
      <c r="A632" s="4"/>
      <c r="B632" s="117"/>
      <c r="C632" s="117"/>
      <c r="D632" s="10"/>
      <c r="E632" s="10"/>
      <c r="F632" s="10"/>
      <c r="G632" s="10"/>
      <c r="H632" s="10"/>
      <c r="I632" s="10"/>
      <c r="J632" s="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21">
      <c r="A633" s="4"/>
      <c r="B633" s="117"/>
      <c r="C633" s="117"/>
      <c r="D633" s="10"/>
      <c r="E633" s="10"/>
      <c r="F633" s="10"/>
      <c r="G633" s="10"/>
      <c r="H633" s="10"/>
      <c r="I633" s="10"/>
      <c r="J633" s="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21">
      <c r="A634" s="4"/>
      <c r="B634" s="117"/>
      <c r="C634" s="117"/>
      <c r="D634" s="10"/>
      <c r="E634" s="10"/>
      <c r="F634" s="10"/>
      <c r="G634" s="10"/>
      <c r="H634" s="10"/>
      <c r="I634" s="10"/>
      <c r="J634" s="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21">
      <c r="A635" s="4"/>
      <c r="B635" s="117"/>
      <c r="C635" s="117"/>
      <c r="D635" s="10"/>
      <c r="E635" s="10"/>
      <c r="F635" s="10"/>
      <c r="G635" s="10"/>
      <c r="H635" s="10"/>
      <c r="I635" s="10"/>
      <c r="J635" s="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21">
      <c r="A636" s="4"/>
      <c r="B636" s="117"/>
      <c r="C636" s="117"/>
      <c r="D636" s="10"/>
      <c r="E636" s="10"/>
      <c r="F636" s="10"/>
      <c r="G636" s="10"/>
      <c r="H636" s="10"/>
      <c r="I636" s="10"/>
      <c r="J636" s="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21">
      <c r="A637" s="4"/>
      <c r="B637" s="117"/>
      <c r="C637" s="117"/>
      <c r="D637" s="10"/>
      <c r="E637" s="10"/>
      <c r="F637" s="10"/>
      <c r="G637" s="10"/>
      <c r="H637" s="10"/>
      <c r="I637" s="10"/>
      <c r="J637" s="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21">
      <c r="A638" s="4"/>
      <c r="B638" s="117"/>
      <c r="C638" s="117"/>
      <c r="D638" s="10"/>
      <c r="E638" s="10"/>
      <c r="F638" s="10"/>
      <c r="G638" s="10"/>
      <c r="H638" s="10"/>
      <c r="I638" s="10"/>
      <c r="J638" s="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21">
      <c r="A639" s="4"/>
      <c r="B639" s="117"/>
      <c r="C639" s="117"/>
      <c r="D639" s="10"/>
      <c r="E639" s="10"/>
      <c r="F639" s="10"/>
      <c r="G639" s="10"/>
      <c r="H639" s="10"/>
      <c r="I639" s="10"/>
      <c r="J639" s="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21">
      <c r="A640" s="4"/>
      <c r="B640" s="117"/>
      <c r="C640" s="117"/>
      <c r="D640" s="10"/>
      <c r="E640" s="10"/>
      <c r="F640" s="10"/>
      <c r="G640" s="10"/>
      <c r="H640" s="10"/>
      <c r="I640" s="10"/>
      <c r="J640" s="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21">
      <c r="A641" s="4"/>
      <c r="B641" s="117"/>
      <c r="C641" s="117"/>
      <c r="D641" s="10"/>
      <c r="E641" s="10"/>
      <c r="F641" s="10"/>
      <c r="G641" s="10"/>
      <c r="H641" s="10"/>
      <c r="I641" s="10"/>
      <c r="J641" s="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21">
      <c r="A642" s="4"/>
      <c r="B642" s="117"/>
      <c r="C642" s="117"/>
      <c r="D642" s="10"/>
      <c r="E642" s="10"/>
      <c r="F642" s="10"/>
      <c r="G642" s="10"/>
      <c r="H642" s="10"/>
      <c r="I642" s="10"/>
      <c r="J642" s="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21">
      <c r="A643" s="4"/>
      <c r="B643" s="117"/>
      <c r="C643" s="117"/>
      <c r="D643" s="10"/>
      <c r="E643" s="10"/>
      <c r="F643" s="10"/>
      <c r="G643" s="10"/>
      <c r="H643" s="10"/>
      <c r="I643" s="10"/>
      <c r="J643" s="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21">
      <c r="A644" s="4"/>
      <c r="B644" s="117"/>
      <c r="C644" s="117"/>
      <c r="D644" s="10"/>
      <c r="E644" s="10"/>
      <c r="F644" s="10"/>
      <c r="G644" s="10"/>
      <c r="H644" s="10"/>
      <c r="I644" s="10"/>
      <c r="J644" s="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21">
      <c r="A645" s="4"/>
      <c r="B645" s="117"/>
      <c r="C645" s="117"/>
      <c r="D645" s="10"/>
      <c r="E645" s="10"/>
      <c r="F645" s="10"/>
      <c r="G645" s="10"/>
      <c r="H645" s="10"/>
      <c r="I645" s="10"/>
      <c r="J645" s="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21">
      <c r="A646" s="4"/>
      <c r="B646" s="117"/>
      <c r="C646" s="117"/>
      <c r="D646" s="10"/>
      <c r="E646" s="10"/>
      <c r="F646" s="10"/>
      <c r="G646" s="10"/>
      <c r="H646" s="10"/>
      <c r="I646" s="10"/>
      <c r="J646" s="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21">
      <c r="A647" s="4"/>
      <c r="B647" s="117"/>
      <c r="C647" s="117"/>
      <c r="D647" s="10"/>
      <c r="E647" s="10"/>
      <c r="F647" s="10"/>
      <c r="G647" s="10"/>
      <c r="H647" s="10"/>
      <c r="I647" s="10"/>
      <c r="J647" s="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21">
      <c r="A648" s="4"/>
      <c r="B648" s="117"/>
      <c r="C648" s="117"/>
      <c r="D648" s="10"/>
      <c r="E648" s="10"/>
      <c r="F648" s="10"/>
      <c r="G648" s="10"/>
      <c r="H648" s="10"/>
      <c r="I648" s="10"/>
      <c r="J648" s="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21">
      <c r="A649" s="4"/>
      <c r="B649" s="117"/>
      <c r="C649" s="117"/>
      <c r="D649" s="10"/>
      <c r="E649" s="10"/>
      <c r="F649" s="10"/>
      <c r="G649" s="10"/>
      <c r="H649" s="10"/>
      <c r="I649" s="10"/>
      <c r="J649" s="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21">
      <c r="A650" s="4"/>
      <c r="B650" s="117"/>
      <c r="C650" s="117"/>
      <c r="D650" s="10"/>
      <c r="E650" s="10"/>
      <c r="F650" s="10"/>
      <c r="G650" s="10"/>
      <c r="H650" s="10"/>
      <c r="I650" s="10"/>
      <c r="J650" s="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21">
      <c r="A651" s="4"/>
      <c r="B651" s="117"/>
      <c r="C651" s="117"/>
      <c r="D651" s="10"/>
      <c r="E651" s="10"/>
      <c r="F651" s="10"/>
      <c r="G651" s="10"/>
      <c r="H651" s="10"/>
      <c r="I651" s="10"/>
      <c r="J651" s="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21">
      <c r="A652" s="4"/>
      <c r="B652" s="117"/>
      <c r="C652" s="117"/>
      <c r="D652" s="10"/>
      <c r="E652" s="10"/>
      <c r="F652" s="10"/>
      <c r="G652" s="10"/>
      <c r="H652" s="10"/>
      <c r="I652" s="10"/>
      <c r="J652" s="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21">
      <c r="A653" s="4"/>
      <c r="B653" s="117"/>
      <c r="C653" s="117"/>
      <c r="D653" s="10"/>
      <c r="E653" s="10"/>
      <c r="F653" s="10"/>
      <c r="G653" s="10"/>
      <c r="H653" s="10"/>
      <c r="I653" s="10"/>
      <c r="J653" s="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21">
      <c r="A654" s="4"/>
      <c r="B654" s="117"/>
      <c r="C654" s="117"/>
      <c r="D654" s="10"/>
      <c r="E654" s="10"/>
      <c r="F654" s="10"/>
      <c r="G654" s="10"/>
      <c r="H654" s="10"/>
      <c r="I654" s="10"/>
      <c r="J654" s="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21">
      <c r="A655" s="4"/>
      <c r="B655" s="117"/>
      <c r="C655" s="117"/>
      <c r="D655" s="10"/>
      <c r="E655" s="10"/>
      <c r="F655" s="10"/>
      <c r="G655" s="10"/>
      <c r="H655" s="10"/>
      <c r="I655" s="10"/>
      <c r="J655" s="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21">
      <c r="A656" s="4"/>
      <c r="B656" s="117"/>
      <c r="C656" s="117"/>
      <c r="D656" s="10"/>
      <c r="E656" s="10"/>
      <c r="F656" s="10"/>
      <c r="G656" s="10"/>
      <c r="H656" s="10"/>
      <c r="I656" s="10"/>
      <c r="J656" s="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21">
      <c r="A657" s="4"/>
      <c r="B657" s="117"/>
      <c r="C657" s="117"/>
      <c r="D657" s="10"/>
      <c r="E657" s="10"/>
      <c r="F657" s="10"/>
      <c r="G657" s="10"/>
      <c r="H657" s="10"/>
      <c r="I657" s="10"/>
      <c r="J657" s="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21">
      <c r="A658" s="4"/>
      <c r="B658" s="117"/>
      <c r="C658" s="117"/>
      <c r="D658" s="10"/>
      <c r="E658" s="10"/>
      <c r="F658" s="10"/>
      <c r="G658" s="10"/>
      <c r="H658" s="10"/>
      <c r="I658" s="10"/>
      <c r="J658" s="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21">
      <c r="A659" s="4"/>
      <c r="B659" s="117"/>
      <c r="C659" s="117"/>
      <c r="D659" s="10"/>
      <c r="E659" s="10"/>
      <c r="F659" s="10"/>
      <c r="G659" s="10"/>
      <c r="H659" s="10"/>
      <c r="I659" s="10"/>
      <c r="J659" s="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21">
      <c r="A660" s="4"/>
      <c r="B660" s="117"/>
      <c r="C660" s="117"/>
      <c r="D660" s="10"/>
      <c r="E660" s="10"/>
      <c r="F660" s="10"/>
      <c r="G660" s="10"/>
      <c r="H660" s="10"/>
      <c r="I660" s="10"/>
      <c r="J660" s="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21">
      <c r="A661" s="4"/>
      <c r="B661" s="117"/>
      <c r="C661" s="117"/>
      <c r="D661" s="10"/>
      <c r="E661" s="10"/>
      <c r="F661" s="10"/>
      <c r="G661" s="10"/>
      <c r="H661" s="10"/>
      <c r="I661" s="10"/>
      <c r="J661" s="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21">
      <c r="A662" s="4"/>
      <c r="B662" s="117"/>
      <c r="C662" s="117"/>
      <c r="D662" s="10"/>
      <c r="E662" s="10"/>
      <c r="F662" s="10"/>
      <c r="G662" s="10"/>
      <c r="H662" s="10"/>
      <c r="I662" s="10"/>
      <c r="J662" s="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21">
      <c r="A663" s="4"/>
      <c r="B663" s="117"/>
      <c r="C663" s="117"/>
      <c r="D663" s="10"/>
      <c r="E663" s="10"/>
      <c r="F663" s="10"/>
      <c r="G663" s="10"/>
      <c r="H663" s="10"/>
      <c r="I663" s="10"/>
      <c r="J663" s="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21">
      <c r="A664" s="4"/>
      <c r="B664" s="117"/>
      <c r="C664" s="117"/>
      <c r="D664" s="10"/>
      <c r="E664" s="10"/>
      <c r="F664" s="10"/>
      <c r="G664" s="10"/>
      <c r="H664" s="10"/>
      <c r="I664" s="10"/>
      <c r="J664" s="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21">
      <c r="A665" s="4"/>
      <c r="B665" s="117"/>
      <c r="C665" s="117"/>
      <c r="D665" s="10"/>
      <c r="E665" s="10"/>
      <c r="F665" s="10"/>
      <c r="G665" s="10"/>
      <c r="H665" s="10"/>
      <c r="I665" s="10"/>
      <c r="J665" s="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21">
      <c r="A666" s="4"/>
      <c r="B666" s="117"/>
      <c r="C666" s="117"/>
      <c r="D666" s="10"/>
      <c r="E666" s="10"/>
      <c r="F666" s="10"/>
      <c r="G666" s="10"/>
      <c r="H666" s="10"/>
      <c r="I666" s="10"/>
      <c r="J666" s="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21">
      <c r="A667" s="4"/>
      <c r="B667" s="117"/>
      <c r="C667" s="117"/>
      <c r="D667" s="10"/>
      <c r="E667" s="10"/>
      <c r="F667" s="10"/>
      <c r="G667" s="10"/>
      <c r="H667" s="10"/>
      <c r="I667" s="10"/>
      <c r="J667" s="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21">
      <c r="A668" s="4"/>
      <c r="B668" s="117"/>
      <c r="C668" s="117"/>
      <c r="D668" s="10"/>
      <c r="E668" s="10"/>
      <c r="F668" s="10"/>
      <c r="G668" s="10"/>
      <c r="H668" s="10"/>
      <c r="I668" s="10"/>
      <c r="J668" s="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21">
      <c r="A669" s="4"/>
      <c r="B669" s="117"/>
      <c r="C669" s="117"/>
      <c r="D669" s="10"/>
      <c r="E669" s="10"/>
      <c r="F669" s="10"/>
      <c r="G669" s="10"/>
      <c r="H669" s="10"/>
      <c r="I669" s="10"/>
      <c r="J669" s="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21">
      <c r="A670" s="4"/>
      <c r="B670" s="117"/>
      <c r="C670" s="117"/>
      <c r="D670" s="10"/>
      <c r="E670" s="10"/>
      <c r="F670" s="10"/>
      <c r="G670" s="10"/>
      <c r="H670" s="10"/>
      <c r="I670" s="10"/>
      <c r="J670" s="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21">
      <c r="A671" s="4"/>
      <c r="B671" s="117"/>
      <c r="C671" s="117"/>
      <c r="D671" s="10"/>
      <c r="E671" s="10"/>
      <c r="F671" s="10"/>
      <c r="G671" s="10"/>
      <c r="H671" s="10"/>
      <c r="I671" s="10"/>
      <c r="J671" s="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21">
      <c r="A672" s="4"/>
      <c r="B672" s="117"/>
      <c r="C672" s="117"/>
      <c r="D672" s="10"/>
      <c r="E672" s="10"/>
      <c r="F672" s="10"/>
      <c r="G672" s="10"/>
      <c r="H672" s="10"/>
      <c r="I672" s="10"/>
      <c r="J672" s="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21">
      <c r="A673" s="4"/>
      <c r="B673" s="117"/>
      <c r="C673" s="117"/>
      <c r="D673" s="10"/>
      <c r="E673" s="10"/>
      <c r="F673" s="10"/>
      <c r="G673" s="10"/>
      <c r="H673" s="10"/>
      <c r="I673" s="10"/>
      <c r="J673" s="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21">
      <c r="A674" s="4"/>
      <c r="B674" s="117"/>
      <c r="C674" s="117"/>
      <c r="D674" s="10"/>
      <c r="E674" s="10"/>
      <c r="F674" s="10"/>
      <c r="G674" s="10"/>
      <c r="H674" s="10"/>
      <c r="I674" s="10"/>
      <c r="J674" s="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21">
      <c r="A675" s="4"/>
      <c r="B675" s="117"/>
      <c r="C675" s="117"/>
      <c r="D675" s="10"/>
      <c r="E675" s="10"/>
      <c r="F675" s="10"/>
      <c r="G675" s="10"/>
      <c r="H675" s="10"/>
      <c r="I675" s="10"/>
      <c r="J675" s="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21">
      <c r="A676" s="4"/>
      <c r="B676" s="117"/>
      <c r="C676" s="117"/>
      <c r="D676" s="10"/>
      <c r="E676" s="10"/>
      <c r="F676" s="10"/>
      <c r="G676" s="10"/>
      <c r="H676" s="10"/>
      <c r="I676" s="10"/>
      <c r="J676" s="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21">
      <c r="A677" s="4"/>
      <c r="B677" s="117"/>
      <c r="C677" s="117"/>
      <c r="D677" s="10"/>
      <c r="E677" s="10"/>
      <c r="F677" s="10"/>
      <c r="G677" s="10"/>
      <c r="H677" s="10"/>
      <c r="I677" s="10"/>
      <c r="J677" s="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21">
      <c r="A678" s="4"/>
      <c r="B678" s="117"/>
      <c r="C678" s="117"/>
      <c r="D678" s="10"/>
      <c r="E678" s="10"/>
      <c r="F678" s="10"/>
      <c r="G678" s="10"/>
      <c r="H678" s="10"/>
      <c r="I678" s="10"/>
      <c r="J678" s="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21">
      <c r="A679" s="4"/>
      <c r="B679" s="117"/>
      <c r="C679" s="117"/>
      <c r="D679" s="10"/>
      <c r="E679" s="10"/>
      <c r="F679" s="10"/>
      <c r="G679" s="10"/>
      <c r="H679" s="10"/>
      <c r="I679" s="10"/>
      <c r="J679" s="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21">
      <c r="A680" s="4"/>
      <c r="B680" s="117"/>
      <c r="C680" s="117"/>
      <c r="D680" s="10"/>
      <c r="E680" s="10"/>
      <c r="F680" s="10"/>
      <c r="G680" s="10"/>
      <c r="H680" s="10"/>
      <c r="I680" s="10"/>
      <c r="J680" s="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21">
      <c r="A681" s="4"/>
      <c r="B681" s="117"/>
      <c r="C681" s="117"/>
      <c r="D681" s="10"/>
      <c r="E681" s="10"/>
      <c r="F681" s="10"/>
      <c r="G681" s="10"/>
      <c r="H681" s="10"/>
      <c r="I681" s="10"/>
      <c r="J681" s="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21">
      <c r="A682" s="4"/>
      <c r="B682" s="117"/>
      <c r="C682" s="117"/>
      <c r="D682" s="10"/>
      <c r="E682" s="10"/>
      <c r="F682" s="10"/>
      <c r="G682" s="10"/>
      <c r="H682" s="10"/>
      <c r="I682" s="10"/>
      <c r="J682" s="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21">
      <c r="A683" s="4"/>
      <c r="B683" s="117"/>
      <c r="C683" s="117"/>
      <c r="D683" s="10"/>
      <c r="E683" s="10"/>
      <c r="F683" s="10"/>
      <c r="G683" s="10"/>
      <c r="H683" s="10"/>
      <c r="I683" s="10"/>
      <c r="J683" s="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21">
      <c r="A684" s="4"/>
      <c r="B684" s="117"/>
      <c r="C684" s="117"/>
      <c r="D684" s="10"/>
      <c r="E684" s="10"/>
      <c r="F684" s="10"/>
      <c r="G684" s="10"/>
      <c r="H684" s="10"/>
      <c r="I684" s="10"/>
      <c r="J684" s="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21">
      <c r="A685" s="4"/>
      <c r="B685" s="117"/>
      <c r="C685" s="117"/>
      <c r="D685" s="10"/>
      <c r="E685" s="10"/>
      <c r="F685" s="10"/>
      <c r="G685" s="10"/>
      <c r="H685" s="10"/>
      <c r="I685" s="10"/>
      <c r="J685" s="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21">
      <c r="A686" s="4"/>
      <c r="B686" s="117"/>
      <c r="C686" s="117"/>
      <c r="D686" s="10"/>
      <c r="E686" s="10"/>
      <c r="F686" s="10"/>
      <c r="G686" s="10"/>
      <c r="H686" s="10"/>
      <c r="I686" s="10"/>
      <c r="J686" s="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21">
      <c r="A687" s="4"/>
      <c r="B687" s="117"/>
      <c r="C687" s="117"/>
      <c r="D687" s="10"/>
      <c r="E687" s="10"/>
      <c r="F687" s="10"/>
      <c r="G687" s="10"/>
      <c r="H687" s="10"/>
      <c r="I687" s="10"/>
      <c r="J687" s="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21">
      <c r="A688" s="4"/>
      <c r="B688" s="117"/>
      <c r="C688" s="117"/>
      <c r="D688" s="10"/>
      <c r="E688" s="10"/>
      <c r="F688" s="10"/>
      <c r="G688" s="10"/>
      <c r="H688" s="10"/>
      <c r="I688" s="10"/>
      <c r="J688" s="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21">
      <c r="A689" s="4"/>
      <c r="B689" s="117"/>
      <c r="C689" s="117"/>
      <c r="D689" s="10"/>
      <c r="E689" s="10"/>
      <c r="F689" s="10"/>
      <c r="G689" s="10"/>
      <c r="H689" s="10"/>
      <c r="I689" s="10"/>
      <c r="J689" s="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21">
      <c r="A690" s="4"/>
      <c r="B690" s="117"/>
      <c r="C690" s="117"/>
      <c r="D690" s="10"/>
      <c r="E690" s="10"/>
      <c r="F690" s="10"/>
      <c r="G690" s="10"/>
      <c r="H690" s="10"/>
      <c r="I690" s="10"/>
      <c r="J690" s="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21">
      <c r="A691" s="4"/>
      <c r="B691" s="117"/>
      <c r="C691" s="117"/>
      <c r="D691" s="10"/>
      <c r="E691" s="10"/>
      <c r="F691" s="10"/>
      <c r="G691" s="10"/>
      <c r="H691" s="10"/>
      <c r="I691" s="10"/>
      <c r="J691" s="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21">
      <c r="A692" s="4"/>
      <c r="B692" s="117"/>
      <c r="C692" s="117"/>
      <c r="D692" s="10"/>
      <c r="E692" s="10"/>
      <c r="F692" s="10"/>
      <c r="G692" s="10"/>
      <c r="H692" s="10"/>
      <c r="I692" s="10"/>
      <c r="J692" s="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21">
      <c r="A693" s="4"/>
      <c r="B693" s="117"/>
      <c r="C693" s="117"/>
      <c r="D693" s="10"/>
      <c r="E693" s="10"/>
      <c r="F693" s="10"/>
      <c r="G693" s="10"/>
      <c r="H693" s="10"/>
      <c r="I693" s="10"/>
      <c r="J693" s="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21">
      <c r="A694" s="4"/>
      <c r="B694" s="117"/>
      <c r="C694" s="117"/>
      <c r="D694" s="10"/>
      <c r="E694" s="10"/>
      <c r="F694" s="10"/>
      <c r="G694" s="10"/>
      <c r="H694" s="10"/>
      <c r="I694" s="10"/>
      <c r="J694" s="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21">
      <c r="A695" s="4"/>
      <c r="B695" s="117"/>
      <c r="C695" s="117"/>
      <c r="D695" s="10"/>
      <c r="E695" s="10"/>
      <c r="F695" s="10"/>
      <c r="G695" s="10"/>
      <c r="H695" s="10"/>
      <c r="I695" s="10"/>
      <c r="J695" s="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21">
      <c r="A696" s="4"/>
      <c r="B696" s="117"/>
      <c r="C696" s="117"/>
      <c r="D696" s="10"/>
      <c r="E696" s="10"/>
      <c r="F696" s="10"/>
      <c r="G696" s="10"/>
      <c r="H696" s="10"/>
      <c r="I696" s="10"/>
      <c r="J696" s="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21">
      <c r="A697" s="4"/>
      <c r="B697" s="117"/>
      <c r="C697" s="117"/>
      <c r="D697" s="10"/>
      <c r="E697" s="10"/>
      <c r="F697" s="10"/>
      <c r="G697" s="10"/>
      <c r="H697" s="10"/>
      <c r="I697" s="10"/>
      <c r="J697" s="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21">
      <c r="A698" s="4"/>
      <c r="B698" s="117"/>
      <c r="C698" s="117"/>
      <c r="D698" s="10"/>
      <c r="E698" s="10"/>
      <c r="F698" s="10"/>
      <c r="G698" s="10"/>
      <c r="H698" s="10"/>
      <c r="I698" s="10"/>
      <c r="J698" s="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21">
      <c r="A699" s="4"/>
      <c r="B699" s="117"/>
      <c r="C699" s="117"/>
      <c r="D699" s="10"/>
      <c r="E699" s="10"/>
      <c r="F699" s="10"/>
      <c r="G699" s="10"/>
      <c r="H699" s="10"/>
      <c r="I699" s="10"/>
      <c r="J699" s="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21">
      <c r="A700" s="4"/>
      <c r="B700" s="117"/>
      <c r="C700" s="117"/>
      <c r="D700" s="10"/>
      <c r="E700" s="10"/>
      <c r="F700" s="10"/>
      <c r="G700" s="10"/>
      <c r="H700" s="10"/>
      <c r="I700" s="10"/>
      <c r="J700" s="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21">
      <c r="A701" s="4"/>
      <c r="B701" s="117"/>
      <c r="C701" s="117"/>
      <c r="D701" s="10"/>
      <c r="E701" s="10"/>
      <c r="F701" s="10"/>
      <c r="G701" s="10"/>
      <c r="H701" s="10"/>
      <c r="I701" s="10"/>
      <c r="J701" s="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21">
      <c r="A702" s="4"/>
      <c r="B702" s="117"/>
      <c r="C702" s="117"/>
      <c r="D702" s="10"/>
      <c r="E702" s="10"/>
      <c r="F702" s="10"/>
      <c r="G702" s="10"/>
      <c r="H702" s="10"/>
      <c r="I702" s="10"/>
      <c r="J702" s="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21">
      <c r="A703" s="4"/>
      <c r="B703" s="117"/>
      <c r="C703" s="117"/>
      <c r="D703" s="10"/>
      <c r="E703" s="10"/>
      <c r="F703" s="10"/>
      <c r="G703" s="10"/>
      <c r="H703" s="10"/>
      <c r="I703" s="10"/>
      <c r="J703" s="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21">
      <c r="A704" s="4"/>
      <c r="B704" s="117"/>
      <c r="C704" s="117"/>
      <c r="D704" s="10"/>
      <c r="E704" s="10"/>
      <c r="F704" s="10"/>
      <c r="G704" s="10"/>
      <c r="H704" s="10"/>
      <c r="I704" s="10"/>
      <c r="J704" s="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21">
      <c r="A705" s="4"/>
      <c r="B705" s="117"/>
      <c r="C705" s="117"/>
      <c r="D705" s="10"/>
      <c r="E705" s="10"/>
      <c r="F705" s="10"/>
      <c r="G705" s="10"/>
      <c r="H705" s="10"/>
      <c r="I705" s="10"/>
      <c r="J705" s="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21">
      <c r="A706" s="4"/>
      <c r="B706" s="117"/>
      <c r="C706" s="117"/>
      <c r="D706" s="10"/>
      <c r="E706" s="10"/>
      <c r="F706" s="10"/>
      <c r="G706" s="10"/>
      <c r="H706" s="10"/>
      <c r="I706" s="10"/>
      <c r="J706" s="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21">
      <c r="A707" s="4"/>
      <c r="B707" s="117"/>
      <c r="C707" s="117"/>
      <c r="D707" s="10"/>
      <c r="E707" s="10"/>
      <c r="F707" s="10"/>
      <c r="G707" s="10"/>
      <c r="H707" s="10"/>
      <c r="I707" s="10"/>
      <c r="J707" s="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21">
      <c r="A708" s="4"/>
      <c r="B708" s="117"/>
      <c r="C708" s="117"/>
      <c r="D708" s="10"/>
      <c r="E708" s="10"/>
      <c r="F708" s="10"/>
      <c r="G708" s="10"/>
      <c r="H708" s="10"/>
      <c r="I708" s="10"/>
      <c r="J708" s="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21">
      <c r="A709" s="4"/>
      <c r="B709" s="117"/>
      <c r="C709" s="117"/>
      <c r="D709" s="10"/>
      <c r="E709" s="10"/>
      <c r="F709" s="10"/>
      <c r="G709" s="10"/>
      <c r="H709" s="10"/>
      <c r="I709" s="10"/>
      <c r="J709" s="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21">
      <c r="A710" s="4"/>
      <c r="B710" s="117"/>
      <c r="C710" s="117"/>
      <c r="D710" s="10"/>
      <c r="E710" s="10"/>
      <c r="F710" s="10"/>
      <c r="G710" s="10"/>
      <c r="H710" s="10"/>
      <c r="I710" s="10"/>
      <c r="J710" s="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21">
      <c r="A711" s="4"/>
      <c r="B711" s="117"/>
      <c r="C711" s="117"/>
      <c r="D711" s="10"/>
      <c r="E711" s="10"/>
      <c r="F711" s="10"/>
      <c r="G711" s="10"/>
      <c r="H711" s="10"/>
      <c r="I711" s="10"/>
      <c r="J711" s="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21">
      <c r="A712" s="4"/>
      <c r="B712" s="117"/>
      <c r="C712" s="117"/>
      <c r="D712" s="10"/>
      <c r="E712" s="10"/>
      <c r="F712" s="10"/>
      <c r="G712" s="10"/>
      <c r="H712" s="10"/>
      <c r="I712" s="10"/>
      <c r="J712" s="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21">
      <c r="A713" s="4"/>
      <c r="B713" s="117"/>
      <c r="C713" s="117"/>
      <c r="D713" s="10"/>
      <c r="E713" s="10"/>
      <c r="F713" s="10"/>
      <c r="G713" s="10"/>
      <c r="H713" s="10"/>
      <c r="I713" s="10"/>
      <c r="J713" s="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21">
      <c r="A714" s="4"/>
      <c r="B714" s="117"/>
      <c r="C714" s="117"/>
      <c r="D714" s="10"/>
      <c r="E714" s="10"/>
      <c r="F714" s="10"/>
      <c r="G714" s="10"/>
      <c r="H714" s="10"/>
      <c r="I714" s="10"/>
      <c r="J714" s="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21">
      <c r="A715" s="4"/>
      <c r="B715" s="117"/>
      <c r="C715" s="117"/>
      <c r="D715" s="10"/>
      <c r="E715" s="10"/>
      <c r="F715" s="10"/>
      <c r="G715" s="10"/>
      <c r="H715" s="10"/>
      <c r="I715" s="10"/>
      <c r="J715" s="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21">
      <c r="A716" s="4"/>
      <c r="B716" s="117"/>
      <c r="C716" s="117"/>
      <c r="D716" s="10"/>
      <c r="E716" s="10"/>
      <c r="F716" s="10"/>
      <c r="G716" s="10"/>
      <c r="H716" s="10"/>
      <c r="I716" s="10"/>
      <c r="J716" s="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21">
      <c r="A717" s="4"/>
      <c r="B717" s="117"/>
      <c r="C717" s="117"/>
      <c r="D717" s="10"/>
      <c r="E717" s="10"/>
      <c r="F717" s="10"/>
      <c r="G717" s="10"/>
      <c r="H717" s="10"/>
      <c r="I717" s="10"/>
      <c r="J717" s="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21">
      <c r="A718" s="4"/>
      <c r="B718" s="117"/>
      <c r="C718" s="117"/>
      <c r="D718" s="10"/>
      <c r="E718" s="10"/>
      <c r="F718" s="10"/>
      <c r="G718" s="10"/>
      <c r="H718" s="10"/>
      <c r="I718" s="10"/>
      <c r="J718" s="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21">
      <c r="A719" s="4"/>
      <c r="B719" s="117"/>
      <c r="C719" s="117"/>
      <c r="D719" s="10"/>
      <c r="E719" s="10"/>
      <c r="F719" s="10"/>
      <c r="G719" s="10"/>
      <c r="H719" s="10"/>
      <c r="I719" s="10"/>
      <c r="J719" s="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21">
      <c r="A720" s="4"/>
      <c r="B720" s="117"/>
      <c r="C720" s="117"/>
      <c r="D720" s="10"/>
      <c r="E720" s="10"/>
      <c r="F720" s="10"/>
      <c r="G720" s="10"/>
      <c r="H720" s="10"/>
      <c r="I720" s="10"/>
      <c r="J720" s="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21">
      <c r="A721" s="4"/>
      <c r="B721" s="117"/>
      <c r="C721" s="117"/>
      <c r="D721" s="10"/>
      <c r="E721" s="10"/>
      <c r="F721" s="10"/>
      <c r="G721" s="10"/>
      <c r="H721" s="10"/>
      <c r="I721" s="10"/>
      <c r="J721" s="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21">
      <c r="A722" s="4"/>
      <c r="B722" s="117"/>
      <c r="C722" s="117"/>
      <c r="D722" s="10"/>
      <c r="E722" s="10"/>
      <c r="F722" s="10"/>
      <c r="G722" s="10"/>
      <c r="H722" s="10"/>
      <c r="I722" s="10"/>
      <c r="J722" s="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21">
      <c r="A723" s="4"/>
      <c r="B723" s="117"/>
      <c r="C723" s="117"/>
      <c r="D723" s="10"/>
      <c r="E723" s="10"/>
      <c r="F723" s="10"/>
      <c r="G723" s="10"/>
      <c r="H723" s="10"/>
      <c r="I723" s="10"/>
      <c r="J723" s="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21">
      <c r="A724" s="4"/>
      <c r="B724" s="117"/>
      <c r="C724" s="117"/>
      <c r="D724" s="10"/>
      <c r="E724" s="10"/>
      <c r="F724" s="10"/>
      <c r="G724" s="10"/>
      <c r="H724" s="10"/>
      <c r="I724" s="10"/>
      <c r="J724" s="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21">
      <c r="A725" s="4"/>
      <c r="B725" s="117"/>
      <c r="C725" s="117"/>
      <c r="D725" s="10"/>
      <c r="E725" s="10"/>
      <c r="F725" s="10"/>
      <c r="G725" s="10"/>
      <c r="H725" s="10"/>
      <c r="I725" s="10"/>
      <c r="J725" s="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21">
      <c r="A726" s="4"/>
      <c r="B726" s="117"/>
      <c r="C726" s="117"/>
      <c r="D726" s="10"/>
      <c r="E726" s="10"/>
      <c r="F726" s="10"/>
      <c r="G726" s="10"/>
      <c r="H726" s="10"/>
      <c r="I726" s="10"/>
      <c r="J726" s="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21">
      <c r="A727" s="4"/>
      <c r="B727" s="117"/>
      <c r="C727" s="117"/>
      <c r="D727" s="10"/>
      <c r="E727" s="10"/>
      <c r="F727" s="10"/>
      <c r="G727" s="10"/>
      <c r="H727" s="10"/>
      <c r="I727" s="10"/>
      <c r="J727" s="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21">
      <c r="A728" s="4"/>
      <c r="B728" s="117"/>
      <c r="C728" s="117"/>
      <c r="D728" s="10"/>
      <c r="E728" s="10"/>
      <c r="F728" s="10"/>
      <c r="G728" s="10"/>
      <c r="H728" s="10"/>
      <c r="I728" s="10"/>
      <c r="J728" s="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21">
      <c r="A729" s="4"/>
      <c r="B729" s="117"/>
      <c r="C729" s="117"/>
      <c r="D729" s="10"/>
      <c r="E729" s="10"/>
      <c r="F729" s="10"/>
      <c r="G729" s="10"/>
      <c r="H729" s="10"/>
      <c r="I729" s="10"/>
      <c r="J729" s="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21">
      <c r="A730" s="4"/>
      <c r="B730" s="117"/>
      <c r="C730" s="117"/>
      <c r="D730" s="10"/>
      <c r="E730" s="10"/>
      <c r="F730" s="10"/>
      <c r="G730" s="10"/>
      <c r="H730" s="10"/>
      <c r="I730" s="10"/>
      <c r="J730" s="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21">
      <c r="A731" s="4"/>
      <c r="B731" s="117"/>
      <c r="C731" s="117"/>
      <c r="D731" s="10"/>
      <c r="E731" s="10"/>
      <c r="F731" s="10"/>
      <c r="G731" s="10"/>
      <c r="H731" s="10"/>
      <c r="I731" s="10"/>
      <c r="J731" s="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21">
      <c r="A732" s="4"/>
      <c r="B732" s="117"/>
      <c r="C732" s="117"/>
      <c r="D732" s="10"/>
      <c r="E732" s="10"/>
      <c r="F732" s="10"/>
      <c r="G732" s="10"/>
      <c r="H732" s="10"/>
      <c r="I732" s="10"/>
      <c r="J732" s="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21">
      <c r="A733" s="4"/>
      <c r="B733" s="117"/>
      <c r="C733" s="117"/>
      <c r="D733" s="10"/>
      <c r="E733" s="10"/>
      <c r="F733" s="10"/>
      <c r="G733" s="10"/>
      <c r="H733" s="10"/>
      <c r="I733" s="10"/>
      <c r="J733" s="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21">
      <c r="A734" s="4"/>
      <c r="B734" s="117"/>
      <c r="C734" s="117"/>
      <c r="D734" s="10"/>
      <c r="E734" s="10"/>
      <c r="F734" s="10"/>
      <c r="G734" s="10"/>
      <c r="H734" s="10"/>
      <c r="I734" s="10"/>
      <c r="J734" s="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21">
      <c r="A735" s="4"/>
      <c r="B735" s="117"/>
      <c r="C735" s="117"/>
      <c r="D735" s="10"/>
      <c r="E735" s="10"/>
      <c r="F735" s="10"/>
      <c r="G735" s="10"/>
      <c r="H735" s="10"/>
      <c r="I735" s="10"/>
      <c r="J735" s="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21">
      <c r="A736" s="4"/>
      <c r="B736" s="117"/>
      <c r="C736" s="117"/>
      <c r="D736" s="10"/>
      <c r="E736" s="10"/>
      <c r="F736" s="10"/>
      <c r="G736" s="10"/>
      <c r="H736" s="10"/>
      <c r="I736" s="10"/>
      <c r="J736" s="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21">
      <c r="A737" s="4"/>
      <c r="B737" s="117"/>
      <c r="C737" s="117"/>
      <c r="D737" s="10"/>
      <c r="E737" s="10"/>
      <c r="F737" s="10"/>
      <c r="G737" s="10"/>
      <c r="H737" s="10"/>
      <c r="I737" s="10"/>
      <c r="J737" s="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21">
      <c r="A738" s="4"/>
      <c r="B738" s="117"/>
      <c r="C738" s="117"/>
      <c r="D738" s="10"/>
      <c r="E738" s="10"/>
      <c r="F738" s="10"/>
      <c r="G738" s="10"/>
      <c r="H738" s="10"/>
      <c r="I738" s="10"/>
      <c r="J738" s="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21">
      <c r="A739" s="4"/>
      <c r="B739" s="117"/>
      <c r="C739" s="117"/>
      <c r="D739" s="10"/>
      <c r="E739" s="10"/>
      <c r="F739" s="10"/>
      <c r="G739" s="10"/>
      <c r="H739" s="10"/>
      <c r="I739" s="10"/>
      <c r="J739" s="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21">
      <c r="A740" s="4"/>
      <c r="B740" s="117"/>
      <c r="C740" s="117"/>
      <c r="D740" s="10"/>
      <c r="E740" s="10"/>
      <c r="F740" s="10"/>
      <c r="G740" s="10"/>
      <c r="H740" s="10"/>
      <c r="I740" s="10"/>
      <c r="J740" s="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21">
      <c r="A741" s="4"/>
      <c r="B741" s="117"/>
      <c r="C741" s="117"/>
      <c r="D741" s="10"/>
      <c r="E741" s="10"/>
      <c r="F741" s="10"/>
      <c r="G741" s="10"/>
      <c r="H741" s="10"/>
      <c r="I741" s="10"/>
      <c r="J741" s="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21">
      <c r="A742" s="4"/>
      <c r="B742" s="117"/>
      <c r="C742" s="117"/>
      <c r="D742" s="10"/>
      <c r="E742" s="10"/>
      <c r="F742" s="10"/>
      <c r="G742" s="10"/>
      <c r="H742" s="10"/>
      <c r="I742" s="10"/>
      <c r="J742" s="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21">
      <c r="A743" s="4"/>
      <c r="B743" s="117"/>
      <c r="C743" s="117"/>
      <c r="D743" s="10"/>
      <c r="E743" s="10"/>
      <c r="F743" s="10"/>
      <c r="G743" s="10"/>
      <c r="H743" s="10"/>
      <c r="I743" s="10"/>
      <c r="J743" s="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21">
      <c r="A744" s="4"/>
      <c r="B744" s="117"/>
      <c r="C744" s="117"/>
      <c r="D744" s="10"/>
      <c r="E744" s="10"/>
      <c r="F744" s="10"/>
      <c r="G744" s="10"/>
      <c r="H744" s="10"/>
      <c r="I744" s="10"/>
      <c r="J744" s="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21">
      <c r="A745" s="4"/>
      <c r="B745" s="117"/>
      <c r="C745" s="117"/>
      <c r="D745" s="10"/>
      <c r="E745" s="10"/>
      <c r="F745" s="10"/>
      <c r="G745" s="10"/>
      <c r="H745" s="10"/>
      <c r="I745" s="10"/>
      <c r="J745" s="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21">
      <c r="A746" s="4"/>
      <c r="B746" s="117"/>
      <c r="C746" s="117"/>
      <c r="D746" s="10"/>
      <c r="E746" s="10"/>
      <c r="F746" s="10"/>
      <c r="G746" s="10"/>
      <c r="H746" s="10"/>
      <c r="I746" s="10"/>
      <c r="J746" s="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21">
      <c r="A747" s="4"/>
      <c r="B747" s="117"/>
      <c r="C747" s="117"/>
      <c r="D747" s="10"/>
      <c r="E747" s="10"/>
      <c r="F747" s="10"/>
      <c r="G747" s="10"/>
      <c r="H747" s="10"/>
      <c r="I747" s="10"/>
      <c r="J747" s="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21">
      <c r="A748" s="4"/>
      <c r="B748" s="117"/>
      <c r="C748" s="117"/>
      <c r="D748" s="10"/>
      <c r="E748" s="10"/>
      <c r="F748" s="10"/>
      <c r="G748" s="10"/>
      <c r="H748" s="10"/>
      <c r="I748" s="10"/>
      <c r="J748" s="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21">
      <c r="A749" s="4"/>
      <c r="B749" s="117"/>
      <c r="C749" s="117"/>
      <c r="D749" s="10"/>
      <c r="E749" s="10"/>
      <c r="F749" s="10"/>
      <c r="G749" s="10"/>
      <c r="H749" s="10"/>
      <c r="I749" s="10"/>
      <c r="J749" s="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21">
      <c r="A750" s="4"/>
      <c r="B750" s="117"/>
      <c r="C750" s="117"/>
      <c r="D750" s="10"/>
      <c r="E750" s="10"/>
      <c r="F750" s="10"/>
      <c r="G750" s="10"/>
      <c r="H750" s="10"/>
      <c r="I750" s="10"/>
      <c r="J750" s="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21">
      <c r="A751" s="4"/>
      <c r="B751" s="117"/>
      <c r="C751" s="117"/>
      <c r="D751" s="10"/>
      <c r="E751" s="10"/>
      <c r="F751" s="10"/>
      <c r="G751" s="10"/>
      <c r="H751" s="10"/>
      <c r="I751" s="10"/>
      <c r="J751" s="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21">
      <c r="A752" s="4"/>
      <c r="B752" s="117"/>
      <c r="C752" s="117"/>
      <c r="D752" s="10"/>
      <c r="E752" s="10"/>
      <c r="F752" s="10"/>
      <c r="G752" s="10"/>
      <c r="H752" s="10"/>
      <c r="I752" s="10"/>
      <c r="J752" s="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21">
      <c r="A753" s="4"/>
      <c r="B753" s="117"/>
      <c r="C753" s="117"/>
      <c r="D753" s="10"/>
      <c r="E753" s="10"/>
      <c r="F753" s="10"/>
      <c r="G753" s="10"/>
      <c r="H753" s="10"/>
      <c r="I753" s="10"/>
      <c r="J753" s="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21">
      <c r="A754" s="4"/>
      <c r="B754" s="117"/>
      <c r="C754" s="117"/>
      <c r="D754" s="10"/>
      <c r="E754" s="10"/>
      <c r="F754" s="10"/>
      <c r="G754" s="10"/>
      <c r="H754" s="10"/>
      <c r="I754" s="10"/>
      <c r="J754" s="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21">
      <c r="A755" s="4"/>
      <c r="B755" s="117"/>
      <c r="C755" s="117"/>
      <c r="D755" s="10"/>
      <c r="E755" s="10"/>
      <c r="F755" s="10"/>
      <c r="G755" s="10"/>
      <c r="H755" s="10"/>
      <c r="I755" s="10"/>
      <c r="J755" s="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21">
      <c r="A756" s="4"/>
      <c r="B756" s="117"/>
      <c r="C756" s="117"/>
      <c r="D756" s="10"/>
      <c r="E756" s="10"/>
      <c r="F756" s="10"/>
      <c r="G756" s="10"/>
      <c r="H756" s="10"/>
      <c r="I756" s="10"/>
      <c r="J756" s="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21">
      <c r="A757" s="4"/>
      <c r="B757" s="117"/>
      <c r="C757" s="117"/>
      <c r="D757" s="10"/>
      <c r="E757" s="10"/>
      <c r="F757" s="10"/>
      <c r="G757" s="10"/>
      <c r="H757" s="10"/>
      <c r="I757" s="10"/>
      <c r="J757" s="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21">
      <c r="A758" s="4"/>
      <c r="B758" s="117"/>
      <c r="C758" s="117"/>
      <c r="D758" s="10"/>
      <c r="E758" s="10"/>
      <c r="F758" s="10"/>
      <c r="G758" s="10"/>
      <c r="H758" s="10"/>
      <c r="I758" s="10"/>
      <c r="J758" s="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21">
      <c r="A759" s="4"/>
      <c r="B759" s="117"/>
      <c r="C759" s="117"/>
      <c r="D759" s="10"/>
      <c r="E759" s="10"/>
      <c r="F759" s="10"/>
      <c r="G759" s="10"/>
      <c r="H759" s="10"/>
      <c r="I759" s="10"/>
      <c r="J759" s="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21">
      <c r="A760" s="4"/>
      <c r="B760" s="117"/>
      <c r="C760" s="117"/>
      <c r="D760" s="10"/>
      <c r="E760" s="10"/>
      <c r="F760" s="10"/>
      <c r="G760" s="10"/>
      <c r="H760" s="10"/>
      <c r="I760" s="10"/>
      <c r="J760" s="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21">
      <c r="A761" s="4"/>
      <c r="B761" s="117"/>
      <c r="C761" s="117"/>
      <c r="D761" s="10"/>
      <c r="E761" s="10"/>
      <c r="F761" s="10"/>
      <c r="G761" s="10"/>
      <c r="H761" s="10"/>
      <c r="I761" s="10"/>
      <c r="J761" s="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21">
      <c r="A762" s="4"/>
      <c r="B762" s="117"/>
      <c r="C762" s="117"/>
      <c r="D762" s="10"/>
      <c r="E762" s="10"/>
      <c r="F762" s="10"/>
      <c r="G762" s="10"/>
      <c r="H762" s="10"/>
      <c r="I762" s="10"/>
      <c r="J762" s="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21">
      <c r="A763" s="4"/>
      <c r="B763" s="117"/>
      <c r="C763" s="117"/>
      <c r="D763" s="10"/>
      <c r="E763" s="10"/>
      <c r="F763" s="10"/>
      <c r="G763" s="10"/>
      <c r="H763" s="10"/>
      <c r="I763" s="10"/>
      <c r="J763" s="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21">
      <c r="A764" s="4"/>
      <c r="B764" s="117"/>
      <c r="C764" s="117"/>
      <c r="D764" s="10"/>
      <c r="E764" s="10"/>
      <c r="F764" s="10"/>
      <c r="G764" s="10"/>
      <c r="H764" s="10"/>
      <c r="I764" s="10"/>
      <c r="J764" s="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21">
      <c r="A765" s="4"/>
      <c r="B765" s="117"/>
      <c r="C765" s="117"/>
      <c r="D765" s="10"/>
      <c r="E765" s="10"/>
      <c r="F765" s="10"/>
      <c r="G765" s="10"/>
      <c r="H765" s="10"/>
      <c r="I765" s="10"/>
      <c r="J765" s="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21">
      <c r="A766" s="4"/>
      <c r="B766" s="117"/>
      <c r="C766" s="117"/>
      <c r="D766" s="10"/>
      <c r="E766" s="10"/>
      <c r="F766" s="10"/>
      <c r="G766" s="10"/>
      <c r="H766" s="10"/>
      <c r="I766" s="10"/>
      <c r="J766" s="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21">
      <c r="A767" s="4"/>
      <c r="B767" s="117"/>
      <c r="C767" s="117"/>
      <c r="D767" s="10"/>
      <c r="E767" s="10"/>
      <c r="F767" s="10"/>
      <c r="G767" s="10"/>
      <c r="H767" s="10"/>
      <c r="I767" s="10"/>
      <c r="J767" s="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21">
      <c r="A768" s="4"/>
      <c r="B768" s="117"/>
      <c r="C768" s="117"/>
      <c r="D768" s="10"/>
      <c r="E768" s="10"/>
      <c r="F768" s="10"/>
      <c r="G768" s="10"/>
      <c r="H768" s="10"/>
      <c r="I768" s="10"/>
      <c r="J768" s="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21">
      <c r="A769" s="4"/>
      <c r="B769" s="117"/>
      <c r="C769" s="117"/>
      <c r="D769" s="10"/>
      <c r="E769" s="10"/>
      <c r="F769" s="10"/>
      <c r="G769" s="10"/>
      <c r="H769" s="10"/>
      <c r="I769" s="10"/>
      <c r="J769" s="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21">
      <c r="A770" s="4"/>
      <c r="B770" s="117"/>
      <c r="C770" s="117"/>
      <c r="D770" s="10"/>
      <c r="E770" s="10"/>
      <c r="F770" s="10"/>
      <c r="G770" s="10"/>
      <c r="H770" s="10"/>
      <c r="I770" s="10"/>
      <c r="J770" s="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21">
      <c r="A771" s="4"/>
      <c r="B771" s="117"/>
      <c r="C771" s="117"/>
      <c r="D771" s="10"/>
      <c r="E771" s="10"/>
      <c r="F771" s="10"/>
      <c r="G771" s="10"/>
      <c r="H771" s="10"/>
      <c r="I771" s="10"/>
      <c r="J771" s="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21">
      <c r="A772" s="4"/>
      <c r="B772" s="117"/>
      <c r="C772" s="117"/>
      <c r="D772" s="10"/>
      <c r="E772" s="10"/>
      <c r="F772" s="10"/>
      <c r="G772" s="10"/>
      <c r="H772" s="10"/>
      <c r="I772" s="10"/>
      <c r="J772" s="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21">
      <c r="A773" s="4"/>
      <c r="B773" s="117"/>
      <c r="C773" s="117"/>
      <c r="D773" s="10"/>
      <c r="E773" s="10"/>
      <c r="F773" s="10"/>
      <c r="G773" s="10"/>
      <c r="H773" s="10"/>
      <c r="I773" s="10"/>
      <c r="J773" s="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21">
      <c r="A774" s="4"/>
      <c r="B774" s="117"/>
      <c r="C774" s="117"/>
      <c r="D774" s="10"/>
      <c r="E774" s="10"/>
      <c r="F774" s="10"/>
      <c r="G774" s="10"/>
      <c r="H774" s="10"/>
      <c r="I774" s="10"/>
      <c r="J774" s="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21">
      <c r="A775" s="4"/>
      <c r="B775" s="117"/>
      <c r="C775" s="117"/>
      <c r="D775" s="10"/>
      <c r="E775" s="10"/>
      <c r="F775" s="10"/>
      <c r="G775" s="10"/>
      <c r="H775" s="10"/>
      <c r="I775" s="10"/>
      <c r="J775" s="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21">
      <c r="A776" s="4"/>
      <c r="B776" s="117"/>
      <c r="C776" s="117"/>
      <c r="D776" s="10"/>
      <c r="E776" s="10"/>
      <c r="F776" s="10"/>
      <c r="G776" s="10"/>
      <c r="H776" s="10"/>
      <c r="I776" s="10"/>
      <c r="J776" s="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21">
      <c r="A777" s="4"/>
      <c r="B777" s="117"/>
      <c r="C777" s="117"/>
      <c r="D777" s="10"/>
      <c r="E777" s="10"/>
      <c r="F777" s="10"/>
      <c r="G777" s="10"/>
      <c r="H777" s="10"/>
      <c r="I777" s="10"/>
      <c r="J777" s="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21">
      <c r="A778" s="4"/>
      <c r="B778" s="117"/>
      <c r="C778" s="117"/>
      <c r="D778" s="10"/>
      <c r="E778" s="10"/>
      <c r="F778" s="10"/>
      <c r="G778" s="10"/>
      <c r="H778" s="10"/>
      <c r="I778" s="10"/>
      <c r="J778" s="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21">
      <c r="A779" s="4"/>
      <c r="B779" s="117"/>
      <c r="C779" s="117"/>
      <c r="D779" s="10"/>
      <c r="E779" s="10"/>
      <c r="F779" s="10"/>
      <c r="G779" s="10"/>
      <c r="H779" s="10"/>
      <c r="I779" s="10"/>
      <c r="J779" s="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21">
      <c r="A780" s="4"/>
      <c r="B780" s="117"/>
      <c r="C780" s="117"/>
      <c r="D780" s="10"/>
      <c r="E780" s="10"/>
      <c r="F780" s="10"/>
      <c r="G780" s="10"/>
      <c r="H780" s="10"/>
      <c r="I780" s="10"/>
      <c r="J780" s="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21">
      <c r="A781" s="4"/>
      <c r="B781" s="117"/>
      <c r="C781" s="117"/>
      <c r="D781" s="10"/>
      <c r="E781" s="10"/>
      <c r="F781" s="10"/>
      <c r="G781" s="10"/>
      <c r="H781" s="10"/>
      <c r="I781" s="10"/>
      <c r="J781" s="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21">
      <c r="A782" s="4"/>
      <c r="B782" s="117"/>
      <c r="C782" s="117"/>
      <c r="D782" s="10"/>
      <c r="E782" s="10"/>
      <c r="F782" s="10"/>
      <c r="G782" s="10"/>
      <c r="H782" s="10"/>
      <c r="I782" s="10"/>
      <c r="J782" s="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21">
      <c r="A783" s="4"/>
      <c r="B783" s="117"/>
      <c r="C783" s="117"/>
      <c r="D783" s="10"/>
      <c r="E783" s="10"/>
      <c r="F783" s="10"/>
      <c r="G783" s="10"/>
      <c r="H783" s="10"/>
      <c r="I783" s="10"/>
      <c r="J783" s="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21">
      <c r="A784" s="4"/>
      <c r="B784" s="117"/>
      <c r="C784" s="117"/>
      <c r="D784" s="10"/>
      <c r="E784" s="10"/>
      <c r="F784" s="10"/>
      <c r="G784" s="10"/>
      <c r="H784" s="10"/>
      <c r="I784" s="10"/>
      <c r="J784" s="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21">
      <c r="A785" s="4"/>
      <c r="B785" s="117"/>
      <c r="C785" s="117"/>
      <c r="D785" s="10"/>
      <c r="E785" s="10"/>
      <c r="F785" s="10"/>
      <c r="G785" s="10"/>
      <c r="H785" s="10"/>
      <c r="I785" s="10"/>
      <c r="J785" s="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21">
      <c r="A786" s="4"/>
      <c r="B786" s="117"/>
      <c r="C786" s="117"/>
      <c r="D786" s="10"/>
      <c r="E786" s="10"/>
      <c r="F786" s="10"/>
      <c r="G786" s="10"/>
      <c r="H786" s="10"/>
      <c r="I786" s="10"/>
      <c r="J786" s="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21">
      <c r="A787" s="4"/>
      <c r="B787" s="117"/>
      <c r="C787" s="117"/>
      <c r="D787" s="10"/>
      <c r="E787" s="10"/>
      <c r="F787" s="10"/>
      <c r="G787" s="10"/>
      <c r="H787" s="10"/>
      <c r="I787" s="10"/>
      <c r="J787" s="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21">
      <c r="A788" s="4"/>
      <c r="B788" s="117"/>
      <c r="C788" s="117"/>
      <c r="D788" s="10"/>
      <c r="E788" s="10"/>
      <c r="F788" s="10"/>
      <c r="G788" s="10"/>
      <c r="H788" s="10"/>
      <c r="I788" s="10"/>
      <c r="J788" s="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21">
      <c r="A789" s="4"/>
      <c r="B789" s="117"/>
      <c r="C789" s="117"/>
      <c r="D789" s="10"/>
      <c r="E789" s="10"/>
      <c r="F789" s="10"/>
      <c r="G789" s="10"/>
      <c r="H789" s="10"/>
      <c r="I789" s="10"/>
      <c r="J789" s="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21">
      <c r="A790" s="4"/>
      <c r="B790" s="117"/>
      <c r="C790" s="117"/>
      <c r="D790" s="10"/>
      <c r="E790" s="10"/>
      <c r="F790" s="10"/>
      <c r="G790" s="10"/>
      <c r="H790" s="10"/>
      <c r="I790" s="10"/>
      <c r="J790" s="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21">
      <c r="A791" s="4"/>
      <c r="B791" s="117"/>
      <c r="C791" s="117"/>
      <c r="D791" s="10"/>
      <c r="E791" s="10"/>
      <c r="F791" s="10"/>
      <c r="G791" s="10"/>
      <c r="H791" s="10"/>
      <c r="I791" s="10"/>
      <c r="J791" s="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21">
      <c r="A792" s="4"/>
      <c r="B792" s="117"/>
      <c r="C792" s="117"/>
      <c r="D792" s="10"/>
      <c r="E792" s="10"/>
      <c r="F792" s="10"/>
      <c r="G792" s="10"/>
      <c r="H792" s="10"/>
      <c r="I792" s="10"/>
      <c r="J792" s="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21">
      <c r="A793" s="4"/>
      <c r="B793" s="117"/>
      <c r="C793" s="117"/>
      <c r="D793" s="10"/>
      <c r="E793" s="10"/>
      <c r="F793" s="10"/>
      <c r="G793" s="10"/>
      <c r="H793" s="10"/>
      <c r="I793" s="10"/>
      <c r="J793" s="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21">
      <c r="A794" s="4"/>
      <c r="B794" s="117"/>
      <c r="C794" s="117"/>
      <c r="D794" s="10"/>
      <c r="E794" s="10"/>
      <c r="F794" s="10"/>
      <c r="G794" s="10"/>
      <c r="H794" s="10"/>
      <c r="I794" s="10"/>
      <c r="J794" s="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21">
      <c r="A795" s="4"/>
      <c r="B795" s="117"/>
      <c r="C795" s="117"/>
      <c r="D795" s="10"/>
      <c r="E795" s="10"/>
      <c r="F795" s="10"/>
      <c r="G795" s="10"/>
      <c r="H795" s="10"/>
      <c r="I795" s="10"/>
      <c r="J795" s="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21">
      <c r="A796" s="4"/>
      <c r="B796" s="117"/>
      <c r="C796" s="117"/>
      <c r="D796" s="10"/>
      <c r="E796" s="10"/>
      <c r="F796" s="10"/>
      <c r="G796" s="10"/>
      <c r="H796" s="10"/>
      <c r="I796" s="10"/>
      <c r="J796" s="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21">
      <c r="A797" s="4"/>
      <c r="B797" s="117"/>
      <c r="C797" s="117"/>
      <c r="D797" s="10"/>
      <c r="E797" s="10"/>
      <c r="F797" s="10"/>
      <c r="G797" s="10"/>
      <c r="H797" s="10"/>
      <c r="I797" s="10"/>
      <c r="J797" s="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21">
      <c r="A798" s="4"/>
      <c r="B798" s="117"/>
      <c r="C798" s="117"/>
      <c r="D798" s="10"/>
      <c r="E798" s="10"/>
      <c r="F798" s="10"/>
      <c r="G798" s="10"/>
      <c r="H798" s="10"/>
      <c r="I798" s="10"/>
      <c r="J798" s="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21">
      <c r="A799" s="4"/>
      <c r="B799" s="117"/>
      <c r="C799" s="117"/>
      <c r="D799" s="10"/>
      <c r="E799" s="10"/>
      <c r="F799" s="10"/>
      <c r="G799" s="10"/>
      <c r="H799" s="10"/>
      <c r="I799" s="10"/>
      <c r="J799" s="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21">
      <c r="A800" s="4"/>
      <c r="B800" s="117"/>
      <c r="C800" s="117"/>
      <c r="D800" s="10"/>
      <c r="E800" s="10"/>
      <c r="F800" s="10"/>
      <c r="G800" s="10"/>
      <c r="H800" s="10"/>
      <c r="I800" s="10"/>
      <c r="J800" s="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21">
      <c r="A801" s="4"/>
      <c r="B801" s="117"/>
      <c r="C801" s="117"/>
      <c r="D801" s="10"/>
      <c r="E801" s="10"/>
      <c r="F801" s="10"/>
      <c r="G801" s="10"/>
      <c r="H801" s="10"/>
      <c r="I801" s="10"/>
      <c r="J801" s="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21">
      <c r="A802" s="4"/>
      <c r="B802" s="117"/>
      <c r="C802" s="117"/>
      <c r="D802" s="10"/>
      <c r="E802" s="10"/>
      <c r="F802" s="10"/>
      <c r="G802" s="10"/>
      <c r="H802" s="10"/>
      <c r="I802" s="10"/>
      <c r="J802" s="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21">
      <c r="A803" s="4"/>
      <c r="B803" s="117"/>
      <c r="C803" s="117"/>
      <c r="D803" s="10"/>
      <c r="E803" s="10"/>
      <c r="F803" s="10"/>
      <c r="G803" s="10"/>
      <c r="H803" s="10"/>
      <c r="I803" s="10"/>
      <c r="J803" s="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21">
      <c r="A804" s="4"/>
      <c r="B804" s="117"/>
      <c r="C804" s="117"/>
      <c r="D804" s="10"/>
      <c r="E804" s="10"/>
      <c r="F804" s="10"/>
      <c r="G804" s="10"/>
      <c r="H804" s="10"/>
      <c r="I804" s="10"/>
      <c r="J804" s="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21">
      <c r="A805" s="4"/>
      <c r="B805" s="117"/>
      <c r="C805" s="117"/>
      <c r="D805" s="10"/>
      <c r="E805" s="10"/>
      <c r="F805" s="10"/>
      <c r="G805" s="10"/>
      <c r="H805" s="10"/>
      <c r="I805" s="10"/>
      <c r="J805" s="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21">
      <c r="A806" s="4"/>
      <c r="B806" s="117"/>
      <c r="C806" s="117"/>
      <c r="D806" s="10"/>
      <c r="E806" s="10"/>
      <c r="F806" s="10"/>
      <c r="G806" s="10"/>
      <c r="H806" s="10"/>
      <c r="I806" s="10"/>
      <c r="J806" s="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21">
      <c r="A807" s="4"/>
      <c r="B807" s="117"/>
      <c r="C807" s="117"/>
      <c r="D807" s="10"/>
      <c r="E807" s="10"/>
      <c r="F807" s="10"/>
      <c r="G807" s="10"/>
      <c r="H807" s="10"/>
      <c r="I807" s="10"/>
      <c r="J807" s="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21">
      <c r="A808" s="4"/>
      <c r="B808" s="117"/>
      <c r="C808" s="117"/>
      <c r="D808" s="10"/>
      <c r="E808" s="10"/>
      <c r="F808" s="10"/>
      <c r="G808" s="10"/>
      <c r="H808" s="10"/>
      <c r="I808" s="10"/>
      <c r="J808" s="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21">
      <c r="A809" s="4"/>
      <c r="B809" s="117"/>
      <c r="C809" s="117"/>
      <c r="D809" s="10"/>
      <c r="E809" s="10"/>
      <c r="F809" s="10"/>
      <c r="G809" s="10"/>
      <c r="H809" s="10"/>
      <c r="I809" s="10"/>
      <c r="J809" s="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21">
      <c r="A810" s="4"/>
      <c r="B810" s="117"/>
      <c r="C810" s="117"/>
      <c r="D810" s="10"/>
      <c r="E810" s="10"/>
      <c r="F810" s="10"/>
      <c r="G810" s="10"/>
      <c r="H810" s="10"/>
      <c r="I810" s="10"/>
      <c r="J810" s="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21">
      <c r="A811" s="4"/>
      <c r="B811" s="117"/>
      <c r="C811" s="117"/>
      <c r="D811" s="10"/>
      <c r="E811" s="10"/>
      <c r="F811" s="10"/>
      <c r="G811" s="10"/>
      <c r="H811" s="10"/>
      <c r="I811" s="10"/>
      <c r="J811" s="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21">
      <c r="A812" s="4"/>
      <c r="B812" s="117"/>
      <c r="C812" s="117"/>
      <c r="D812" s="10"/>
      <c r="E812" s="10"/>
      <c r="F812" s="10"/>
      <c r="G812" s="10"/>
      <c r="H812" s="10"/>
      <c r="I812" s="10"/>
      <c r="J812" s="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21">
      <c r="A813" s="4"/>
      <c r="B813" s="117"/>
      <c r="C813" s="117"/>
      <c r="D813" s="10"/>
      <c r="E813" s="10"/>
      <c r="F813" s="10"/>
      <c r="G813" s="10"/>
      <c r="H813" s="10"/>
      <c r="I813" s="10"/>
      <c r="J813" s="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21">
      <c r="A814" s="4"/>
      <c r="B814" s="117"/>
      <c r="C814" s="117"/>
      <c r="D814" s="10"/>
      <c r="E814" s="10"/>
      <c r="F814" s="10"/>
      <c r="G814" s="10"/>
      <c r="H814" s="10"/>
      <c r="I814" s="10"/>
      <c r="J814" s="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21">
      <c r="A815" s="4"/>
      <c r="B815" s="117"/>
      <c r="C815" s="117"/>
      <c r="D815" s="10"/>
      <c r="E815" s="10"/>
      <c r="F815" s="10"/>
      <c r="G815" s="10"/>
      <c r="H815" s="10"/>
      <c r="I815" s="10"/>
      <c r="J815" s="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21">
      <c r="A816" s="4"/>
      <c r="B816" s="117"/>
      <c r="C816" s="117"/>
      <c r="D816" s="10"/>
      <c r="E816" s="10"/>
      <c r="F816" s="10"/>
      <c r="G816" s="10"/>
      <c r="H816" s="10"/>
      <c r="I816" s="10"/>
      <c r="J816" s="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21">
      <c r="A817" s="4"/>
      <c r="B817" s="117"/>
      <c r="C817" s="117"/>
      <c r="D817" s="10"/>
      <c r="E817" s="10"/>
      <c r="F817" s="10"/>
      <c r="G817" s="10"/>
      <c r="H817" s="10"/>
      <c r="I817" s="10"/>
      <c r="J817" s="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21">
      <c r="A818" s="4"/>
      <c r="B818" s="117"/>
      <c r="C818" s="117"/>
      <c r="D818" s="10"/>
      <c r="E818" s="10"/>
      <c r="F818" s="10"/>
      <c r="G818" s="10"/>
      <c r="H818" s="10"/>
      <c r="I818" s="10"/>
      <c r="J818" s="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21">
      <c r="A819" s="4"/>
      <c r="B819" s="117"/>
      <c r="C819" s="117"/>
      <c r="D819" s="10"/>
      <c r="E819" s="10"/>
      <c r="F819" s="10"/>
      <c r="G819" s="10"/>
      <c r="H819" s="10"/>
      <c r="I819" s="10"/>
      <c r="J819" s="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21">
      <c r="A820" s="4"/>
      <c r="B820" s="117"/>
      <c r="C820" s="117"/>
      <c r="D820" s="10"/>
      <c r="E820" s="10"/>
      <c r="F820" s="10"/>
      <c r="G820" s="10"/>
      <c r="H820" s="10"/>
      <c r="I820" s="10"/>
      <c r="J820" s="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21">
      <c r="A821" s="4"/>
      <c r="B821" s="117"/>
      <c r="C821" s="117"/>
      <c r="D821" s="10"/>
      <c r="E821" s="10"/>
      <c r="F821" s="10"/>
      <c r="G821" s="10"/>
      <c r="H821" s="10"/>
      <c r="I821" s="10"/>
      <c r="J821" s="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21">
      <c r="A822" s="4"/>
      <c r="B822" s="117"/>
      <c r="C822" s="117"/>
      <c r="D822" s="10"/>
      <c r="E822" s="10"/>
      <c r="F822" s="10"/>
      <c r="G822" s="10"/>
      <c r="H822" s="10"/>
      <c r="I822" s="10"/>
      <c r="J822" s="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21">
      <c r="A823" s="4"/>
      <c r="B823" s="117"/>
      <c r="C823" s="117"/>
      <c r="D823" s="10"/>
      <c r="E823" s="10"/>
      <c r="F823" s="10"/>
      <c r="G823" s="10"/>
      <c r="H823" s="10"/>
      <c r="I823" s="10"/>
      <c r="J823" s="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21">
      <c r="A824" s="4"/>
      <c r="B824" s="117"/>
      <c r="C824" s="117"/>
      <c r="D824" s="10"/>
      <c r="E824" s="10"/>
      <c r="F824" s="10"/>
      <c r="G824" s="10"/>
      <c r="H824" s="10"/>
      <c r="I824" s="10"/>
      <c r="J824" s="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21">
      <c r="A825" s="4"/>
      <c r="B825" s="117"/>
      <c r="C825" s="117"/>
      <c r="D825" s="10"/>
      <c r="E825" s="10"/>
      <c r="F825" s="10"/>
      <c r="G825" s="10"/>
      <c r="H825" s="10"/>
      <c r="I825" s="10"/>
      <c r="J825" s="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21">
      <c r="A826" s="4"/>
      <c r="B826" s="117"/>
      <c r="C826" s="117"/>
      <c r="D826" s="10"/>
      <c r="E826" s="10"/>
      <c r="F826" s="10"/>
      <c r="G826" s="10"/>
      <c r="H826" s="10"/>
      <c r="I826" s="10"/>
      <c r="J826" s="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21">
      <c r="A827" s="4"/>
      <c r="B827" s="117"/>
      <c r="C827" s="117"/>
      <c r="D827" s="10"/>
      <c r="E827" s="10"/>
      <c r="F827" s="10"/>
      <c r="G827" s="10"/>
      <c r="H827" s="10"/>
      <c r="I827" s="10"/>
      <c r="J827" s="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21">
      <c r="A828" s="4"/>
      <c r="B828" s="117"/>
      <c r="C828" s="117"/>
      <c r="D828" s="10"/>
      <c r="E828" s="10"/>
      <c r="F828" s="10"/>
      <c r="G828" s="10"/>
      <c r="H828" s="10"/>
      <c r="I828" s="10"/>
      <c r="J828" s="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21">
      <c r="A829" s="4"/>
      <c r="B829" s="117"/>
      <c r="C829" s="117"/>
      <c r="D829" s="10"/>
      <c r="E829" s="10"/>
      <c r="F829" s="10"/>
      <c r="G829" s="10"/>
      <c r="H829" s="10"/>
      <c r="I829" s="10"/>
      <c r="J829" s="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21">
      <c r="A830" s="4"/>
      <c r="B830" s="117"/>
      <c r="C830" s="117"/>
      <c r="D830" s="10"/>
      <c r="E830" s="10"/>
      <c r="F830" s="10"/>
      <c r="G830" s="10"/>
      <c r="H830" s="10"/>
      <c r="I830" s="10"/>
      <c r="J830" s="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21">
      <c r="A831" s="4"/>
      <c r="B831" s="117"/>
      <c r="C831" s="117"/>
      <c r="D831" s="10"/>
      <c r="E831" s="10"/>
      <c r="F831" s="10"/>
      <c r="G831" s="10"/>
      <c r="H831" s="10"/>
      <c r="I831" s="10"/>
      <c r="J831" s="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21">
      <c r="A832" s="4"/>
      <c r="B832" s="117"/>
      <c r="C832" s="117"/>
      <c r="D832" s="10"/>
      <c r="E832" s="10"/>
      <c r="F832" s="10"/>
      <c r="G832" s="10"/>
      <c r="H832" s="10"/>
      <c r="I832" s="10"/>
      <c r="J832" s="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21">
      <c r="A833" s="4"/>
      <c r="B833" s="117"/>
      <c r="C833" s="117"/>
      <c r="D833" s="10"/>
      <c r="E833" s="10"/>
      <c r="F833" s="10"/>
      <c r="G833" s="10"/>
      <c r="H833" s="10"/>
      <c r="I833" s="10"/>
      <c r="J833" s="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21">
      <c r="A834" s="4"/>
      <c r="B834" s="117"/>
      <c r="C834" s="117"/>
      <c r="D834" s="10"/>
      <c r="E834" s="10"/>
      <c r="F834" s="10"/>
      <c r="G834" s="10"/>
      <c r="H834" s="10"/>
      <c r="I834" s="10"/>
      <c r="J834" s="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21">
      <c r="A835" s="4"/>
      <c r="B835" s="117"/>
      <c r="C835" s="117"/>
      <c r="D835" s="10"/>
      <c r="E835" s="10"/>
      <c r="F835" s="10"/>
      <c r="G835" s="10"/>
      <c r="H835" s="10"/>
      <c r="I835" s="10"/>
      <c r="J835" s="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21">
      <c r="A836" s="4"/>
      <c r="B836" s="117"/>
      <c r="C836" s="117"/>
      <c r="D836" s="10"/>
      <c r="E836" s="10"/>
      <c r="F836" s="10"/>
      <c r="G836" s="10"/>
      <c r="H836" s="10"/>
      <c r="I836" s="10"/>
      <c r="J836" s="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21">
      <c r="A837" s="4"/>
      <c r="B837" s="117"/>
      <c r="C837" s="117"/>
      <c r="D837" s="10"/>
      <c r="E837" s="10"/>
      <c r="F837" s="10"/>
      <c r="G837" s="10"/>
      <c r="H837" s="10"/>
      <c r="I837" s="10"/>
      <c r="J837" s="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21">
      <c r="A838" s="4"/>
      <c r="B838" s="117"/>
      <c r="C838" s="117"/>
      <c r="D838" s="10"/>
      <c r="E838" s="10"/>
      <c r="F838" s="10"/>
      <c r="G838" s="10"/>
      <c r="H838" s="10"/>
      <c r="I838" s="10"/>
      <c r="J838" s="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21">
      <c r="A839" s="4"/>
      <c r="B839" s="117"/>
      <c r="C839" s="117"/>
      <c r="D839" s="10"/>
      <c r="E839" s="10"/>
      <c r="F839" s="10"/>
      <c r="G839" s="10"/>
      <c r="H839" s="10"/>
      <c r="I839" s="10"/>
      <c r="J839" s="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21">
      <c r="A840" s="4"/>
      <c r="B840" s="117"/>
      <c r="C840" s="117"/>
      <c r="D840" s="10"/>
      <c r="E840" s="10"/>
      <c r="F840" s="10"/>
      <c r="G840" s="10"/>
      <c r="H840" s="10"/>
      <c r="I840" s="10"/>
      <c r="J840" s="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21">
      <c r="A841" s="4"/>
      <c r="B841" s="117"/>
      <c r="C841" s="117"/>
      <c r="D841" s="10"/>
      <c r="E841" s="10"/>
      <c r="F841" s="10"/>
      <c r="G841" s="10"/>
      <c r="H841" s="10"/>
      <c r="I841" s="10"/>
      <c r="J841" s="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21">
      <c r="A842" s="4"/>
      <c r="B842" s="117"/>
      <c r="C842" s="117"/>
      <c r="D842" s="10"/>
      <c r="E842" s="10"/>
      <c r="F842" s="10"/>
      <c r="G842" s="10"/>
      <c r="H842" s="10"/>
      <c r="I842" s="10"/>
      <c r="J842" s="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21">
      <c r="A843" s="4"/>
      <c r="B843" s="117"/>
      <c r="C843" s="117"/>
      <c r="D843" s="10"/>
      <c r="E843" s="10"/>
      <c r="F843" s="10"/>
      <c r="G843" s="10"/>
      <c r="H843" s="10"/>
      <c r="I843" s="10"/>
      <c r="J843" s="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21">
      <c r="A844" s="4"/>
      <c r="B844" s="117"/>
      <c r="C844" s="117"/>
      <c r="D844" s="10"/>
      <c r="E844" s="10"/>
      <c r="F844" s="10"/>
      <c r="G844" s="10"/>
      <c r="H844" s="10"/>
      <c r="I844" s="10"/>
      <c r="J844" s="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21">
      <c r="A845" s="4"/>
      <c r="B845" s="117"/>
      <c r="C845" s="117"/>
      <c r="D845" s="10"/>
      <c r="E845" s="10"/>
      <c r="F845" s="10"/>
      <c r="G845" s="10"/>
      <c r="H845" s="10"/>
      <c r="I845" s="10"/>
      <c r="J845" s="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21">
      <c r="A846" s="4"/>
      <c r="B846" s="117"/>
      <c r="C846" s="117"/>
      <c r="D846" s="10"/>
      <c r="E846" s="10"/>
      <c r="F846" s="10"/>
      <c r="G846" s="10"/>
      <c r="H846" s="10"/>
      <c r="I846" s="10"/>
      <c r="J846" s="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21">
      <c r="A847" s="4"/>
      <c r="B847" s="117"/>
      <c r="C847" s="117"/>
      <c r="D847" s="10"/>
      <c r="E847" s="10"/>
      <c r="F847" s="10"/>
      <c r="G847" s="10"/>
      <c r="H847" s="10"/>
      <c r="I847" s="10"/>
      <c r="J847" s="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21">
      <c r="A848" s="4"/>
      <c r="B848" s="117"/>
      <c r="C848" s="117"/>
      <c r="D848" s="10"/>
      <c r="E848" s="10"/>
      <c r="F848" s="10"/>
      <c r="G848" s="10"/>
      <c r="H848" s="10"/>
      <c r="I848" s="10"/>
      <c r="J848" s="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21">
      <c r="A849" s="4"/>
      <c r="B849" s="117"/>
      <c r="C849" s="117"/>
      <c r="D849" s="10"/>
      <c r="E849" s="10"/>
      <c r="F849" s="10"/>
      <c r="G849" s="10"/>
      <c r="H849" s="10"/>
      <c r="I849" s="10"/>
      <c r="J849" s="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21">
      <c r="A850" s="4"/>
      <c r="B850" s="117"/>
      <c r="C850" s="117"/>
      <c r="D850" s="10"/>
      <c r="E850" s="10"/>
      <c r="F850" s="10"/>
      <c r="G850" s="10"/>
      <c r="H850" s="10"/>
      <c r="I850" s="10"/>
      <c r="J850" s="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21">
      <c r="A851" s="4"/>
      <c r="B851" s="117"/>
      <c r="C851" s="117"/>
      <c r="D851" s="10"/>
      <c r="E851" s="10"/>
      <c r="F851" s="10"/>
      <c r="G851" s="10"/>
      <c r="H851" s="10"/>
      <c r="I851" s="10"/>
      <c r="J851" s="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21">
      <c r="A852" s="4"/>
      <c r="B852" s="117"/>
      <c r="C852" s="117"/>
      <c r="D852" s="10"/>
      <c r="E852" s="10"/>
      <c r="F852" s="10"/>
      <c r="G852" s="10"/>
      <c r="H852" s="10"/>
      <c r="I852" s="10"/>
      <c r="J852" s="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21">
      <c r="A853" s="4"/>
      <c r="B853" s="117"/>
      <c r="C853" s="117"/>
      <c r="D853" s="10"/>
      <c r="E853" s="10"/>
      <c r="F853" s="10"/>
      <c r="G853" s="10"/>
      <c r="H853" s="10"/>
      <c r="I853" s="10"/>
      <c r="J853" s="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21">
      <c r="A854" s="4"/>
      <c r="B854" s="117"/>
      <c r="C854" s="117"/>
      <c r="D854" s="10"/>
      <c r="E854" s="10"/>
      <c r="F854" s="10"/>
      <c r="G854" s="10"/>
      <c r="H854" s="10"/>
      <c r="I854" s="10"/>
      <c r="J854" s="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21">
      <c r="A855" s="4"/>
      <c r="B855" s="117"/>
      <c r="C855" s="117"/>
      <c r="D855" s="10"/>
      <c r="E855" s="10"/>
      <c r="F855" s="10"/>
      <c r="G855" s="10"/>
      <c r="H855" s="10"/>
      <c r="I855" s="10"/>
      <c r="J855" s="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21">
      <c r="A856" s="4"/>
      <c r="B856" s="117"/>
      <c r="C856" s="117"/>
      <c r="D856" s="10"/>
      <c r="E856" s="10"/>
      <c r="F856" s="10"/>
      <c r="G856" s="10"/>
      <c r="H856" s="10"/>
      <c r="I856" s="10"/>
      <c r="J856" s="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21">
      <c r="A857" s="4"/>
      <c r="B857" s="117"/>
      <c r="C857" s="117"/>
      <c r="D857" s="10"/>
      <c r="E857" s="10"/>
      <c r="F857" s="10"/>
      <c r="G857" s="10"/>
      <c r="H857" s="10"/>
      <c r="I857" s="10"/>
      <c r="J857" s="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21">
      <c r="A858" s="4"/>
      <c r="B858" s="117"/>
      <c r="C858" s="117"/>
      <c r="D858" s="10"/>
      <c r="E858" s="10"/>
      <c r="F858" s="10"/>
      <c r="G858" s="10"/>
      <c r="H858" s="10"/>
      <c r="I858" s="10"/>
      <c r="J858" s="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21">
      <c r="A859" s="4"/>
      <c r="B859" s="117"/>
      <c r="C859" s="117"/>
      <c r="D859" s="10"/>
      <c r="E859" s="10"/>
      <c r="F859" s="10"/>
      <c r="G859" s="10"/>
      <c r="H859" s="10"/>
      <c r="I859" s="10"/>
      <c r="J859" s="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21">
      <c r="A860" s="4"/>
      <c r="B860" s="117"/>
      <c r="C860" s="117"/>
      <c r="D860" s="10"/>
      <c r="E860" s="10"/>
      <c r="F860" s="10"/>
      <c r="G860" s="10"/>
      <c r="H860" s="10"/>
      <c r="I860" s="10"/>
      <c r="J860" s="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21">
      <c r="A861" s="4"/>
      <c r="B861" s="117"/>
      <c r="C861" s="117"/>
      <c r="D861" s="10"/>
      <c r="E861" s="10"/>
      <c r="F861" s="10"/>
      <c r="G861" s="10"/>
      <c r="H861" s="10"/>
      <c r="I861" s="10"/>
      <c r="J861" s="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21">
      <c r="A862" s="4"/>
      <c r="B862" s="117"/>
      <c r="C862" s="117"/>
      <c r="D862" s="10"/>
      <c r="E862" s="10"/>
      <c r="F862" s="10"/>
      <c r="G862" s="10"/>
      <c r="H862" s="10"/>
      <c r="I862" s="10"/>
      <c r="J862" s="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21">
      <c r="A863" s="4"/>
      <c r="B863" s="117"/>
      <c r="C863" s="117"/>
      <c r="D863" s="10"/>
      <c r="E863" s="10"/>
      <c r="F863" s="10"/>
      <c r="G863" s="10"/>
      <c r="H863" s="10"/>
      <c r="I863" s="10"/>
      <c r="J863" s="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21">
      <c r="A864" s="4"/>
      <c r="B864" s="117"/>
      <c r="C864" s="117"/>
      <c r="D864" s="10"/>
      <c r="E864" s="10"/>
      <c r="F864" s="10"/>
      <c r="G864" s="10"/>
      <c r="H864" s="10"/>
      <c r="I864" s="10"/>
      <c r="J864" s="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21">
      <c r="A865" s="4"/>
      <c r="B865" s="117"/>
      <c r="C865" s="117"/>
      <c r="D865" s="10"/>
      <c r="E865" s="10"/>
      <c r="F865" s="10"/>
      <c r="G865" s="10"/>
      <c r="H865" s="10"/>
      <c r="I865" s="10"/>
      <c r="J865" s="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21">
      <c r="A866" s="4"/>
      <c r="B866" s="117"/>
      <c r="C866" s="117"/>
      <c r="D866" s="10"/>
      <c r="E866" s="10"/>
      <c r="F866" s="10"/>
      <c r="G866" s="10"/>
      <c r="H866" s="10"/>
      <c r="I866" s="10"/>
      <c r="J866" s="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21">
      <c r="A867" s="4"/>
      <c r="B867" s="117"/>
      <c r="C867" s="117"/>
      <c r="D867" s="10"/>
      <c r="E867" s="10"/>
      <c r="F867" s="10"/>
      <c r="G867" s="10"/>
      <c r="H867" s="10"/>
      <c r="I867" s="10"/>
      <c r="J867" s="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21">
      <c r="A868" s="4"/>
      <c r="B868" s="117"/>
      <c r="C868" s="117"/>
      <c r="D868" s="10"/>
      <c r="E868" s="10"/>
      <c r="F868" s="10"/>
      <c r="G868" s="10"/>
      <c r="H868" s="10"/>
      <c r="I868" s="10"/>
      <c r="J868" s="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21">
      <c r="A869" s="4"/>
      <c r="B869" s="117"/>
      <c r="C869" s="117"/>
      <c r="D869" s="10"/>
      <c r="E869" s="10"/>
      <c r="F869" s="10"/>
      <c r="G869" s="10"/>
      <c r="H869" s="10"/>
      <c r="I869" s="10"/>
      <c r="J869" s="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21">
      <c r="A870" s="4"/>
      <c r="B870" s="117"/>
      <c r="C870" s="117"/>
      <c r="D870" s="10"/>
      <c r="E870" s="10"/>
      <c r="F870" s="10"/>
      <c r="G870" s="10"/>
      <c r="H870" s="10"/>
      <c r="I870" s="10"/>
      <c r="J870" s="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21">
      <c r="A871" s="4"/>
      <c r="B871" s="117"/>
      <c r="C871" s="117"/>
      <c r="D871" s="10"/>
      <c r="E871" s="10"/>
      <c r="F871" s="10"/>
      <c r="G871" s="10"/>
      <c r="H871" s="10"/>
      <c r="I871" s="10"/>
      <c r="J871" s="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21">
      <c r="A872" s="4"/>
      <c r="B872" s="117"/>
      <c r="C872" s="117"/>
      <c r="D872" s="10"/>
      <c r="E872" s="10"/>
      <c r="F872" s="10"/>
      <c r="G872" s="10"/>
      <c r="H872" s="10"/>
      <c r="I872" s="10"/>
      <c r="J872" s="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21">
      <c r="A873" s="4"/>
      <c r="B873" s="117"/>
      <c r="C873" s="117"/>
      <c r="D873" s="10"/>
      <c r="E873" s="10"/>
      <c r="F873" s="10"/>
      <c r="G873" s="10"/>
      <c r="H873" s="10"/>
      <c r="I873" s="10"/>
      <c r="J873" s="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21">
      <c r="A874" s="4"/>
      <c r="B874" s="117"/>
      <c r="C874" s="117"/>
      <c r="D874" s="10"/>
      <c r="E874" s="10"/>
      <c r="F874" s="10"/>
      <c r="G874" s="10"/>
      <c r="H874" s="10"/>
      <c r="I874" s="10"/>
      <c r="J874" s="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21">
      <c r="A875" s="4"/>
      <c r="B875" s="117"/>
      <c r="C875" s="117"/>
      <c r="D875" s="10"/>
      <c r="E875" s="10"/>
      <c r="F875" s="10"/>
      <c r="G875" s="10"/>
      <c r="H875" s="10"/>
      <c r="I875" s="10"/>
      <c r="J875" s="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21">
      <c r="A876" s="4"/>
      <c r="B876" s="117"/>
      <c r="C876" s="117"/>
      <c r="D876" s="10"/>
      <c r="E876" s="10"/>
      <c r="F876" s="10"/>
      <c r="G876" s="10"/>
      <c r="H876" s="10"/>
      <c r="I876" s="10"/>
      <c r="J876" s="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21">
      <c r="A877" s="4"/>
      <c r="B877" s="117"/>
      <c r="C877" s="117"/>
      <c r="D877" s="10"/>
      <c r="E877" s="10"/>
      <c r="F877" s="10"/>
      <c r="G877" s="10"/>
      <c r="H877" s="10"/>
      <c r="I877" s="10"/>
      <c r="J877" s="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21">
      <c r="A878" s="4"/>
      <c r="B878" s="117"/>
      <c r="C878" s="117"/>
      <c r="D878" s="10"/>
      <c r="E878" s="10"/>
      <c r="F878" s="10"/>
      <c r="G878" s="10"/>
      <c r="H878" s="10"/>
      <c r="I878" s="10"/>
      <c r="J878" s="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21">
      <c r="A879" s="4"/>
      <c r="B879" s="117"/>
      <c r="C879" s="117"/>
      <c r="D879" s="10"/>
      <c r="E879" s="10"/>
      <c r="F879" s="10"/>
      <c r="G879" s="10"/>
      <c r="H879" s="10"/>
      <c r="I879" s="10"/>
      <c r="J879" s="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21">
      <c r="A880" s="4"/>
      <c r="B880" s="117"/>
      <c r="C880" s="117"/>
      <c r="D880" s="10"/>
      <c r="E880" s="10"/>
      <c r="F880" s="10"/>
      <c r="G880" s="10"/>
      <c r="H880" s="10"/>
      <c r="I880" s="10"/>
      <c r="J880" s="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21">
      <c r="A881" s="4"/>
      <c r="B881" s="117"/>
      <c r="C881" s="117"/>
      <c r="D881" s="10"/>
      <c r="E881" s="10"/>
      <c r="F881" s="10"/>
      <c r="G881" s="10"/>
      <c r="H881" s="10"/>
      <c r="I881" s="10"/>
      <c r="J881" s="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21">
      <c r="A882" s="4"/>
      <c r="B882" s="117"/>
      <c r="C882" s="117"/>
      <c r="D882" s="10"/>
      <c r="E882" s="10"/>
      <c r="F882" s="10"/>
      <c r="G882" s="10"/>
      <c r="H882" s="10"/>
      <c r="I882" s="10"/>
      <c r="J882" s="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21">
      <c r="A883" s="4"/>
      <c r="B883" s="117"/>
      <c r="C883" s="117"/>
      <c r="D883" s="10"/>
      <c r="E883" s="10"/>
      <c r="F883" s="10"/>
      <c r="G883" s="10"/>
      <c r="H883" s="10"/>
      <c r="I883" s="10"/>
      <c r="J883" s="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21">
      <c r="A884" s="4"/>
      <c r="B884" s="117"/>
      <c r="C884" s="117"/>
      <c r="D884" s="10"/>
      <c r="E884" s="10"/>
      <c r="F884" s="10"/>
      <c r="G884" s="10"/>
      <c r="H884" s="10"/>
      <c r="I884" s="10"/>
      <c r="J884" s="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21">
      <c r="A885" s="4"/>
      <c r="B885" s="117"/>
      <c r="C885" s="117"/>
      <c r="D885" s="10"/>
      <c r="E885" s="10"/>
      <c r="F885" s="10"/>
      <c r="G885" s="10"/>
      <c r="H885" s="10"/>
      <c r="I885" s="10"/>
      <c r="J885" s="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21">
      <c r="A886" s="4"/>
      <c r="B886" s="117"/>
      <c r="C886" s="117"/>
      <c r="D886" s="10"/>
      <c r="E886" s="10"/>
      <c r="F886" s="10"/>
      <c r="G886" s="10"/>
      <c r="H886" s="10"/>
      <c r="I886" s="10"/>
      <c r="J886" s="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21">
      <c r="A887" s="4"/>
      <c r="B887" s="117"/>
      <c r="C887" s="117"/>
      <c r="D887" s="10"/>
      <c r="E887" s="10"/>
      <c r="F887" s="10"/>
      <c r="G887" s="10"/>
      <c r="H887" s="10"/>
      <c r="I887" s="10"/>
      <c r="J887" s="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21">
      <c r="A888" s="4"/>
      <c r="B888" s="117"/>
      <c r="C888" s="117"/>
      <c r="D888" s="10"/>
      <c r="E888" s="10"/>
      <c r="F888" s="10"/>
      <c r="G888" s="10"/>
      <c r="H888" s="10"/>
      <c r="I888" s="10"/>
      <c r="J888" s="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21">
      <c r="A889" s="4"/>
      <c r="B889" s="117"/>
      <c r="C889" s="117"/>
      <c r="D889" s="10"/>
      <c r="E889" s="10"/>
      <c r="F889" s="10"/>
      <c r="G889" s="10"/>
      <c r="H889" s="10"/>
      <c r="I889" s="10"/>
      <c r="J889" s="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21">
      <c r="A890" s="4"/>
      <c r="B890" s="117"/>
      <c r="C890" s="117"/>
      <c r="D890" s="10"/>
      <c r="E890" s="10"/>
      <c r="F890" s="10"/>
      <c r="G890" s="10"/>
      <c r="H890" s="10"/>
      <c r="I890" s="10"/>
      <c r="J890" s="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21">
      <c r="A891" s="4"/>
      <c r="B891" s="117"/>
      <c r="C891" s="117"/>
      <c r="D891" s="10"/>
      <c r="E891" s="10"/>
      <c r="F891" s="10"/>
      <c r="G891" s="10"/>
      <c r="H891" s="10"/>
      <c r="I891" s="10"/>
      <c r="J891" s="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21">
      <c r="A892" s="4"/>
      <c r="B892" s="117"/>
      <c r="C892" s="117"/>
      <c r="D892" s="10"/>
      <c r="E892" s="10"/>
      <c r="F892" s="10"/>
      <c r="G892" s="10"/>
      <c r="H892" s="10"/>
      <c r="I892" s="10"/>
      <c r="J892" s="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21">
      <c r="A893" s="4"/>
      <c r="B893" s="117"/>
      <c r="C893" s="117"/>
      <c r="D893" s="10"/>
      <c r="E893" s="10"/>
      <c r="F893" s="10"/>
      <c r="G893" s="10"/>
      <c r="H893" s="10"/>
      <c r="I893" s="10"/>
      <c r="J893" s="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21">
      <c r="A894" s="4"/>
      <c r="B894" s="117"/>
      <c r="C894" s="117"/>
      <c r="D894" s="10"/>
      <c r="E894" s="10"/>
      <c r="F894" s="10"/>
      <c r="G894" s="10"/>
      <c r="H894" s="10"/>
      <c r="I894" s="10"/>
      <c r="J894" s="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21">
      <c r="A895" s="4"/>
      <c r="B895" s="117"/>
      <c r="C895" s="117"/>
      <c r="D895" s="10"/>
      <c r="E895" s="10"/>
      <c r="F895" s="10"/>
      <c r="G895" s="10"/>
      <c r="H895" s="10"/>
      <c r="I895" s="10"/>
      <c r="J895" s="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21">
      <c r="A896" s="4"/>
      <c r="B896" s="117"/>
      <c r="C896" s="117"/>
      <c r="D896" s="10"/>
      <c r="E896" s="10"/>
      <c r="F896" s="10"/>
      <c r="G896" s="10"/>
      <c r="H896" s="10"/>
      <c r="I896" s="10"/>
      <c r="J896" s="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21">
      <c r="A897" s="4"/>
      <c r="B897" s="117"/>
      <c r="C897" s="117"/>
      <c r="D897" s="10"/>
      <c r="E897" s="10"/>
      <c r="F897" s="10"/>
      <c r="G897" s="10"/>
      <c r="H897" s="10"/>
      <c r="I897" s="10"/>
      <c r="J897" s="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21">
      <c r="A898" s="4"/>
      <c r="B898" s="117"/>
      <c r="C898" s="117"/>
      <c r="D898" s="10"/>
      <c r="E898" s="10"/>
      <c r="F898" s="10"/>
      <c r="G898" s="10"/>
      <c r="H898" s="10"/>
      <c r="I898" s="10"/>
      <c r="J898" s="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21">
      <c r="A899" s="4"/>
      <c r="B899" s="117"/>
      <c r="C899" s="117"/>
      <c r="D899" s="10"/>
      <c r="E899" s="10"/>
      <c r="F899" s="10"/>
      <c r="G899" s="10"/>
      <c r="H899" s="10"/>
      <c r="I899" s="10"/>
      <c r="J899" s="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21">
      <c r="A900" s="4"/>
      <c r="B900" s="117"/>
      <c r="C900" s="117"/>
      <c r="D900" s="10"/>
      <c r="E900" s="10"/>
      <c r="F900" s="10"/>
      <c r="G900" s="10"/>
      <c r="H900" s="10"/>
      <c r="I900" s="10"/>
      <c r="J900" s="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21">
      <c r="A901" s="4"/>
      <c r="B901" s="117"/>
      <c r="C901" s="117"/>
      <c r="D901" s="10"/>
      <c r="E901" s="10"/>
      <c r="F901" s="10"/>
      <c r="G901" s="10"/>
      <c r="H901" s="10"/>
      <c r="I901" s="10"/>
      <c r="J901" s="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21">
      <c r="A902" s="4"/>
      <c r="B902" s="117"/>
      <c r="C902" s="117"/>
      <c r="D902" s="10"/>
      <c r="E902" s="10"/>
      <c r="F902" s="10"/>
      <c r="G902" s="10"/>
      <c r="H902" s="10"/>
      <c r="I902" s="10"/>
      <c r="J902" s="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21">
      <c r="A903" s="4"/>
      <c r="B903" s="117"/>
      <c r="C903" s="117"/>
      <c r="D903" s="10"/>
      <c r="E903" s="10"/>
      <c r="F903" s="10"/>
      <c r="G903" s="10"/>
      <c r="H903" s="10"/>
      <c r="I903" s="10"/>
      <c r="J903" s="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21">
      <c r="A904" s="4"/>
      <c r="B904" s="117"/>
      <c r="C904" s="117"/>
      <c r="D904" s="10"/>
      <c r="E904" s="10"/>
      <c r="F904" s="10"/>
      <c r="G904" s="10"/>
      <c r="H904" s="10"/>
      <c r="I904" s="10"/>
      <c r="J904" s="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21">
      <c r="A905" s="4"/>
      <c r="B905" s="117"/>
      <c r="C905" s="117"/>
      <c r="D905" s="10"/>
      <c r="E905" s="10"/>
      <c r="F905" s="10"/>
      <c r="G905" s="10"/>
      <c r="H905" s="10"/>
      <c r="I905" s="10"/>
      <c r="J905" s="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21">
      <c r="A906" s="4"/>
      <c r="B906" s="117"/>
      <c r="C906" s="117"/>
      <c r="D906" s="10"/>
      <c r="E906" s="10"/>
      <c r="F906" s="10"/>
      <c r="G906" s="10"/>
      <c r="H906" s="10"/>
      <c r="I906" s="10"/>
      <c r="J906" s="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21">
      <c r="A907" s="4"/>
      <c r="B907" s="117"/>
      <c r="C907" s="117"/>
      <c r="D907" s="10"/>
      <c r="E907" s="10"/>
      <c r="F907" s="10"/>
      <c r="G907" s="10"/>
      <c r="H907" s="10"/>
      <c r="I907" s="10"/>
      <c r="J907" s="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21">
      <c r="A908" s="4"/>
      <c r="B908" s="117"/>
      <c r="C908" s="117"/>
      <c r="D908" s="10"/>
      <c r="E908" s="10"/>
      <c r="F908" s="10"/>
      <c r="G908" s="10"/>
      <c r="H908" s="10"/>
      <c r="I908" s="10"/>
      <c r="J908" s="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21">
      <c r="A909" s="4"/>
      <c r="B909" s="117"/>
      <c r="C909" s="117"/>
      <c r="D909" s="10"/>
      <c r="E909" s="10"/>
      <c r="F909" s="10"/>
      <c r="G909" s="10"/>
      <c r="H909" s="10"/>
      <c r="I909" s="10"/>
      <c r="J909" s="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21">
      <c r="A910" s="4"/>
      <c r="B910" s="117"/>
      <c r="C910" s="117"/>
      <c r="D910" s="10"/>
      <c r="E910" s="10"/>
      <c r="F910" s="10"/>
      <c r="G910" s="10"/>
      <c r="H910" s="10"/>
      <c r="I910" s="10"/>
      <c r="J910" s="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21">
      <c r="A911" s="4"/>
      <c r="B911" s="117"/>
      <c r="C911" s="117"/>
      <c r="D911" s="10"/>
      <c r="E911" s="10"/>
      <c r="F911" s="10"/>
      <c r="G911" s="10"/>
      <c r="H911" s="10"/>
      <c r="I911" s="10"/>
      <c r="J911" s="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21">
      <c r="A912" s="4"/>
      <c r="B912" s="117"/>
      <c r="C912" s="117"/>
      <c r="D912" s="10"/>
      <c r="E912" s="10"/>
      <c r="F912" s="10"/>
      <c r="G912" s="10"/>
      <c r="H912" s="10"/>
      <c r="I912" s="10"/>
      <c r="J912" s="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21">
      <c r="A913" s="4"/>
      <c r="B913" s="117"/>
      <c r="C913" s="117"/>
      <c r="D913" s="10"/>
      <c r="E913" s="10"/>
      <c r="F913" s="10"/>
      <c r="G913" s="10"/>
      <c r="H913" s="10"/>
      <c r="I913" s="10"/>
      <c r="J913" s="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21">
      <c r="A914" s="4"/>
      <c r="B914" s="117"/>
      <c r="C914" s="117"/>
      <c r="D914" s="10"/>
      <c r="E914" s="10"/>
      <c r="F914" s="10"/>
      <c r="G914" s="10"/>
      <c r="H914" s="10"/>
      <c r="I914" s="10"/>
      <c r="J914" s="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21">
      <c r="A915" s="4"/>
      <c r="B915" s="117"/>
      <c r="C915" s="117"/>
      <c r="D915" s="10"/>
      <c r="E915" s="10"/>
      <c r="F915" s="10"/>
      <c r="G915" s="10"/>
      <c r="H915" s="10"/>
      <c r="I915" s="10"/>
      <c r="J915" s="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21">
      <c r="A916" s="4"/>
      <c r="B916" s="117"/>
      <c r="C916" s="117"/>
      <c r="D916" s="10"/>
      <c r="E916" s="10"/>
      <c r="F916" s="10"/>
      <c r="G916" s="10"/>
      <c r="H916" s="10"/>
      <c r="I916" s="10"/>
      <c r="J916" s="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21">
      <c r="A917" s="4"/>
      <c r="B917" s="117"/>
      <c r="C917" s="117"/>
      <c r="D917" s="10"/>
      <c r="E917" s="10"/>
      <c r="F917" s="10"/>
      <c r="G917" s="10"/>
      <c r="H917" s="10"/>
      <c r="I917" s="10"/>
      <c r="J917" s="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21">
      <c r="A918" s="4"/>
      <c r="B918" s="117"/>
      <c r="C918" s="117"/>
      <c r="D918" s="10"/>
      <c r="E918" s="10"/>
      <c r="F918" s="10"/>
      <c r="G918" s="10"/>
      <c r="H918" s="10"/>
      <c r="I918" s="10"/>
      <c r="J918" s="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21">
      <c r="A919" s="4"/>
      <c r="B919" s="117"/>
      <c r="C919" s="117"/>
      <c r="D919" s="10"/>
      <c r="E919" s="10"/>
      <c r="F919" s="10"/>
      <c r="G919" s="10"/>
      <c r="H919" s="10"/>
      <c r="I919" s="10"/>
      <c r="J919" s="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21">
      <c r="A920" s="4"/>
      <c r="B920" s="117"/>
      <c r="C920" s="117"/>
      <c r="D920" s="10"/>
      <c r="E920" s="10"/>
      <c r="F920" s="10"/>
      <c r="G920" s="10"/>
      <c r="H920" s="10"/>
      <c r="I920" s="10"/>
      <c r="J920" s="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21">
      <c r="A921" s="4"/>
      <c r="B921" s="117"/>
      <c r="C921" s="117"/>
      <c r="D921" s="10"/>
      <c r="E921" s="10"/>
      <c r="F921" s="10"/>
      <c r="G921" s="10"/>
      <c r="H921" s="10"/>
      <c r="I921" s="10"/>
      <c r="J921" s="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21">
      <c r="A922" s="4"/>
      <c r="B922" s="117"/>
      <c r="C922" s="117"/>
      <c r="D922" s="10"/>
      <c r="E922" s="10"/>
      <c r="F922" s="10"/>
      <c r="G922" s="10"/>
      <c r="H922" s="10"/>
      <c r="I922" s="10"/>
      <c r="J922" s="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21">
      <c r="A923" s="4"/>
      <c r="B923" s="117"/>
      <c r="C923" s="117"/>
      <c r="D923" s="10"/>
      <c r="E923" s="10"/>
      <c r="F923" s="10"/>
      <c r="G923" s="10"/>
      <c r="H923" s="10"/>
      <c r="I923" s="10"/>
      <c r="J923" s="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21">
      <c r="A924" s="4"/>
      <c r="B924" s="117"/>
      <c r="C924" s="117"/>
      <c r="D924" s="10"/>
      <c r="E924" s="10"/>
      <c r="F924" s="10"/>
      <c r="G924" s="10"/>
      <c r="H924" s="10"/>
      <c r="I924" s="10"/>
      <c r="J924" s="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21">
      <c r="A925" s="4"/>
      <c r="B925" s="117"/>
      <c r="C925" s="117"/>
      <c r="D925" s="10"/>
      <c r="E925" s="10"/>
      <c r="F925" s="10"/>
      <c r="G925" s="10"/>
      <c r="H925" s="10"/>
      <c r="I925" s="10"/>
      <c r="J925" s="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21">
      <c r="A926" s="4"/>
      <c r="B926" s="117"/>
      <c r="C926" s="117"/>
      <c r="D926" s="10"/>
      <c r="E926" s="10"/>
      <c r="F926" s="10"/>
      <c r="G926" s="10"/>
      <c r="H926" s="10"/>
      <c r="I926" s="10"/>
      <c r="J926" s="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21">
      <c r="A927" s="4"/>
      <c r="B927" s="117"/>
      <c r="C927" s="117"/>
      <c r="D927" s="10"/>
      <c r="E927" s="10"/>
      <c r="F927" s="10"/>
      <c r="G927" s="10"/>
      <c r="H927" s="10"/>
      <c r="I927" s="10"/>
      <c r="J927" s="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21">
      <c r="A928" s="4"/>
      <c r="B928" s="117"/>
      <c r="C928" s="117"/>
      <c r="D928" s="10"/>
      <c r="E928" s="10"/>
      <c r="F928" s="10"/>
      <c r="G928" s="10"/>
      <c r="H928" s="10"/>
      <c r="I928" s="10"/>
      <c r="J928" s="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21">
      <c r="A929" s="4"/>
      <c r="B929" s="117"/>
      <c r="C929" s="117"/>
      <c r="D929" s="10"/>
      <c r="E929" s="10"/>
      <c r="F929" s="10"/>
      <c r="G929" s="10"/>
      <c r="H929" s="10"/>
      <c r="I929" s="10"/>
      <c r="J929" s="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21">
      <c r="A930" s="4"/>
      <c r="B930" s="117"/>
      <c r="C930" s="117"/>
      <c r="D930" s="10"/>
      <c r="E930" s="10"/>
      <c r="F930" s="10"/>
      <c r="G930" s="10"/>
      <c r="H930" s="10"/>
      <c r="I930" s="10"/>
      <c r="J930" s="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21">
      <c r="A931" s="4"/>
      <c r="B931" s="117"/>
      <c r="C931" s="117"/>
      <c r="D931" s="10"/>
      <c r="E931" s="10"/>
      <c r="F931" s="10"/>
      <c r="G931" s="10"/>
      <c r="H931" s="10"/>
      <c r="I931" s="10"/>
      <c r="J931" s="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21">
      <c r="A932" s="4"/>
      <c r="B932" s="117"/>
      <c r="C932" s="117"/>
      <c r="D932" s="10"/>
      <c r="E932" s="10"/>
      <c r="F932" s="10"/>
      <c r="G932" s="10"/>
      <c r="H932" s="10"/>
      <c r="I932" s="10"/>
      <c r="J932" s="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21">
      <c r="A933" s="4"/>
      <c r="B933" s="117"/>
      <c r="C933" s="117"/>
      <c r="D933" s="10"/>
      <c r="E933" s="10"/>
      <c r="F933" s="10"/>
      <c r="G933" s="10"/>
      <c r="H933" s="10"/>
      <c r="I933" s="10"/>
      <c r="J933" s="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21">
      <c r="A934" s="4"/>
      <c r="B934" s="117"/>
      <c r="C934" s="117"/>
      <c r="D934" s="10"/>
      <c r="E934" s="10"/>
      <c r="F934" s="10"/>
      <c r="G934" s="10"/>
      <c r="H934" s="10"/>
      <c r="I934" s="10"/>
      <c r="J934" s="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21">
      <c r="A935" s="4"/>
      <c r="B935" s="117"/>
      <c r="C935" s="117"/>
      <c r="D935" s="10"/>
      <c r="E935" s="10"/>
      <c r="F935" s="10"/>
      <c r="G935" s="10"/>
      <c r="H935" s="10"/>
      <c r="I935" s="10"/>
      <c r="J935" s="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21">
      <c r="A936" s="4"/>
      <c r="B936" s="117"/>
      <c r="C936" s="117"/>
      <c r="D936" s="10"/>
      <c r="E936" s="10"/>
      <c r="F936" s="10"/>
      <c r="G936" s="10"/>
      <c r="H936" s="10"/>
      <c r="I936" s="10"/>
      <c r="J936" s="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21">
      <c r="A937" s="4"/>
      <c r="B937" s="117"/>
      <c r="C937" s="117"/>
      <c r="D937" s="10"/>
      <c r="E937" s="10"/>
      <c r="F937" s="10"/>
      <c r="G937" s="10"/>
      <c r="H937" s="10"/>
      <c r="I937" s="10"/>
      <c r="J937" s="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21">
      <c r="A938" s="4"/>
      <c r="B938" s="117"/>
      <c r="C938" s="117"/>
      <c r="D938" s="10"/>
      <c r="E938" s="10"/>
      <c r="F938" s="10"/>
      <c r="G938" s="10"/>
      <c r="H938" s="10"/>
      <c r="I938" s="10"/>
      <c r="J938" s="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21">
      <c r="A939" s="4"/>
      <c r="B939" s="117"/>
      <c r="C939" s="117"/>
      <c r="D939" s="10"/>
      <c r="E939" s="10"/>
      <c r="F939" s="10"/>
      <c r="G939" s="10"/>
      <c r="H939" s="10"/>
      <c r="I939" s="10"/>
      <c r="J939" s="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21">
      <c r="A940" s="4"/>
      <c r="B940" s="117"/>
      <c r="C940" s="117"/>
      <c r="D940" s="10"/>
      <c r="E940" s="10"/>
      <c r="F940" s="10"/>
      <c r="G940" s="10"/>
      <c r="H940" s="10"/>
      <c r="I940" s="10"/>
      <c r="J940" s="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21">
      <c r="A941" s="4"/>
      <c r="B941" s="117"/>
      <c r="C941" s="117"/>
      <c r="D941" s="10"/>
      <c r="E941" s="10"/>
      <c r="F941" s="10"/>
      <c r="G941" s="10"/>
      <c r="H941" s="10"/>
      <c r="I941" s="10"/>
      <c r="J941" s="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21">
      <c r="A942" s="4"/>
      <c r="B942" s="117"/>
      <c r="C942" s="117"/>
      <c r="D942" s="10"/>
      <c r="E942" s="10"/>
      <c r="F942" s="10"/>
      <c r="G942" s="10"/>
      <c r="H942" s="10"/>
      <c r="I942" s="10"/>
      <c r="J942" s="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21">
      <c r="A943" s="4"/>
      <c r="B943" s="117"/>
      <c r="C943" s="117"/>
      <c r="D943" s="10"/>
      <c r="E943" s="10"/>
      <c r="F943" s="10"/>
      <c r="G943" s="10"/>
      <c r="H943" s="10"/>
      <c r="I943" s="10"/>
      <c r="J943" s="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21">
      <c r="A944" s="4"/>
      <c r="B944" s="117"/>
      <c r="C944" s="117"/>
      <c r="D944" s="10"/>
      <c r="E944" s="10"/>
      <c r="F944" s="10"/>
      <c r="G944" s="10"/>
      <c r="H944" s="10"/>
      <c r="I944" s="10"/>
      <c r="J944" s="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21">
      <c r="A945" s="4"/>
      <c r="B945" s="117"/>
      <c r="C945" s="117"/>
      <c r="D945" s="10"/>
      <c r="E945" s="10"/>
      <c r="F945" s="10"/>
      <c r="G945" s="10"/>
      <c r="H945" s="10"/>
      <c r="I945" s="10"/>
      <c r="J945" s="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21">
      <c r="A946" s="4"/>
      <c r="B946" s="117"/>
      <c r="C946" s="117"/>
      <c r="D946" s="10"/>
      <c r="E946" s="10"/>
      <c r="F946" s="10"/>
      <c r="G946" s="10"/>
      <c r="H946" s="10"/>
      <c r="I946" s="10"/>
      <c r="J946" s="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21">
      <c r="A947" s="4"/>
      <c r="B947" s="117"/>
      <c r="C947" s="117"/>
      <c r="D947" s="10"/>
      <c r="E947" s="10"/>
      <c r="F947" s="10"/>
      <c r="G947" s="10"/>
      <c r="H947" s="10"/>
      <c r="I947" s="10"/>
      <c r="J947" s="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21">
      <c r="A948" s="4"/>
      <c r="B948" s="117"/>
      <c r="C948" s="117"/>
      <c r="D948" s="10"/>
      <c r="E948" s="10"/>
      <c r="F948" s="10"/>
      <c r="G948" s="10"/>
      <c r="H948" s="10"/>
      <c r="I948" s="10"/>
      <c r="J948" s="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21">
      <c r="A949" s="4"/>
      <c r="B949" s="117"/>
      <c r="C949" s="117"/>
      <c r="D949" s="10"/>
      <c r="E949" s="10"/>
      <c r="F949" s="10"/>
      <c r="G949" s="10"/>
      <c r="H949" s="10"/>
      <c r="I949" s="10"/>
      <c r="J949" s="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21">
      <c r="A950" s="4"/>
      <c r="B950" s="117"/>
      <c r="C950" s="117"/>
      <c r="D950" s="10"/>
      <c r="E950" s="10"/>
      <c r="F950" s="10"/>
      <c r="G950" s="10"/>
      <c r="H950" s="10"/>
      <c r="I950" s="10"/>
      <c r="J950" s="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21">
      <c r="A951" s="4"/>
      <c r="B951" s="117"/>
      <c r="C951" s="117"/>
      <c r="D951" s="10"/>
      <c r="E951" s="10"/>
      <c r="F951" s="10"/>
      <c r="G951" s="10"/>
      <c r="H951" s="10"/>
      <c r="I951" s="10"/>
      <c r="J951" s="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21">
      <c r="A952" s="4"/>
      <c r="B952" s="117"/>
      <c r="C952" s="117"/>
      <c r="D952" s="10"/>
      <c r="E952" s="10"/>
      <c r="F952" s="10"/>
      <c r="G952" s="10"/>
      <c r="H952" s="10"/>
      <c r="I952" s="10"/>
      <c r="J952" s="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21">
      <c r="A953" s="4"/>
      <c r="B953" s="117"/>
      <c r="C953" s="117"/>
      <c r="D953" s="10"/>
      <c r="E953" s="10"/>
      <c r="F953" s="10"/>
      <c r="G953" s="10"/>
      <c r="H953" s="10"/>
      <c r="I953" s="10"/>
      <c r="J953" s="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21">
      <c r="A954" s="4"/>
      <c r="B954" s="117"/>
      <c r="C954" s="117"/>
      <c r="D954" s="10"/>
      <c r="E954" s="10"/>
      <c r="F954" s="10"/>
      <c r="G954" s="10"/>
      <c r="H954" s="10"/>
      <c r="I954" s="10"/>
      <c r="J954" s="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21">
      <c r="A955" s="4"/>
      <c r="B955" s="117"/>
      <c r="C955" s="117"/>
      <c r="D955" s="10"/>
      <c r="E955" s="10"/>
      <c r="F955" s="10"/>
      <c r="G955" s="10"/>
      <c r="H955" s="10"/>
      <c r="I955" s="10"/>
      <c r="J955" s="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21">
      <c r="A956" s="4"/>
      <c r="B956" s="117"/>
      <c r="C956" s="117"/>
      <c r="D956" s="10"/>
      <c r="E956" s="10"/>
      <c r="F956" s="10"/>
      <c r="G956" s="10"/>
      <c r="H956" s="10"/>
      <c r="I956" s="10"/>
      <c r="J956" s="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21">
      <c r="A957" s="4"/>
      <c r="B957" s="117"/>
      <c r="C957" s="117"/>
      <c r="D957" s="10"/>
      <c r="E957" s="10"/>
      <c r="F957" s="10"/>
      <c r="G957" s="10"/>
      <c r="H957" s="10"/>
      <c r="I957" s="10"/>
      <c r="J957" s="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21">
      <c r="A958" s="4"/>
      <c r="B958" s="117"/>
      <c r="C958" s="117"/>
      <c r="D958" s="10"/>
      <c r="E958" s="10"/>
      <c r="F958" s="10"/>
      <c r="G958" s="10"/>
      <c r="H958" s="10"/>
      <c r="I958" s="10"/>
      <c r="J958" s="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21">
      <c r="A959" s="4"/>
      <c r="B959" s="117"/>
      <c r="C959" s="117"/>
      <c r="D959" s="10"/>
      <c r="E959" s="10"/>
      <c r="F959" s="10"/>
      <c r="G959" s="10"/>
      <c r="H959" s="10"/>
      <c r="I959" s="10"/>
      <c r="J959" s="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21">
      <c r="A960" s="4"/>
      <c r="B960" s="117"/>
      <c r="C960" s="117"/>
      <c r="D960" s="10"/>
      <c r="E960" s="10"/>
      <c r="F960" s="10"/>
      <c r="G960" s="10"/>
      <c r="H960" s="10"/>
      <c r="I960" s="10"/>
      <c r="J960" s="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21">
      <c r="A961" s="4"/>
      <c r="B961" s="117"/>
      <c r="C961" s="117"/>
      <c r="D961" s="10"/>
      <c r="E961" s="10"/>
      <c r="F961" s="10"/>
      <c r="G961" s="10"/>
      <c r="H961" s="10"/>
      <c r="I961" s="10"/>
      <c r="J961" s="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21">
      <c r="A962" s="4"/>
      <c r="B962" s="117"/>
      <c r="C962" s="117"/>
      <c r="D962" s="10"/>
      <c r="E962" s="10"/>
      <c r="F962" s="10"/>
      <c r="G962" s="10"/>
      <c r="H962" s="10"/>
      <c r="I962" s="10"/>
      <c r="J962" s="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21">
      <c r="A963" s="4"/>
      <c r="B963" s="117"/>
      <c r="C963" s="117"/>
      <c r="D963" s="10"/>
      <c r="E963" s="10"/>
      <c r="F963" s="10"/>
      <c r="G963" s="10"/>
      <c r="H963" s="10"/>
      <c r="I963" s="10"/>
      <c r="J963" s="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21">
      <c r="A964" s="4"/>
      <c r="B964" s="117"/>
      <c r="C964" s="117"/>
      <c r="D964" s="10"/>
      <c r="E964" s="10"/>
      <c r="F964" s="10"/>
      <c r="G964" s="10"/>
      <c r="H964" s="10"/>
      <c r="I964" s="10"/>
      <c r="J964" s="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21">
      <c r="A965" s="4"/>
      <c r="B965" s="117"/>
      <c r="C965" s="117"/>
      <c r="D965" s="10"/>
      <c r="E965" s="10"/>
      <c r="F965" s="10"/>
      <c r="G965" s="10"/>
      <c r="H965" s="10"/>
      <c r="I965" s="10"/>
      <c r="J965" s="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21">
      <c r="A966" s="4"/>
      <c r="B966" s="117"/>
      <c r="C966" s="117"/>
      <c r="D966" s="10"/>
      <c r="E966" s="10"/>
      <c r="F966" s="10"/>
      <c r="G966" s="10"/>
      <c r="H966" s="10"/>
      <c r="I966" s="10"/>
      <c r="J966" s="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21">
      <c r="A967" s="4"/>
      <c r="B967" s="117"/>
      <c r="C967" s="117"/>
      <c r="D967" s="10"/>
      <c r="E967" s="10"/>
      <c r="F967" s="10"/>
      <c r="G967" s="10"/>
      <c r="H967" s="10"/>
      <c r="I967" s="10"/>
      <c r="J967" s="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21">
      <c r="A968" s="4"/>
      <c r="B968" s="117"/>
      <c r="C968" s="117"/>
      <c r="D968" s="10"/>
      <c r="E968" s="10"/>
      <c r="F968" s="10"/>
      <c r="G968" s="10"/>
      <c r="H968" s="10"/>
      <c r="I968" s="10"/>
      <c r="J968" s="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21">
      <c r="A969" s="4"/>
      <c r="B969" s="117"/>
      <c r="C969" s="117"/>
      <c r="D969" s="10"/>
      <c r="E969" s="10"/>
      <c r="F969" s="10"/>
      <c r="G969" s="10"/>
      <c r="H969" s="10"/>
      <c r="I969" s="10"/>
      <c r="J969" s="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21">
      <c r="A970" s="4"/>
      <c r="B970" s="117"/>
      <c r="C970" s="117"/>
      <c r="D970" s="10"/>
      <c r="E970" s="10"/>
      <c r="F970" s="10"/>
      <c r="G970" s="10"/>
      <c r="H970" s="10"/>
      <c r="I970" s="10"/>
      <c r="J970" s="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21">
      <c r="A971" s="4"/>
      <c r="B971" s="117"/>
      <c r="C971" s="117"/>
      <c r="D971" s="10"/>
      <c r="E971" s="10"/>
      <c r="F971" s="10"/>
      <c r="G971" s="10"/>
      <c r="H971" s="10"/>
      <c r="I971" s="10"/>
      <c r="J971" s="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21">
      <c r="A972" s="4"/>
      <c r="B972" s="117"/>
      <c r="C972" s="117"/>
      <c r="D972" s="10"/>
      <c r="E972" s="10"/>
      <c r="F972" s="10"/>
      <c r="G972" s="10"/>
      <c r="H972" s="10"/>
      <c r="I972" s="10"/>
      <c r="J972" s="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21">
      <c r="A973" s="4"/>
      <c r="B973" s="117"/>
      <c r="C973" s="117"/>
      <c r="D973" s="10"/>
      <c r="E973" s="10"/>
      <c r="F973" s="10"/>
      <c r="G973" s="10"/>
      <c r="H973" s="10"/>
      <c r="I973" s="10"/>
      <c r="J973" s="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21">
      <c r="A974" s="4"/>
      <c r="B974" s="117"/>
      <c r="C974" s="117"/>
      <c r="D974" s="10"/>
      <c r="E974" s="10"/>
      <c r="F974" s="10"/>
      <c r="G974" s="10"/>
      <c r="H974" s="10"/>
      <c r="I974" s="10"/>
      <c r="J974" s="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21">
      <c r="A975" s="4"/>
      <c r="B975" s="117"/>
      <c r="C975" s="117"/>
      <c r="D975" s="10"/>
      <c r="E975" s="10"/>
      <c r="F975" s="10"/>
      <c r="G975" s="10"/>
      <c r="H975" s="10"/>
      <c r="I975" s="10"/>
      <c r="J975" s="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21">
      <c r="A976" s="4"/>
      <c r="B976" s="117"/>
      <c r="C976" s="117"/>
      <c r="D976" s="10"/>
      <c r="E976" s="10"/>
      <c r="F976" s="10"/>
      <c r="G976" s="10"/>
      <c r="H976" s="10"/>
      <c r="I976" s="10"/>
      <c r="J976" s="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21">
      <c r="A977" s="4"/>
      <c r="B977" s="117"/>
      <c r="C977" s="117"/>
      <c r="D977" s="10"/>
      <c r="E977" s="10"/>
      <c r="F977" s="10"/>
      <c r="G977" s="10"/>
      <c r="H977" s="10"/>
      <c r="I977" s="10"/>
      <c r="J977" s="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21">
      <c r="A978" s="4"/>
      <c r="B978" s="117"/>
      <c r="C978" s="117"/>
      <c r="D978" s="10"/>
      <c r="E978" s="10"/>
      <c r="F978" s="10"/>
      <c r="G978" s="10"/>
      <c r="H978" s="10"/>
      <c r="I978" s="10"/>
      <c r="J978" s="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21">
      <c r="A979" s="4"/>
      <c r="B979" s="117"/>
      <c r="C979" s="117"/>
      <c r="D979" s="10"/>
      <c r="E979" s="10"/>
      <c r="F979" s="10"/>
      <c r="G979" s="10"/>
      <c r="H979" s="10"/>
      <c r="I979" s="10"/>
      <c r="J979" s="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21">
      <c r="A980" s="4"/>
      <c r="B980" s="117"/>
      <c r="C980" s="117"/>
      <c r="D980" s="10"/>
      <c r="E980" s="10"/>
      <c r="F980" s="10"/>
      <c r="G980" s="10"/>
      <c r="H980" s="10"/>
      <c r="I980" s="10"/>
      <c r="J980" s="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21">
      <c r="A981" s="4"/>
      <c r="B981" s="117"/>
      <c r="C981" s="117"/>
      <c r="D981" s="10"/>
      <c r="E981" s="10"/>
      <c r="F981" s="10"/>
      <c r="G981" s="10"/>
      <c r="H981" s="10"/>
      <c r="I981" s="10"/>
      <c r="J981" s="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21">
      <c r="A982" s="4"/>
      <c r="B982" s="117"/>
      <c r="C982" s="117"/>
      <c r="D982" s="10"/>
      <c r="E982" s="10"/>
      <c r="F982" s="10"/>
      <c r="G982" s="10"/>
      <c r="H982" s="10"/>
      <c r="I982" s="10"/>
      <c r="J982" s="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21">
      <c r="A983" s="4"/>
      <c r="B983" s="117"/>
      <c r="C983" s="117"/>
      <c r="D983" s="10"/>
      <c r="E983" s="10"/>
      <c r="F983" s="10"/>
      <c r="G983" s="10"/>
      <c r="H983" s="10"/>
      <c r="I983" s="10"/>
      <c r="J983" s="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21">
      <c r="A984" s="4"/>
      <c r="B984" s="117"/>
      <c r="C984" s="117"/>
      <c r="D984" s="10"/>
      <c r="E984" s="10"/>
      <c r="F984" s="10"/>
      <c r="G984" s="10"/>
      <c r="H984" s="10"/>
      <c r="I984" s="10"/>
      <c r="J984" s="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21">
      <c r="A985" s="4"/>
      <c r="B985" s="117"/>
      <c r="C985" s="117"/>
      <c r="D985" s="10"/>
      <c r="E985" s="10"/>
      <c r="F985" s="10"/>
      <c r="G985" s="10"/>
      <c r="H985" s="10"/>
      <c r="I985" s="10"/>
      <c r="J985" s="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21">
      <c r="A986" s="4"/>
      <c r="B986" s="117"/>
      <c r="C986" s="117"/>
      <c r="D986" s="10"/>
      <c r="E986" s="10"/>
      <c r="F986" s="10"/>
      <c r="G986" s="10"/>
      <c r="H986" s="10"/>
      <c r="I986" s="10"/>
      <c r="J986" s="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21">
      <c r="A987" s="4"/>
      <c r="B987" s="117"/>
      <c r="C987" s="117"/>
      <c r="D987" s="10"/>
      <c r="E987" s="10"/>
      <c r="F987" s="10"/>
      <c r="G987" s="10"/>
      <c r="H987" s="10"/>
      <c r="I987" s="10"/>
      <c r="J987" s="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21">
      <c r="A988" s="4"/>
      <c r="B988" s="117"/>
      <c r="C988" s="117"/>
      <c r="D988" s="10"/>
      <c r="E988" s="10"/>
      <c r="F988" s="10"/>
      <c r="G988" s="10"/>
      <c r="H988" s="10"/>
      <c r="I988" s="10"/>
      <c r="J988" s="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21">
      <c r="A989" s="4"/>
      <c r="B989" s="117"/>
      <c r="C989" s="117"/>
      <c r="D989" s="10"/>
      <c r="E989" s="10"/>
      <c r="F989" s="10"/>
      <c r="G989" s="10"/>
      <c r="H989" s="10"/>
      <c r="I989" s="10"/>
      <c r="J989" s="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21">
      <c r="A990" s="4"/>
      <c r="B990" s="117"/>
      <c r="C990" s="117"/>
      <c r="D990" s="10"/>
      <c r="E990" s="10"/>
      <c r="F990" s="10"/>
      <c r="G990" s="10"/>
      <c r="H990" s="10"/>
      <c r="I990" s="10"/>
      <c r="J990" s="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21">
      <c r="A991" s="4"/>
      <c r="B991" s="117"/>
      <c r="C991" s="117"/>
      <c r="D991" s="10"/>
      <c r="E991" s="10"/>
      <c r="F991" s="10"/>
      <c r="G991" s="10"/>
      <c r="H991" s="10"/>
      <c r="I991" s="10"/>
      <c r="J991" s="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21">
      <c r="A992" s="4"/>
      <c r="B992" s="117"/>
      <c r="C992" s="117"/>
      <c r="D992" s="10"/>
      <c r="E992" s="10"/>
      <c r="F992" s="10"/>
      <c r="G992" s="10"/>
      <c r="H992" s="10"/>
      <c r="I992" s="10"/>
      <c r="J992" s="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21">
      <c r="A993" s="4"/>
      <c r="B993" s="117"/>
      <c r="C993" s="117"/>
      <c r="D993" s="10"/>
      <c r="E993" s="10"/>
      <c r="F993" s="10"/>
      <c r="G993" s="10"/>
      <c r="H993" s="10"/>
      <c r="I993" s="10"/>
      <c r="J993" s="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21">
      <c r="A994" s="4"/>
      <c r="B994" s="117"/>
      <c r="C994" s="117"/>
      <c r="D994" s="10"/>
      <c r="E994" s="10"/>
      <c r="F994" s="10"/>
      <c r="G994" s="10"/>
      <c r="H994" s="10"/>
      <c r="I994" s="10"/>
      <c r="J994" s="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21">
      <c r="A995" s="4"/>
      <c r="B995" s="117"/>
      <c r="C995" s="117"/>
      <c r="D995" s="10"/>
      <c r="E995" s="10"/>
      <c r="F995" s="10"/>
      <c r="G995" s="10"/>
      <c r="H995" s="10"/>
      <c r="I995" s="10"/>
      <c r="J995" s="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21">
      <c r="A996" s="4"/>
      <c r="B996" s="117"/>
      <c r="C996" s="117"/>
      <c r="D996" s="10"/>
      <c r="E996" s="10"/>
      <c r="F996" s="10"/>
      <c r="G996" s="10"/>
      <c r="H996" s="10"/>
      <c r="I996" s="10"/>
      <c r="J996" s="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21">
      <c r="A997" s="4"/>
      <c r="B997" s="117"/>
      <c r="C997" s="117"/>
      <c r="D997" s="10"/>
      <c r="E997" s="10"/>
      <c r="F997" s="10"/>
      <c r="G997" s="10"/>
      <c r="H997" s="10"/>
      <c r="I997" s="1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21">
      <c r="A998" s="4"/>
      <c r="B998" s="117"/>
      <c r="C998" s="117"/>
      <c r="D998" s="10"/>
      <c r="E998" s="10"/>
      <c r="F998" s="10"/>
      <c r="G998" s="10"/>
      <c r="H998" s="10"/>
      <c r="I998" s="1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21">
      <c r="A999" s="4"/>
      <c r="B999" s="117"/>
      <c r="C999" s="117"/>
      <c r="D999" s="10"/>
      <c r="E999" s="10"/>
      <c r="F999" s="10"/>
      <c r="G999" s="10"/>
      <c r="H999" s="10"/>
      <c r="I999" s="10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21">
      <c r="A1000" s="4"/>
      <c r="B1000" s="117"/>
      <c r="C1000" s="117"/>
      <c r="D1000" s="10"/>
      <c r="E1000" s="10"/>
      <c r="F1000" s="10"/>
      <c r="G1000" s="10"/>
      <c r="H1000" s="10"/>
      <c r="I1000" s="10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21">
      <c r="A1001" s="4"/>
      <c r="B1001" s="117"/>
      <c r="C1001" s="117"/>
      <c r="D1001" s="10"/>
      <c r="E1001" s="10"/>
      <c r="F1001" s="10"/>
      <c r="G1001" s="10"/>
      <c r="H1001" s="10"/>
      <c r="I1001" s="10"/>
      <c r="K1001" s="4"/>
      <c r="AA1001" s="4"/>
      <c r="AB1001" s="4"/>
      <c r="AC1001" s="4"/>
      <c r="AD1001" s="4"/>
    </row>
  </sheetData>
  <mergeCells count="29"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4:W5"/>
    <mergeCell ref="X4:X5"/>
    <mergeCell ref="Y4:Y5"/>
    <mergeCell ref="A1:D1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</mergeCells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D1006"/>
  <sheetViews>
    <sheetView tabSelected="1" workbookViewId="0">
      <pane ySplit="2" topLeftCell="A3" activePane="bottomLeft" state="frozen"/>
      <selection pane="bottomLeft" activeCell="J1" sqref="J1:J1048576"/>
    </sheetView>
  </sheetViews>
  <sheetFormatPr baseColWidth="10" defaultColWidth="11.25" defaultRowHeight="15" customHeight="1"/>
  <cols>
    <col min="1" max="1" width="9.125" customWidth="1"/>
    <col min="2" max="2" width="34.5" customWidth="1"/>
    <col min="3" max="3" width="8.625" customWidth="1"/>
    <col min="4" max="4" width="8.5" customWidth="1"/>
    <col min="5" max="5" width="9.75" customWidth="1"/>
    <col min="6" max="6" width="16.5" customWidth="1"/>
    <col min="7" max="7" width="12.625" customWidth="1"/>
    <col min="8" max="8" width="8" customWidth="1"/>
    <col min="9" max="9" width="11.5" customWidth="1"/>
    <col min="10" max="10" width="10.5" customWidth="1"/>
    <col min="11" max="11" width="3.375" customWidth="1"/>
    <col min="12" max="12" width="7.5" customWidth="1"/>
    <col min="13" max="13" width="6.625" customWidth="1"/>
    <col min="14" max="14" width="8.625" customWidth="1"/>
    <col min="15" max="15" width="10.125" customWidth="1"/>
    <col min="16" max="16" width="7" customWidth="1"/>
    <col min="17" max="17" width="9.375" customWidth="1"/>
    <col min="18" max="18" width="12.5" customWidth="1"/>
    <col min="19" max="19" width="6" customWidth="1"/>
    <col min="20" max="20" width="7.5" customWidth="1"/>
    <col min="21" max="21" width="14.625" customWidth="1"/>
    <col min="22" max="22" width="9.75" customWidth="1"/>
    <col min="24" max="24" width="2.375" customWidth="1"/>
    <col min="25" max="25" width="14.125" customWidth="1"/>
    <col min="26" max="30" width="25.75" customWidth="1"/>
  </cols>
  <sheetData>
    <row r="1" spans="1:30" ht="27.75" customHeight="1">
      <c r="A1" s="11" t="s">
        <v>633</v>
      </c>
      <c r="B1" s="140" t="s">
        <v>633</v>
      </c>
      <c r="C1" s="141"/>
      <c r="D1" s="141"/>
      <c r="E1" s="141"/>
      <c r="F1" s="141"/>
      <c r="G1" s="14"/>
      <c r="H1" s="14"/>
      <c r="I1" s="14"/>
      <c r="J1" s="12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15.75">
      <c r="A2" s="19" t="s">
        <v>53</v>
      </c>
      <c r="B2" s="19" t="s">
        <v>54</v>
      </c>
      <c r="C2" s="19" t="s">
        <v>55</v>
      </c>
      <c r="D2" s="19" t="s">
        <v>57</v>
      </c>
      <c r="E2" s="19" t="s">
        <v>59</v>
      </c>
      <c r="F2" s="19" t="s">
        <v>60</v>
      </c>
      <c r="G2" s="17" t="s">
        <v>61</v>
      </c>
      <c r="H2" s="17" t="s">
        <v>64</v>
      </c>
      <c r="I2" s="17" t="s">
        <v>65</v>
      </c>
      <c r="J2" s="154" t="s">
        <v>57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5.75">
      <c r="A3" s="6" t="str">
        <f ca="1">IFERROR(__xludf.DUMMYFUNCTION("FILTER('UNIVERSO PRODUCTOS'!A1:B958, ISNUMBER(SEARCH(A1, 'UNIVERSO PRODUCTOS'!K1:K958)))
"),"ti-ing-5a1041f6-5fed-4ae0-8d00-dee7d47968a3")</f>
        <v>ti-ing-5a1041f6-5fed-4ae0-8d00-dee7d47968a3</v>
      </c>
      <c r="B3" s="7" t="str">
        <f ca="1">IFERROR(__xludf.DUMMYFUNCTION("""COMPUTED_VALUE"""),"Aceite vegetal 900 ml")</f>
        <v>Aceite vegetal 900 ml</v>
      </c>
      <c r="C3" s="7">
        <v>6</v>
      </c>
      <c r="D3" s="21">
        <f ca="1">IFERROR(__xludf.DUMMYFUNCTION("FILTER('UNIVERSO PRODUCTOS'!C1:C961, ISNUMBER(SEARCH(A1, 'UNIVERSO PRODUCTOS'!K1:K961)))
"),1540.6)</f>
        <v>1540.6</v>
      </c>
      <c r="E3" s="6" t="str">
        <f ca="1">IFERROR(__xludf.DUMMYFUNCTION("FILTER('UNIVERSO PRODUCTOS'!D1:D958, ISNUMBER(SEARCH(A1, 'UNIVERSO PRODUCTOS'!K1:K958)))
"),"UN")</f>
        <v>UN</v>
      </c>
      <c r="F3" s="6" t="str">
        <f ca="1">IFERROR(__xludf.DUMMYFUNCTION("FILTER('UNIVERSO PRODUCTOS'!H1:H958, ISNUMBER(SEARCH(A1, 'UNIVERSO PRODUCTOS'!K1:K958)))
"),"Abarrotes")</f>
        <v>Abarrotes</v>
      </c>
      <c r="G3" s="120">
        <f t="shared" ref="G3:G250" ca="1" si="0">(C3)*D3</f>
        <v>9243.5999999999985</v>
      </c>
      <c r="H3" s="121">
        <f t="shared" ref="H3:H250" ca="1" si="1">G3*19%</f>
        <v>1756.2839999999997</v>
      </c>
      <c r="I3" s="122">
        <f t="shared" ref="I3:I250" ca="1" si="2">G3+H3</f>
        <v>10999.883999999998</v>
      </c>
      <c r="J3" s="156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15.75">
      <c r="A4" s="7" t="str">
        <f ca="1">IFERROR(__xludf.DUMMYFUNCTION("""COMPUTED_VALUE"""),"ti-ing-531d1d9b-814d-49bc-9bbf-06be4ae2e6d5")</f>
        <v>ti-ing-531d1d9b-814d-49bc-9bbf-06be4ae2e6d5</v>
      </c>
      <c r="B4" s="7" t="str">
        <f ca="1">IFERROR(__xludf.DUMMYFUNCTION("""COMPUTED_VALUE"""),"Azucar blanca")</f>
        <v>Azucar blanca</v>
      </c>
      <c r="C4" s="7">
        <v>25</v>
      </c>
      <c r="D4" s="21">
        <f ca="1">IFERROR(__xludf.DUMMYFUNCTION("""COMPUTED_VALUE"""),939.9985)</f>
        <v>939.99850000000004</v>
      </c>
      <c r="E4" s="6" t="str">
        <f ca="1">IFERROR(__xludf.DUMMYFUNCTION("""COMPUTED_VALUE"""),"KG")</f>
        <v>KG</v>
      </c>
      <c r="F4" s="6" t="str">
        <f ca="1">IFERROR(__xludf.DUMMYFUNCTION("""COMPUTED_VALUE"""),"Abarrotes")</f>
        <v>Abarrotes</v>
      </c>
      <c r="G4" s="120">
        <f t="shared" ca="1" si="0"/>
        <v>23499.962500000001</v>
      </c>
      <c r="H4" s="121">
        <f t="shared" ca="1" si="1"/>
        <v>4464.9928749999999</v>
      </c>
      <c r="I4" s="122">
        <f t="shared" ca="1" si="2"/>
        <v>27964.955375000001</v>
      </c>
      <c r="J4" s="156"/>
      <c r="K4" s="4"/>
      <c r="L4" s="137" t="s">
        <v>21</v>
      </c>
      <c r="M4" s="137" t="s">
        <v>127</v>
      </c>
      <c r="N4" s="137" t="s">
        <v>128</v>
      </c>
      <c r="O4" s="137" t="s">
        <v>130</v>
      </c>
      <c r="P4" s="137" t="s">
        <v>129</v>
      </c>
      <c r="Q4" s="137" t="s">
        <v>131</v>
      </c>
      <c r="R4" s="137" t="s">
        <v>132</v>
      </c>
      <c r="S4" s="137" t="s">
        <v>133</v>
      </c>
      <c r="T4" s="137" t="s">
        <v>137</v>
      </c>
      <c r="U4" s="137" t="s">
        <v>140</v>
      </c>
      <c r="V4" s="137" t="s">
        <v>142</v>
      </c>
      <c r="W4" s="137" t="s">
        <v>136</v>
      </c>
      <c r="X4" s="137" t="s">
        <v>144</v>
      </c>
      <c r="Y4" s="139" t="s">
        <v>145</v>
      </c>
      <c r="Z4" s="4"/>
      <c r="AA4" s="4"/>
      <c r="AB4" s="4"/>
      <c r="AC4" s="4"/>
      <c r="AD4" s="4"/>
    </row>
    <row r="5" spans="1:30" ht="15.75">
      <c r="A5" s="7" t="str">
        <f ca="1">IFERROR(__xludf.DUMMYFUNCTION("""COMPUTED_VALUE"""),"ti-ing-c4486ce7-85c4-49c5-ac82-4d98b0798d01")</f>
        <v>ti-ing-c4486ce7-85c4-49c5-ac82-4d98b0798d01</v>
      </c>
      <c r="B5" s="7" t="str">
        <f ca="1">IFERROR(__xludf.DUMMYFUNCTION("""COMPUTED_VALUE"""),"Azucar rubia")</f>
        <v>Azucar rubia</v>
      </c>
      <c r="C5" s="7">
        <v>0</v>
      </c>
      <c r="D5" s="21">
        <f ca="1">IFERROR(__xludf.DUMMYFUNCTION("""COMPUTED_VALUE"""),1047)</f>
        <v>1047</v>
      </c>
      <c r="E5" s="6" t="str">
        <f ca="1">IFERROR(__xludf.DUMMYFUNCTION("""COMPUTED_VALUE"""),"KG")</f>
        <v>KG</v>
      </c>
      <c r="F5" s="6" t="str">
        <f ca="1">IFERROR(__xludf.DUMMYFUNCTION("""COMPUTED_VALUE"""),"Abarrotes")</f>
        <v>Abarrotes</v>
      </c>
      <c r="G5" s="120">
        <f t="shared" ca="1" si="0"/>
        <v>0</v>
      </c>
      <c r="H5" s="121">
        <f t="shared" ca="1" si="1"/>
        <v>0</v>
      </c>
      <c r="I5" s="122">
        <f t="shared" ca="1" si="2"/>
        <v>0</v>
      </c>
      <c r="J5" s="156"/>
      <c r="K5" s="4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4"/>
      <c r="AA5" s="4"/>
      <c r="AB5" s="4"/>
      <c r="AC5" s="4"/>
      <c r="AD5" s="4"/>
    </row>
    <row r="6" spans="1:30" ht="15.75">
      <c r="A6" s="7" t="str">
        <f ca="1">IFERROR(__xludf.DUMMYFUNCTION("""COMPUTED_VALUE"""),"ti-ing-63a7f9f9-77ff-45f4-9e3f-3feff0b73432")</f>
        <v>ti-ing-63a7f9f9-77ff-45f4-9e3f-3feff0b73432</v>
      </c>
      <c r="B6" s="7" t="str">
        <f ca="1">IFERROR(__xludf.DUMMYFUNCTION("""COMPUTED_VALUE"""),"Café tarro grande (desayuno)")</f>
        <v>Café tarro grande (desayuno)</v>
      </c>
      <c r="C6" s="7">
        <v>1</v>
      </c>
      <c r="D6" s="21">
        <f ca="1">IFERROR(__xludf.DUMMYFUNCTION("""COMPUTED_VALUE"""),12032)</f>
        <v>12032</v>
      </c>
      <c r="E6" s="6" t="str">
        <f ca="1">IFERROR(__xludf.DUMMYFUNCTION("""COMPUTED_VALUE"""),"UN")</f>
        <v>UN</v>
      </c>
      <c r="F6" s="6" t="str">
        <f ca="1">IFERROR(__xludf.DUMMYFUNCTION("""COMPUTED_VALUE"""),"Abarrotes")</f>
        <v>Abarrotes</v>
      </c>
      <c r="G6" s="120">
        <f t="shared" ca="1" si="0"/>
        <v>12032</v>
      </c>
      <c r="H6" s="121">
        <f t="shared" ca="1" si="1"/>
        <v>2286.08</v>
      </c>
      <c r="I6" s="122">
        <f t="shared" ca="1" si="2"/>
        <v>14318.08</v>
      </c>
      <c r="J6" s="156"/>
      <c r="K6" s="4"/>
      <c r="L6" s="46">
        <f ca="1">SUM(G3:G17)</f>
        <v>93873.137133349999</v>
      </c>
      <c r="M6" s="50">
        <f ca="1">SUM(G18:G41)</f>
        <v>61695.324637119993</v>
      </c>
      <c r="N6" s="57">
        <f ca="1">SUM(G42:G43)</f>
        <v>26566.777999999998</v>
      </c>
      <c r="O6" s="56"/>
      <c r="P6" s="51"/>
      <c r="Q6" s="46">
        <f ca="1">SUM(G44:G56)</f>
        <v>83708.411385500003</v>
      </c>
      <c r="R6" s="53">
        <f ca="1">SUM(G57:G61)</f>
        <v>98709.68</v>
      </c>
      <c r="S6" s="53">
        <f ca="1">SUM(G62)</f>
        <v>6827.3339999999998</v>
      </c>
      <c r="T6" s="46">
        <f ca="1">SUM(G76:G109)</f>
        <v>482557.30056018196</v>
      </c>
      <c r="U6" s="56"/>
      <c r="V6" s="53">
        <f ca="1">SUM(G110:G250)</f>
        <v>1862476.5879999998</v>
      </c>
      <c r="W6" s="46">
        <f ca="1">SUM(G63:G75)</f>
        <v>441332.29878600006</v>
      </c>
      <c r="X6" s="56"/>
      <c r="Y6" s="46">
        <f ca="1">SUM(L6:X6)</f>
        <v>3157746.8525021519</v>
      </c>
      <c r="Z6" s="4"/>
      <c r="AA6" s="4"/>
      <c r="AB6" s="4"/>
      <c r="AC6" s="4"/>
      <c r="AD6" s="4"/>
    </row>
    <row r="7" spans="1:30" ht="15.75">
      <c r="A7" s="7" t="str">
        <f ca="1">IFERROR(__xludf.DUMMYFUNCTION("""COMPUTED_VALUE"""),"ti-ing-b908bdf8-4d68-4e4a-bca8-67edb76d6236")</f>
        <v>ti-ing-b908bdf8-4d68-4e4a-bca8-67edb76d6236</v>
      </c>
      <c r="B7" s="7" t="str">
        <f ca="1">IFERROR(__xludf.DUMMYFUNCTION("""COMPUTED_VALUE"""),"Chips Chocolate Negro kg")</f>
        <v>Chips Chocolate Negro kg</v>
      </c>
      <c r="C7" s="7">
        <v>1.1859999999999999</v>
      </c>
      <c r="D7" s="21">
        <f ca="1">IFERROR(__xludf.DUMMYFUNCTION("""COMPUTED_VALUE"""),6977.75)</f>
        <v>6977.75</v>
      </c>
      <c r="E7" s="6" t="str">
        <f ca="1">IFERROR(__xludf.DUMMYFUNCTION("""COMPUTED_VALUE"""),"KG")</f>
        <v>KG</v>
      </c>
      <c r="F7" s="6" t="str">
        <f ca="1">IFERROR(__xludf.DUMMYFUNCTION("""COMPUTED_VALUE"""),"Abarrotes")</f>
        <v>Abarrotes</v>
      </c>
      <c r="G7" s="120">
        <f t="shared" ca="1" si="0"/>
        <v>8275.6114999999991</v>
      </c>
      <c r="H7" s="121">
        <f t="shared" ca="1" si="1"/>
        <v>1572.3661849999999</v>
      </c>
      <c r="I7" s="122">
        <f t="shared" ca="1" si="2"/>
        <v>9847.977684999998</v>
      </c>
      <c r="J7" s="156"/>
      <c r="K7" s="4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4"/>
      <c r="AA7" s="4"/>
      <c r="AB7" s="4"/>
      <c r="AC7" s="4"/>
      <c r="AD7" s="4"/>
    </row>
    <row r="8" spans="1:30" ht="15.75">
      <c r="A8" s="7" t="str">
        <f ca="1">IFERROR(__xludf.DUMMYFUNCTION("""COMPUTED_VALUE"""),"ti-ing-89800579-a778-4a4e-8895-e0cc7ed6a986")</f>
        <v>ti-ing-89800579-a778-4a4e-8895-e0cc7ed6a986</v>
      </c>
      <c r="B8" s="7" t="str">
        <f ca="1">IFERROR(__xludf.DUMMYFUNCTION("""COMPUTED_VALUE"""),"Coco Laminado")</f>
        <v>Coco Laminado</v>
      </c>
      <c r="C8" s="7">
        <v>0</v>
      </c>
      <c r="D8" s="21">
        <f ca="1">IFERROR(__xludf.DUMMYFUNCTION("""COMPUTED_VALUE"""),8474)</f>
        <v>8474</v>
      </c>
      <c r="E8" s="6" t="str">
        <f ca="1">IFERROR(__xludf.DUMMYFUNCTION("""COMPUTED_VALUE"""),"KG")</f>
        <v>KG</v>
      </c>
      <c r="F8" s="6" t="str">
        <f ca="1">IFERROR(__xludf.DUMMYFUNCTION("""COMPUTED_VALUE"""),"Abarrotes")</f>
        <v>Abarrotes</v>
      </c>
      <c r="G8" s="120">
        <f t="shared" ca="1" si="0"/>
        <v>0</v>
      </c>
      <c r="H8" s="121">
        <f t="shared" ca="1" si="1"/>
        <v>0</v>
      </c>
      <c r="I8" s="122">
        <f t="shared" ca="1" si="2"/>
        <v>0</v>
      </c>
      <c r="J8" s="156"/>
      <c r="K8" s="4"/>
      <c r="L8" s="137" t="s">
        <v>21</v>
      </c>
      <c r="M8" s="137" t="s">
        <v>127</v>
      </c>
      <c r="N8" s="137" t="s">
        <v>128</v>
      </c>
      <c r="O8" s="137" t="s">
        <v>130</v>
      </c>
      <c r="P8" s="137" t="s">
        <v>129</v>
      </c>
      <c r="Q8" s="137" t="s">
        <v>1260</v>
      </c>
      <c r="R8" s="137" t="s">
        <v>132</v>
      </c>
      <c r="S8" s="137" t="s">
        <v>133</v>
      </c>
      <c r="T8" s="137" t="s">
        <v>137</v>
      </c>
      <c r="U8" s="137" t="s">
        <v>140</v>
      </c>
      <c r="V8" s="137" t="s">
        <v>142</v>
      </c>
      <c r="W8" s="137" t="s">
        <v>136</v>
      </c>
      <c r="X8" s="137" t="s">
        <v>144</v>
      </c>
      <c r="Y8" s="139" t="s">
        <v>219</v>
      </c>
      <c r="Z8" s="4"/>
      <c r="AA8" s="4"/>
      <c r="AB8" s="4"/>
      <c r="AC8" s="4"/>
      <c r="AD8" s="4"/>
    </row>
    <row r="9" spans="1:30" ht="15.75">
      <c r="A9" s="7" t="str">
        <f ca="1">IFERROR(__xludf.DUMMYFUNCTION("""COMPUTED_VALUE"""),"ti-ing-a396335b-a1d5-46a1-874a-de8bd1a3a0de")</f>
        <v>ti-ing-a396335b-a1d5-46a1-874a-de8bd1a3a0de</v>
      </c>
      <c r="B9" s="7" t="str">
        <f ca="1">IFERROR(__xludf.DUMMYFUNCTION("""COMPUTED_VALUE"""),"Coco Rallado")</f>
        <v>Coco Rallado</v>
      </c>
      <c r="C9" s="7">
        <v>3.32</v>
      </c>
      <c r="D9" s="21">
        <f ca="1">IFERROR(__xludf.DUMMYFUNCTION("""COMPUTED_VALUE"""),4188)</f>
        <v>4188</v>
      </c>
      <c r="E9" s="6" t="str">
        <f ca="1">IFERROR(__xludf.DUMMYFUNCTION("""COMPUTED_VALUE"""),"KG")</f>
        <v>KG</v>
      </c>
      <c r="F9" s="6" t="str">
        <f ca="1">IFERROR(__xludf.DUMMYFUNCTION("""COMPUTED_VALUE"""),"Abarrotes")</f>
        <v>Abarrotes</v>
      </c>
      <c r="G9" s="120">
        <f t="shared" ca="1" si="0"/>
        <v>13904.16</v>
      </c>
      <c r="H9" s="121">
        <f t="shared" ca="1" si="1"/>
        <v>2641.7903999999999</v>
      </c>
      <c r="I9" s="122">
        <f t="shared" ca="1" si="2"/>
        <v>16545.950400000002</v>
      </c>
      <c r="J9" s="156"/>
      <c r="K9" s="4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42"/>
      <c r="Z9" s="4"/>
      <c r="AA9" s="4"/>
      <c r="AB9" s="4"/>
      <c r="AC9" s="4"/>
      <c r="AD9" s="4"/>
    </row>
    <row r="10" spans="1:30" ht="15.75">
      <c r="A10" s="7" t="str">
        <f ca="1">IFERROR(__xludf.DUMMYFUNCTION("""COMPUTED_VALUE"""),"ti-ing-064cb0f3-6635-4de8-915c-d57502a19286")</f>
        <v>ti-ing-064cb0f3-6635-4de8-915c-d57502a19286</v>
      </c>
      <c r="B10" s="7" t="str">
        <f ca="1">IFERROR(__xludf.DUMMYFUNCTION("""COMPUTED_VALUE"""),"Esencia vainilla")</f>
        <v>Esencia vainilla</v>
      </c>
      <c r="C10" s="7">
        <v>5</v>
      </c>
      <c r="D10" s="21">
        <f ca="1">IFERROR(__xludf.DUMMYFUNCTION("""COMPUTED_VALUE"""),1000)</f>
        <v>1000</v>
      </c>
      <c r="E10" s="6" t="str">
        <f ca="1">IFERROR(__xludf.DUMMYFUNCTION("""COMPUTED_VALUE"""),"LT")</f>
        <v>LT</v>
      </c>
      <c r="F10" s="6" t="str">
        <f ca="1">IFERROR(__xludf.DUMMYFUNCTION("""COMPUTED_VALUE"""),"Abarrotes")</f>
        <v>Abarrotes</v>
      </c>
      <c r="G10" s="120">
        <f t="shared" ca="1" si="0"/>
        <v>5000</v>
      </c>
      <c r="H10" s="121">
        <f t="shared" ca="1" si="1"/>
        <v>950</v>
      </c>
      <c r="I10" s="122">
        <f t="shared" ca="1" si="2"/>
        <v>5950</v>
      </c>
      <c r="J10" s="156"/>
      <c r="K10" s="4"/>
      <c r="L10" s="46">
        <f ca="1">SUM(I3:I17)</f>
        <v>111709.0331886865</v>
      </c>
      <c r="M10" s="50">
        <f ca="1">SUM(I18:I41)</f>
        <v>73417.436318172811</v>
      </c>
      <c r="N10" s="53">
        <f ca="1">SUM(I42:I43)</f>
        <v>31614.465819999998</v>
      </c>
      <c r="O10" s="56"/>
      <c r="P10" s="55"/>
      <c r="Q10" s="57">
        <f ca="1">SUM(I44:I56)</f>
        <v>99613.009548745002</v>
      </c>
      <c r="R10" s="53">
        <f ca="1">SUM(I57:I61)</f>
        <v>117464.51920000001</v>
      </c>
      <c r="S10" s="53">
        <f ca="1">SUM(I62)</f>
        <v>8124.5274599999993</v>
      </c>
      <c r="T10" s="46">
        <f ca="1">SUM(I76:I109)</f>
        <v>574243.18766661664</v>
      </c>
      <c r="U10" s="56"/>
      <c r="V10" s="53">
        <f ca="1">SUM(I110:I250)</f>
        <v>2216347.1397199994</v>
      </c>
      <c r="W10" s="46">
        <f ca="1">SUM(I63:I75)</f>
        <v>525185.43555534002</v>
      </c>
      <c r="X10" s="51"/>
      <c r="Y10" s="46">
        <f ca="1">SUM(L10:X10)</f>
        <v>3757718.7544775605</v>
      </c>
      <c r="Z10" s="4"/>
      <c r="AA10" s="4"/>
      <c r="AB10" s="4"/>
      <c r="AC10" s="4"/>
      <c r="AD10" s="4"/>
    </row>
    <row r="11" spans="1:30" ht="15.75">
      <c r="A11" s="7" t="str">
        <f ca="1">IFERROR(__xludf.DUMMYFUNCTION("""COMPUTED_VALUE"""),"ti-ing-e6ff2cd2-0729-44b9-b0d3-457299c1ead8")</f>
        <v>ti-ing-e6ff2cd2-0729-44b9-b0d3-457299c1ead8</v>
      </c>
      <c r="B11" s="7" t="str">
        <f ca="1">IFERROR(__xludf.DUMMYFUNCTION("""COMPUTED_VALUE"""),"Huevos Arizona")</f>
        <v>Huevos Arizona</v>
      </c>
      <c r="C11" s="7">
        <v>120</v>
      </c>
      <c r="D11" s="21">
        <f ca="1">IFERROR(__xludf.DUMMYFUNCTION("""COMPUTED_VALUE"""),138)</f>
        <v>138</v>
      </c>
      <c r="E11" s="6" t="str">
        <f ca="1">IFERROR(__xludf.DUMMYFUNCTION("""COMPUTED_VALUE"""),"UN")</f>
        <v>UN</v>
      </c>
      <c r="F11" s="6" t="str">
        <f ca="1">IFERROR(__xludf.DUMMYFUNCTION("""COMPUTED_VALUE"""),"Abarrotes")</f>
        <v>Abarrotes</v>
      </c>
      <c r="G11" s="120">
        <f t="shared" ca="1" si="0"/>
        <v>16560</v>
      </c>
      <c r="H11" s="121">
        <f t="shared" ca="1" si="1"/>
        <v>3146.4</v>
      </c>
      <c r="I11" s="122">
        <f t="shared" ca="1" si="2"/>
        <v>19706.400000000001</v>
      </c>
      <c r="J11" s="15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>
      <c r="A12" s="7" t="str">
        <f ca="1">IFERROR(__xludf.DUMMYFUNCTION("""COMPUTED_VALUE"""),"ti-ing-772eef79-e2de-41fa-b52c-f097abd8b4a8")</f>
        <v>ti-ing-772eef79-e2de-41fa-b52c-f097abd8b4a8</v>
      </c>
      <c r="B12" s="7" t="str">
        <f ca="1">IFERROR(__xludf.DUMMYFUNCTION("""COMPUTED_VALUE"""),"Leche Entera En Polvo")</f>
        <v>Leche Entera En Polvo</v>
      </c>
      <c r="C12" s="7">
        <v>0</v>
      </c>
      <c r="D12" s="21">
        <f ca="1">IFERROR(__xludf.DUMMYFUNCTION("""COMPUTED_VALUE"""),7079.167)</f>
        <v>7079.1670000000004</v>
      </c>
      <c r="E12" s="6" t="str">
        <f ca="1">IFERROR(__xludf.DUMMYFUNCTION("""COMPUTED_VALUE"""),"KG")</f>
        <v>KG</v>
      </c>
      <c r="F12" s="6" t="str">
        <f ca="1">IFERROR(__xludf.DUMMYFUNCTION("""COMPUTED_VALUE"""),"Abarrotes")</f>
        <v>Abarrotes</v>
      </c>
      <c r="G12" s="120">
        <f t="shared" ca="1" si="0"/>
        <v>0</v>
      </c>
      <c r="H12" s="121">
        <f t="shared" ca="1" si="1"/>
        <v>0</v>
      </c>
      <c r="I12" s="122">
        <f t="shared" ca="1" si="2"/>
        <v>0</v>
      </c>
      <c r="J12" s="15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>
      <c r="A13" s="7" t="str">
        <f ca="1">IFERROR(__xludf.DUMMYFUNCTION("""COMPUTED_VALUE"""),"ti-ing-0ec3786c-eec8-4a04-af8d-bda30eac5549")</f>
        <v>ti-ing-0ec3786c-eec8-4a04-af8d-bda30eac5549</v>
      </c>
      <c r="B13" s="7" t="str">
        <f ca="1">IFERROR(__xludf.DUMMYFUNCTION("""COMPUTED_VALUE"""),"Levadura seca (Unidad)")</f>
        <v>Levadura seca (Unidad)</v>
      </c>
      <c r="C13" s="7">
        <v>0</v>
      </c>
      <c r="D13" s="21">
        <f ca="1">IFERROR(__xludf.DUMMYFUNCTION("""COMPUTED_VALUE"""),1711)</f>
        <v>1711</v>
      </c>
      <c r="E13" s="6" t="str">
        <f ca="1">IFERROR(__xludf.DUMMYFUNCTION("""COMPUTED_VALUE"""),"UN")</f>
        <v>UN</v>
      </c>
      <c r="F13" s="6" t="str">
        <f ca="1">IFERROR(__xludf.DUMMYFUNCTION("""COMPUTED_VALUE"""),"Abarrotes")</f>
        <v>Abarrotes</v>
      </c>
      <c r="G13" s="120">
        <f t="shared" ca="1" si="0"/>
        <v>0</v>
      </c>
      <c r="H13" s="121">
        <f t="shared" ca="1" si="1"/>
        <v>0</v>
      </c>
      <c r="I13" s="122">
        <f t="shared" ca="1" si="2"/>
        <v>0</v>
      </c>
      <c r="J13" s="15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>
      <c r="A14" s="7" t="str">
        <f ca="1">IFERROR(__xludf.DUMMYFUNCTION("""COMPUTED_VALUE"""),"ti-ing-69061f8d-e4d9-4fc4-b44e-0cd173ebf8f3")</f>
        <v>ti-ing-69061f8d-e4d9-4fc4-b44e-0cd173ebf8f3</v>
      </c>
      <c r="B14" s="7" t="str">
        <f ca="1">IFERROR(__xludf.DUMMYFUNCTION("""COMPUTED_VALUE"""),"Maicena kg")</f>
        <v>Maicena kg</v>
      </c>
      <c r="C14" s="7">
        <v>0.69599999999999995</v>
      </c>
      <c r="D14" s="21">
        <f ca="1">IFERROR(__xludf.DUMMYFUNCTION("""COMPUTED_VALUE"""),1582)</f>
        <v>1582</v>
      </c>
      <c r="E14" s="6" t="str">
        <f ca="1">IFERROR(__xludf.DUMMYFUNCTION("""COMPUTED_VALUE"""),"KG")</f>
        <v>KG</v>
      </c>
      <c r="F14" s="6" t="str">
        <f ca="1">IFERROR(__xludf.DUMMYFUNCTION("""COMPUTED_VALUE"""),"Abarrotes")</f>
        <v>Abarrotes</v>
      </c>
      <c r="G14" s="120">
        <f t="shared" ca="1" si="0"/>
        <v>1101.0719999999999</v>
      </c>
      <c r="H14" s="121">
        <f t="shared" ca="1" si="1"/>
        <v>209.20367999999999</v>
      </c>
      <c r="I14" s="122">
        <f t="shared" ca="1" si="2"/>
        <v>1310.27568</v>
      </c>
      <c r="J14" s="15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>
      <c r="A15" s="7" t="str">
        <f ca="1">IFERROR(__xludf.DUMMYFUNCTION("""COMPUTED_VALUE"""),"ti-ing-5406e51a-e384-417d-9b6d-dfe14303d6be")</f>
        <v>ti-ing-5406e51a-e384-417d-9b6d-dfe14303d6be</v>
      </c>
      <c r="B15" s="7" t="str">
        <f ca="1">IFERROR(__xludf.DUMMYFUNCTION("""COMPUTED_VALUE"""),"Polvos de Hornear")</f>
        <v>Polvos de Hornear</v>
      </c>
      <c r="C15" s="7">
        <v>0.15</v>
      </c>
      <c r="D15" s="21">
        <f ca="1">IFERROR(__xludf.DUMMYFUNCTION("""COMPUTED_VALUE"""),3941.140889)</f>
        <v>3941.1408889999998</v>
      </c>
      <c r="E15" s="6" t="str">
        <f ca="1">IFERROR(__xludf.DUMMYFUNCTION("""COMPUTED_VALUE"""),"KG")</f>
        <v>KG</v>
      </c>
      <c r="F15" s="6" t="str">
        <f ca="1">IFERROR(__xludf.DUMMYFUNCTION("""COMPUTED_VALUE"""),"Abarrotes")</f>
        <v>Abarrotes</v>
      </c>
      <c r="G15" s="120">
        <f t="shared" ca="1" si="0"/>
        <v>591.17113334999999</v>
      </c>
      <c r="H15" s="121">
        <f t="shared" ca="1" si="1"/>
        <v>112.3225153365</v>
      </c>
      <c r="I15" s="122">
        <f t="shared" ca="1" si="2"/>
        <v>703.49364868650002</v>
      </c>
      <c r="J15" s="1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>
      <c r="A16" s="7" t="str">
        <f ca="1">IFERROR(__xludf.DUMMYFUNCTION("""COMPUTED_VALUE"""),"ti-ing-4818468c-bc91-40f7-9fa4-eb19def3bff7")</f>
        <v>ti-ing-4818468c-bc91-40f7-9fa4-eb19def3bff7</v>
      </c>
      <c r="B16" s="7" t="str">
        <f ca="1">IFERROR(__xludf.DUMMYFUNCTION("""COMPUTED_VALUE"""),"Sal fina")</f>
        <v>Sal fina</v>
      </c>
      <c r="C16" s="7">
        <v>0.76400000000000001</v>
      </c>
      <c r="D16" s="21">
        <f ca="1">IFERROR(__xludf.DUMMYFUNCTION("""COMPUTED_VALUE"""),290)</f>
        <v>290</v>
      </c>
      <c r="E16" s="6" t="str">
        <f ca="1">IFERROR(__xludf.DUMMYFUNCTION("""COMPUTED_VALUE"""),"KG")</f>
        <v>KG</v>
      </c>
      <c r="F16" s="6" t="str">
        <f ca="1">IFERROR(__xludf.DUMMYFUNCTION("""COMPUTED_VALUE"""),"Abarrotes")</f>
        <v>Abarrotes</v>
      </c>
      <c r="G16" s="120">
        <f t="shared" ca="1" si="0"/>
        <v>221.56</v>
      </c>
      <c r="H16" s="121">
        <f t="shared" ca="1" si="1"/>
        <v>42.096400000000003</v>
      </c>
      <c r="I16" s="122">
        <f t="shared" ca="1" si="2"/>
        <v>263.65640000000002</v>
      </c>
      <c r="J16" s="1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>
      <c r="A17" s="7" t="str">
        <f ca="1">IFERROR(__xludf.DUMMYFUNCTION("""COMPUTED_VALUE"""),"ti-ing-802599df-3955-46c2-9418-b1ef4176ed29")</f>
        <v>ti-ing-802599df-3955-46c2-9418-b1ef4176ed29</v>
      </c>
      <c r="B17" s="7" t="str">
        <f ca="1">IFERROR(__xludf.DUMMYFUNCTION("""COMPUTED_VALUE"""),"STEVIA LIQUIDA")</f>
        <v>STEVIA LIQUIDA</v>
      </c>
      <c r="C17" s="7">
        <v>1</v>
      </c>
      <c r="D17" s="21">
        <f ca="1">IFERROR(__xludf.DUMMYFUNCTION("""COMPUTED_VALUE"""),3444)</f>
        <v>3444</v>
      </c>
      <c r="E17" s="6" t="str">
        <f ca="1">IFERROR(__xludf.DUMMYFUNCTION("""COMPUTED_VALUE"""),"un")</f>
        <v>un</v>
      </c>
      <c r="F17" s="6" t="str">
        <f ca="1">IFERROR(__xludf.DUMMYFUNCTION("""COMPUTED_VALUE"""),"Abarrotes")</f>
        <v>Abarrotes</v>
      </c>
      <c r="G17" s="120">
        <f t="shared" ca="1" si="0"/>
        <v>3444</v>
      </c>
      <c r="H17" s="121">
        <f t="shared" ca="1" si="1"/>
        <v>654.36</v>
      </c>
      <c r="I17" s="122">
        <f t="shared" ca="1" si="2"/>
        <v>4098.3599999999997</v>
      </c>
      <c r="J17" s="1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>
      <c r="A18" s="7" t="str">
        <f ca="1">IFERROR(__xludf.DUMMYFUNCTION("""COMPUTED_VALUE"""),"ti-ing-f8ffedeb-44d6-400b-bef8-0b9c51a508a0")</f>
        <v>ti-ing-f8ffedeb-44d6-400b-bef8-0b9c51a508a0</v>
      </c>
      <c r="B18" s="7" t="str">
        <f ca="1">IFERROR(__xludf.DUMMYFUNCTION("""COMPUTED_VALUE"""),"ALCOHOL")</f>
        <v>ALCOHOL</v>
      </c>
      <c r="C18" s="7">
        <v>1.944</v>
      </c>
      <c r="D18" s="21">
        <f ca="1">IFERROR(__xludf.DUMMYFUNCTION("""COMPUTED_VALUE"""),2348.2)</f>
        <v>2348.1999999999998</v>
      </c>
      <c r="E18" s="6" t="str">
        <f ca="1">IFERROR(__xludf.DUMMYFUNCTION("""COMPUTED_VALUE"""),"UN")</f>
        <v>UN</v>
      </c>
      <c r="F18" s="6" t="str">
        <f ca="1">IFERROR(__xludf.DUMMYFUNCTION("""COMPUTED_VALUE"""),"Aseo")</f>
        <v>Aseo</v>
      </c>
      <c r="G18" s="120">
        <f t="shared" ca="1" si="0"/>
        <v>4564.9007999999994</v>
      </c>
      <c r="H18" s="121">
        <f t="shared" ca="1" si="1"/>
        <v>867.33115199999986</v>
      </c>
      <c r="I18" s="122">
        <f t="shared" ca="1" si="2"/>
        <v>5432.2319519999992</v>
      </c>
      <c r="J18" s="1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>
      <c r="A19" s="7" t="str">
        <f ca="1">IFERROR(__xludf.DUMMYFUNCTION("""COMPUTED_VALUE"""),"ti-ing-7607ac26-0154-48c7-a176-272daa456f7a")</f>
        <v>ti-ing-7607ac26-0154-48c7-a176-272daa456f7a</v>
      </c>
      <c r="B19" s="7" t="str">
        <f ca="1">IFERROR(__xludf.DUMMYFUNCTION("""COMPUTED_VALUE"""),"BOLSA BASURA CHICA (un)")</f>
        <v>BOLSA BASURA CHICA (un)</v>
      </c>
      <c r="C19" s="7">
        <v>0</v>
      </c>
      <c r="D19" s="21">
        <f ca="1">IFERROR(__xludf.DUMMYFUNCTION("""COMPUTED_VALUE"""),39)</f>
        <v>39</v>
      </c>
      <c r="E19" s="6" t="str">
        <f ca="1">IFERROR(__xludf.DUMMYFUNCTION("""COMPUTED_VALUE"""),"UN")</f>
        <v>UN</v>
      </c>
      <c r="F19" s="6" t="str">
        <f ca="1">IFERROR(__xludf.DUMMYFUNCTION("""COMPUTED_VALUE"""),"Aseo")</f>
        <v>Aseo</v>
      </c>
      <c r="G19" s="120">
        <f t="shared" ca="1" si="0"/>
        <v>0</v>
      </c>
      <c r="H19" s="121">
        <f t="shared" ca="1" si="1"/>
        <v>0</v>
      </c>
      <c r="I19" s="122">
        <f t="shared" ca="1" si="2"/>
        <v>0</v>
      </c>
      <c r="J19" s="1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>
      <c r="A20" s="7" t="str">
        <f ca="1">IFERROR(__xludf.DUMMYFUNCTION("""COMPUTED_VALUE"""),"ti-ing-32a0a1de-7d7a-48fa-8701-58015f10f3d8")</f>
        <v>ti-ing-32a0a1de-7d7a-48fa-8701-58015f10f3d8</v>
      </c>
      <c r="B20" s="7" t="str">
        <f ca="1">IFERROR(__xludf.DUMMYFUNCTION("""COMPUTED_VALUE"""),"BOLSA BASURA GRANDE (un)")</f>
        <v>BOLSA BASURA GRANDE (un)</v>
      </c>
      <c r="C20" s="7">
        <v>10</v>
      </c>
      <c r="D20" s="21">
        <f ca="1">IFERROR(__xludf.DUMMYFUNCTION("""COMPUTED_VALUE"""),391.1)</f>
        <v>391.1</v>
      </c>
      <c r="E20" s="6" t="str">
        <f ca="1">IFERROR(__xludf.DUMMYFUNCTION("""COMPUTED_VALUE"""),"UN")</f>
        <v>UN</v>
      </c>
      <c r="F20" s="6" t="str">
        <f ca="1">IFERROR(__xludf.DUMMYFUNCTION("""COMPUTED_VALUE"""),"Aseo")</f>
        <v>Aseo</v>
      </c>
      <c r="G20" s="120">
        <f t="shared" ca="1" si="0"/>
        <v>3911</v>
      </c>
      <c r="H20" s="121">
        <f t="shared" ca="1" si="1"/>
        <v>743.09</v>
      </c>
      <c r="I20" s="122">
        <f t="shared" ca="1" si="2"/>
        <v>4654.09</v>
      </c>
      <c r="J20" s="1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>
      <c r="A21" s="7" t="str">
        <f ca="1">IFERROR(__xludf.DUMMYFUNCTION("""COMPUTED_VALUE"""),"ti-ing-b56c8191-87a4-414c-8649-692ed6f88304")</f>
        <v>ti-ing-b56c8191-87a4-414c-8649-692ed6f88304</v>
      </c>
      <c r="B21" s="7" t="str">
        <f ca="1">IFERROR(__xludf.DUMMYFUNCTION("""COMPUTED_VALUE"""),"BOLSA BASURA MEDIANA (un)")</f>
        <v>BOLSA BASURA MEDIANA (un)</v>
      </c>
      <c r="C21" s="7">
        <v>0</v>
      </c>
      <c r="D21" s="21">
        <f ca="1">IFERROR(__xludf.DUMMYFUNCTION("""COMPUTED_VALUE"""),74.8)</f>
        <v>74.8</v>
      </c>
      <c r="E21" s="6" t="str">
        <f ca="1">IFERROR(__xludf.DUMMYFUNCTION("""COMPUTED_VALUE"""),"UN")</f>
        <v>UN</v>
      </c>
      <c r="F21" s="6" t="str">
        <f ca="1">IFERROR(__xludf.DUMMYFUNCTION("""COMPUTED_VALUE"""),"Aseo")</f>
        <v>Aseo</v>
      </c>
      <c r="G21" s="120">
        <f t="shared" ca="1" si="0"/>
        <v>0</v>
      </c>
      <c r="H21" s="121">
        <f t="shared" ca="1" si="1"/>
        <v>0</v>
      </c>
      <c r="I21" s="122">
        <f t="shared" ca="1" si="2"/>
        <v>0</v>
      </c>
      <c r="J21" s="1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>
      <c r="A22" s="7" t="str">
        <f ca="1">IFERROR(__xludf.DUMMYFUNCTION("""COMPUTED_VALUE"""),"ti-ing-addf5a00-64be-48da-80f1-f963e13357c9")</f>
        <v>ti-ing-addf5a00-64be-48da-80f1-f963e13357c9</v>
      </c>
      <c r="B22" s="7" t="str">
        <f ca="1">IFERROR(__xludf.DUMMYFUNCTION("""COMPUTED_VALUE"""),"CLORO 5 LTS")</f>
        <v>CLORO 5 LTS</v>
      </c>
      <c r="C22" s="7">
        <v>3.1880000000000002</v>
      </c>
      <c r="D22" s="21">
        <f ca="1">IFERROR(__xludf.DUMMYFUNCTION("""COMPUTED_VALUE"""),247)</f>
        <v>247</v>
      </c>
      <c r="E22" s="6" t="str">
        <f ca="1">IFERROR(__xludf.DUMMYFUNCTION("""COMPUTED_VALUE"""),"LT")</f>
        <v>LT</v>
      </c>
      <c r="F22" s="6" t="str">
        <f ca="1">IFERROR(__xludf.DUMMYFUNCTION("""COMPUTED_VALUE"""),"Aseo")</f>
        <v>Aseo</v>
      </c>
      <c r="G22" s="120">
        <f t="shared" ca="1" si="0"/>
        <v>787.43600000000004</v>
      </c>
      <c r="H22" s="121">
        <f t="shared" ca="1" si="1"/>
        <v>149.61284000000001</v>
      </c>
      <c r="I22" s="122">
        <f t="shared" ca="1" si="2"/>
        <v>937.04884000000004</v>
      </c>
      <c r="J22" s="1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>
      <c r="A23" s="7" t="str">
        <f ca="1">IFERROR(__xludf.DUMMYFUNCTION("""COMPUTED_VALUE"""),"ti-ing-2a9f7a04-ff9b-4634-9f27-edac618856d6")</f>
        <v>ti-ing-2a9f7a04-ff9b-4634-9f27-edac618856d6</v>
      </c>
      <c r="B23" s="7" t="str">
        <f ca="1">IFERROR(__xludf.DUMMYFUNCTION("""COMPUTED_VALUE"""),"DESENGRASANTE 5 lt")</f>
        <v>DESENGRASANTE 5 lt</v>
      </c>
      <c r="C23" s="7">
        <v>0.56899999999999995</v>
      </c>
      <c r="D23" s="21">
        <f ca="1">IFERROR(__xludf.DUMMYFUNCTION("""COMPUTED_VALUE"""),658.8)</f>
        <v>658.8</v>
      </c>
      <c r="E23" s="6" t="str">
        <f ca="1">IFERROR(__xludf.DUMMYFUNCTION("""COMPUTED_VALUE"""),"LT")</f>
        <v>LT</v>
      </c>
      <c r="F23" s="6" t="str">
        <f ca="1">IFERROR(__xludf.DUMMYFUNCTION("""COMPUTED_VALUE"""),"Aseo")</f>
        <v>Aseo</v>
      </c>
      <c r="G23" s="120">
        <f t="shared" ca="1" si="0"/>
        <v>374.85719999999992</v>
      </c>
      <c r="H23" s="121">
        <f t="shared" ca="1" si="1"/>
        <v>71.222867999999991</v>
      </c>
      <c r="I23" s="122">
        <f t="shared" ca="1" si="2"/>
        <v>446.08006799999993</v>
      </c>
      <c r="J23" s="1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>
      <c r="A24" s="7" t="str">
        <f ca="1">IFERROR(__xludf.DUMMYFUNCTION("""COMPUTED_VALUE"""),"ti-ing-e0ae8367-512a-46da-9188-edb6aed9ccac")</f>
        <v>ti-ing-e0ae8367-512a-46da-9188-edb6aed9ccac</v>
      </c>
      <c r="B24" s="7" t="str">
        <f ca="1">IFERROR(__xludf.DUMMYFUNCTION("""COMPUTED_VALUE"""),"ESCOBA")</f>
        <v>ESCOBA</v>
      </c>
      <c r="C24" s="7">
        <v>1</v>
      </c>
      <c r="D24" s="21">
        <f ca="1">IFERROR(__xludf.DUMMYFUNCTION("""COMPUTED_VALUE"""),1250)</f>
        <v>1250</v>
      </c>
      <c r="E24" s="6" t="str">
        <f ca="1">IFERROR(__xludf.DUMMYFUNCTION("""COMPUTED_VALUE"""),"UN")</f>
        <v>UN</v>
      </c>
      <c r="F24" s="6" t="str">
        <f ca="1">IFERROR(__xludf.DUMMYFUNCTION("""COMPUTED_VALUE"""),"Aseo")</f>
        <v>Aseo</v>
      </c>
      <c r="G24" s="120">
        <f t="shared" ca="1" si="0"/>
        <v>1250</v>
      </c>
      <c r="H24" s="121">
        <f t="shared" ca="1" si="1"/>
        <v>237.5</v>
      </c>
      <c r="I24" s="122">
        <f t="shared" ca="1" si="2"/>
        <v>1487.5</v>
      </c>
      <c r="J24" s="1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>
      <c r="A25" s="7" t="str">
        <f ca="1">IFERROR(__xludf.DUMMYFUNCTION("""COMPUTED_VALUE"""),"ti-ing-102eb718-4b52-41a7-9529-6a535c4ceb37")</f>
        <v>ti-ing-102eb718-4b52-41a7-9529-6a535c4ceb37</v>
      </c>
      <c r="B25" s="7" t="str">
        <f ca="1">IFERROR(__xludf.DUMMYFUNCTION("""COMPUTED_VALUE"""),"ESPONJAS AMARILLAS")</f>
        <v>ESPONJAS AMARILLAS</v>
      </c>
      <c r="C25" s="7">
        <v>2</v>
      </c>
      <c r="D25" s="21">
        <f ca="1">IFERROR(__xludf.DUMMYFUNCTION("""COMPUTED_VALUE"""),149)</f>
        <v>149</v>
      </c>
      <c r="E25" s="6" t="str">
        <f ca="1">IFERROR(__xludf.DUMMYFUNCTION("""COMPUTED_VALUE"""),"UN")</f>
        <v>UN</v>
      </c>
      <c r="F25" s="6" t="str">
        <f ca="1">IFERROR(__xludf.DUMMYFUNCTION("""COMPUTED_VALUE"""),"Aseo")</f>
        <v>Aseo</v>
      </c>
      <c r="G25" s="120">
        <f t="shared" ca="1" si="0"/>
        <v>298</v>
      </c>
      <c r="H25" s="121">
        <f t="shared" ca="1" si="1"/>
        <v>56.62</v>
      </c>
      <c r="I25" s="122">
        <f t="shared" ca="1" si="2"/>
        <v>354.62</v>
      </c>
      <c r="J25" s="1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>
      <c r="A26" s="7" t="str">
        <f ca="1">IFERROR(__xludf.DUMMYFUNCTION("""COMPUTED_VALUE"""),"ti-ing-0c760711-4885-4c8f-b5d5-6615e29d0673")</f>
        <v>ti-ing-0c760711-4885-4c8f-b5d5-6615e29d0673</v>
      </c>
      <c r="B26" s="7" t="str">
        <f ca="1">IFERROR(__xludf.DUMMYFUNCTION("""COMPUTED_VALUE"""),"GUANTES AMARILLOS L")</f>
        <v>GUANTES AMARILLOS L</v>
      </c>
      <c r="C26" s="7">
        <v>0</v>
      </c>
      <c r="D26" s="21">
        <f ca="1">IFERROR(__xludf.DUMMYFUNCTION("""COMPUTED_VALUE"""),495)</f>
        <v>495</v>
      </c>
      <c r="E26" s="6" t="str">
        <f ca="1">IFERROR(__xludf.DUMMYFUNCTION("""COMPUTED_VALUE"""),"UN")</f>
        <v>UN</v>
      </c>
      <c r="F26" s="6" t="str">
        <f ca="1">IFERROR(__xludf.DUMMYFUNCTION("""COMPUTED_VALUE"""),"Aseo")</f>
        <v>Aseo</v>
      </c>
      <c r="G26" s="120">
        <f t="shared" ca="1" si="0"/>
        <v>0</v>
      </c>
      <c r="H26" s="121">
        <f t="shared" ca="1" si="1"/>
        <v>0</v>
      </c>
      <c r="I26" s="122">
        <f t="shared" ca="1" si="2"/>
        <v>0</v>
      </c>
      <c r="J26" s="1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>
      <c r="A27" s="7" t="str">
        <f ca="1">IFERROR(__xludf.DUMMYFUNCTION("""COMPUTED_VALUE"""),"ti-ing-7fc47597-0e5d-46f8-a43c-94faaa1daf88")</f>
        <v>ti-ing-7fc47597-0e5d-46f8-a43c-94faaa1daf88</v>
      </c>
      <c r="B27" s="7" t="str">
        <f ca="1">IFERROR(__xludf.DUMMYFUNCTION("""COMPUTED_VALUE"""),"GUANTES AMARILLOS M")</f>
        <v>GUANTES AMARILLOS M</v>
      </c>
      <c r="C27" s="7">
        <v>0</v>
      </c>
      <c r="D27" s="21">
        <f ca="1">IFERROR(__xludf.DUMMYFUNCTION("""COMPUTED_VALUE"""),495)</f>
        <v>495</v>
      </c>
      <c r="E27" s="6" t="str">
        <f ca="1">IFERROR(__xludf.DUMMYFUNCTION("""COMPUTED_VALUE"""),"UN")</f>
        <v>UN</v>
      </c>
      <c r="F27" s="6" t="str">
        <f ca="1">IFERROR(__xludf.DUMMYFUNCTION("""COMPUTED_VALUE"""),"Aseo")</f>
        <v>Aseo</v>
      </c>
      <c r="G27" s="120">
        <f t="shared" ca="1" si="0"/>
        <v>0</v>
      </c>
      <c r="H27" s="121">
        <f t="shared" ca="1" si="1"/>
        <v>0</v>
      </c>
      <c r="I27" s="122">
        <f t="shared" ca="1" si="2"/>
        <v>0</v>
      </c>
      <c r="J27" s="1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>
      <c r="A28" s="7" t="str">
        <f ca="1">IFERROR(__xludf.DUMMYFUNCTION("""COMPUTED_VALUE"""),"ti-ing-04fc2068-57ca-42bc-bedb-ceda3e223def")</f>
        <v>ti-ing-04fc2068-57ca-42bc-bedb-ceda3e223def</v>
      </c>
      <c r="B28" s="7" t="str">
        <f ca="1">IFERROR(__xludf.DUMMYFUNCTION("""COMPUTED_VALUE"""),"Guantes De Látex L")</f>
        <v>Guantes De Látex L</v>
      </c>
      <c r="C28" s="7">
        <v>0</v>
      </c>
      <c r="D28" s="21">
        <f ca="1">IFERROR(__xludf.DUMMYFUNCTION("""COMPUTED_VALUE"""),3649.902)</f>
        <v>3649.902</v>
      </c>
      <c r="E28" s="6" t="str">
        <f ca="1">IFERROR(__xludf.DUMMYFUNCTION("""COMPUTED_VALUE"""),"UN")</f>
        <v>UN</v>
      </c>
      <c r="F28" s="6" t="str">
        <f ca="1">IFERROR(__xludf.DUMMYFUNCTION("""COMPUTED_VALUE"""),"Aseo")</f>
        <v>Aseo</v>
      </c>
      <c r="G28" s="120">
        <f t="shared" ca="1" si="0"/>
        <v>0</v>
      </c>
      <c r="H28" s="121">
        <f t="shared" ca="1" si="1"/>
        <v>0</v>
      </c>
      <c r="I28" s="122">
        <f t="shared" ca="1" si="2"/>
        <v>0</v>
      </c>
      <c r="J28" s="1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>
      <c r="A29" s="7" t="str">
        <f ca="1">IFERROR(__xludf.DUMMYFUNCTION("""COMPUTED_VALUE"""),"ti-ing-3c965e17-4bc3-453d-b74f-c682b54aeade")</f>
        <v>ti-ing-3c965e17-4bc3-453d-b74f-c682b54aeade</v>
      </c>
      <c r="B29" s="7" t="str">
        <f ca="1">IFERROR(__xludf.DUMMYFUNCTION("""COMPUTED_VALUE"""),"Guantes De Látex M")</f>
        <v>Guantes De Látex M</v>
      </c>
      <c r="C29" s="7">
        <v>1</v>
      </c>
      <c r="D29" s="21">
        <f ca="1">IFERROR(__xludf.DUMMYFUNCTION("""COMPUTED_VALUE"""),3650)</f>
        <v>3650</v>
      </c>
      <c r="E29" s="6" t="str">
        <f ca="1">IFERROR(__xludf.DUMMYFUNCTION("""COMPUTED_VALUE"""),"UN")</f>
        <v>UN</v>
      </c>
      <c r="F29" s="6" t="str">
        <f ca="1">IFERROR(__xludf.DUMMYFUNCTION("""COMPUTED_VALUE"""),"Aseo")</f>
        <v>Aseo</v>
      </c>
      <c r="G29" s="120">
        <f t="shared" ca="1" si="0"/>
        <v>3650</v>
      </c>
      <c r="H29" s="121">
        <f t="shared" ca="1" si="1"/>
        <v>693.5</v>
      </c>
      <c r="I29" s="122">
        <f t="shared" ca="1" si="2"/>
        <v>4343.5</v>
      </c>
      <c r="J29" s="1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>
      <c r="A30" s="7" t="str">
        <f ca="1">IFERROR(__xludf.DUMMYFUNCTION("""COMPUTED_VALUE"""),"ti-ing-a5847069-c85b-4a57-a415-7cf62066dedc")</f>
        <v>ti-ing-a5847069-c85b-4a57-a415-7cf62066dedc</v>
      </c>
      <c r="B30" s="7" t="str">
        <f ca="1">IFERROR(__xludf.DUMMYFUNCTION("""COMPUTED_VALUE"""),"Guantes De Látex S")</f>
        <v>Guantes De Látex S</v>
      </c>
      <c r="C30" s="7">
        <v>1</v>
      </c>
      <c r="D30" s="21">
        <f ca="1">IFERROR(__xludf.DUMMYFUNCTION("""COMPUTED_VALUE"""),3650)</f>
        <v>3650</v>
      </c>
      <c r="E30" s="6" t="str">
        <f ca="1">IFERROR(__xludf.DUMMYFUNCTION("""COMPUTED_VALUE"""),"un")</f>
        <v>un</v>
      </c>
      <c r="F30" s="6" t="str">
        <f ca="1">IFERROR(__xludf.DUMMYFUNCTION("""COMPUTED_VALUE"""),"Aseo")</f>
        <v>Aseo</v>
      </c>
      <c r="G30" s="120">
        <f t="shared" ca="1" si="0"/>
        <v>3650</v>
      </c>
      <c r="H30" s="121">
        <f t="shared" ca="1" si="1"/>
        <v>693.5</v>
      </c>
      <c r="I30" s="122">
        <f t="shared" ca="1" si="2"/>
        <v>4343.5</v>
      </c>
      <c r="J30" s="1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>
      <c r="A31" s="7" t="str">
        <f ca="1">IFERROR(__xludf.DUMMYFUNCTION("""COMPUTED_VALUE"""),"ti-ing-90438c34-c1c8-455a-8b38-f56ab57f0e76")</f>
        <v>ti-ing-90438c34-c1c8-455a-8b38-f56ab57f0e76</v>
      </c>
      <c r="B31" s="7" t="str">
        <f ca="1">IFERROR(__xludf.DUMMYFUNCTION("""COMPUTED_VALUE"""),"LAVALOZAS")</f>
        <v>LAVALOZAS</v>
      </c>
      <c r="C31" s="7">
        <v>3.246</v>
      </c>
      <c r="D31" s="21">
        <f ca="1">IFERROR(__xludf.DUMMYFUNCTION("""COMPUTED_VALUE"""),381.6)</f>
        <v>381.6</v>
      </c>
      <c r="E31" s="6" t="str">
        <f ca="1">IFERROR(__xludf.DUMMYFUNCTION("""COMPUTED_VALUE"""),"LT")</f>
        <v>LT</v>
      </c>
      <c r="F31" s="6" t="str">
        <f ca="1">IFERROR(__xludf.DUMMYFUNCTION("""COMPUTED_VALUE"""),"Aseo")</f>
        <v>Aseo</v>
      </c>
      <c r="G31" s="120">
        <f t="shared" ca="1" si="0"/>
        <v>1238.6736000000001</v>
      </c>
      <c r="H31" s="121">
        <f t="shared" ca="1" si="1"/>
        <v>235.34798400000003</v>
      </c>
      <c r="I31" s="122">
        <f t="shared" ca="1" si="2"/>
        <v>1474.0215840000001</v>
      </c>
      <c r="J31" s="1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>
      <c r="A32" s="7" t="str">
        <f ca="1">IFERROR(__xludf.DUMMYFUNCTION("""COMPUTED_VALUE"""),"ti-ing-87e4c4d7-978b-4106-9ff1-dda60dd75d70")</f>
        <v>ti-ing-87e4c4d7-978b-4106-9ff1-dda60dd75d70</v>
      </c>
      <c r="B32" s="7" t="str">
        <f ca="1">IFERROR(__xludf.DUMMYFUNCTION("""COMPUTED_VALUE"""),"LIMPIAPISOS")</f>
        <v>LIMPIAPISOS</v>
      </c>
      <c r="C32" s="7">
        <v>4.8</v>
      </c>
      <c r="D32" s="21">
        <f ca="1">IFERROR(__xludf.DUMMYFUNCTION("""COMPUTED_VALUE"""),284.1160494)</f>
        <v>284.11604940000001</v>
      </c>
      <c r="E32" s="6" t="str">
        <f ca="1">IFERROR(__xludf.DUMMYFUNCTION("""COMPUTED_VALUE"""),"LT")</f>
        <v>LT</v>
      </c>
      <c r="F32" s="6" t="str">
        <f ca="1">IFERROR(__xludf.DUMMYFUNCTION("""COMPUTED_VALUE"""),"Aseo")</f>
        <v>Aseo</v>
      </c>
      <c r="G32" s="120">
        <f t="shared" ca="1" si="0"/>
        <v>1363.7570371199999</v>
      </c>
      <c r="H32" s="121">
        <f t="shared" ca="1" si="1"/>
        <v>259.11383705279997</v>
      </c>
      <c r="I32" s="122">
        <f t="shared" ca="1" si="2"/>
        <v>1622.8708741727999</v>
      </c>
      <c r="J32" s="1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>
      <c r="A33" s="7" t="str">
        <f ca="1">IFERROR(__xludf.DUMMYFUNCTION("""COMPUTED_VALUE"""),"ti-ing-64301c86-8657-4a60-9738-54b3f81ead5a")</f>
        <v>ti-ing-64301c86-8657-4a60-9738-54b3f81ead5a</v>
      </c>
      <c r="B33" s="7" t="str">
        <f ca="1">IFERROR(__xludf.DUMMYFUNCTION("""COMPUTED_VALUE"""),"MALLAS DE PELO (100un)")</f>
        <v>MALLAS DE PELO (100un)</v>
      </c>
      <c r="C33" s="7">
        <v>0.3</v>
      </c>
      <c r="D33" s="21">
        <f ca="1">IFERROR(__xludf.DUMMYFUNCTION("""COMPUTED_VALUE"""),1529)</f>
        <v>1529</v>
      </c>
      <c r="E33" s="6" t="str">
        <f ca="1">IFERROR(__xludf.DUMMYFUNCTION("""COMPUTED_VALUE"""),"UN")</f>
        <v>UN</v>
      </c>
      <c r="F33" s="6" t="str">
        <f ca="1">IFERROR(__xludf.DUMMYFUNCTION("""COMPUTED_VALUE"""),"Aseo")</f>
        <v>Aseo</v>
      </c>
      <c r="G33" s="120">
        <f t="shared" ca="1" si="0"/>
        <v>458.7</v>
      </c>
      <c r="H33" s="121">
        <f t="shared" ca="1" si="1"/>
        <v>87.153000000000006</v>
      </c>
      <c r="I33" s="122">
        <f t="shared" ca="1" si="2"/>
        <v>545.85299999999995</v>
      </c>
      <c r="J33" s="1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>
      <c r="A34" s="7" t="str">
        <f ca="1">IFERROR(__xludf.DUMMYFUNCTION("""COMPUTED_VALUE"""),"ti-ing-242bf6e9-d5c5-47e7-8f0a-88f3cbbcc3af")</f>
        <v>ti-ing-242bf6e9-d5c5-47e7-8f0a-88f3cbbcc3af</v>
      </c>
      <c r="B34" s="7" t="str">
        <f ca="1">IFERROR(__xludf.DUMMYFUNCTION("""COMPUTED_VALUE"""),"Mascarillas")</f>
        <v>Mascarillas</v>
      </c>
      <c r="C34" s="7">
        <v>14</v>
      </c>
      <c r="D34" s="21">
        <f ca="1">IFERROR(__xludf.DUMMYFUNCTION("""COMPUTED_VALUE"""),1350)</f>
        <v>1350</v>
      </c>
      <c r="E34" s="6" t="str">
        <f ca="1">IFERROR(__xludf.DUMMYFUNCTION("""COMPUTED_VALUE"""),"UN")</f>
        <v>UN</v>
      </c>
      <c r="F34" s="6" t="str">
        <f ca="1">IFERROR(__xludf.DUMMYFUNCTION("""COMPUTED_VALUE"""),"Aseo")</f>
        <v>Aseo</v>
      </c>
      <c r="G34" s="120">
        <f t="shared" ca="1" si="0"/>
        <v>18900</v>
      </c>
      <c r="H34" s="121">
        <f t="shared" ca="1" si="1"/>
        <v>3591</v>
      </c>
      <c r="I34" s="122">
        <f t="shared" ca="1" si="2"/>
        <v>22491</v>
      </c>
      <c r="J34" s="15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>
      <c r="A35" s="7" t="str">
        <f ca="1">IFERROR(__xludf.DUMMYFUNCTION("""COMPUTED_VALUE"""),"ti-ing-313073f4-b1b1-442d-b077-951f3ce67b06")</f>
        <v>ti-ing-313073f4-b1b1-442d-b077-951f3ce67b06</v>
      </c>
      <c r="B35" s="7" t="str">
        <f ca="1">IFERROR(__xludf.DUMMYFUNCTION("""COMPUTED_VALUE"""),"NOVA Unidad")</f>
        <v>NOVA Unidad</v>
      </c>
      <c r="C35" s="7">
        <v>3</v>
      </c>
      <c r="D35" s="21">
        <f ca="1">IFERROR(__xludf.DUMMYFUNCTION("""COMPUTED_VALUE"""),2735)</f>
        <v>2735</v>
      </c>
      <c r="E35" s="6" t="str">
        <f ca="1">IFERROR(__xludf.DUMMYFUNCTION("""COMPUTED_VALUE"""),"UN")</f>
        <v>UN</v>
      </c>
      <c r="F35" s="6" t="str">
        <f ca="1">IFERROR(__xludf.DUMMYFUNCTION("""COMPUTED_VALUE"""),"Aseo")</f>
        <v>Aseo</v>
      </c>
      <c r="G35" s="120">
        <f t="shared" ca="1" si="0"/>
        <v>8205</v>
      </c>
      <c r="H35" s="121">
        <f t="shared" ca="1" si="1"/>
        <v>1558.95</v>
      </c>
      <c r="I35" s="122">
        <f t="shared" ca="1" si="2"/>
        <v>9763.9500000000007</v>
      </c>
      <c r="J35" s="15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>
      <c r="A36" s="7" t="str">
        <f ca="1">IFERROR(__xludf.DUMMYFUNCTION("""COMPUTED_VALUE"""),"ti-ing-f2a85135-486f-455a-9223-1092ccd4e7cd")</f>
        <v>ti-ing-f2a85135-486f-455a-9223-1092ccd4e7cd</v>
      </c>
      <c r="B36" s="7" t="str">
        <f ca="1">IFERROR(__xludf.DUMMYFUNCTION("""COMPUTED_VALUE"""),"PALA")</f>
        <v>PALA</v>
      </c>
      <c r="C36" s="7">
        <v>1</v>
      </c>
      <c r="D36" s="21">
        <f ca="1">IFERROR(__xludf.DUMMYFUNCTION("""COMPUTED_VALUE"""),1165)</f>
        <v>1165</v>
      </c>
      <c r="E36" s="6" t="str">
        <f ca="1">IFERROR(__xludf.DUMMYFUNCTION("""COMPUTED_VALUE"""),"UN")</f>
        <v>UN</v>
      </c>
      <c r="F36" s="6" t="str">
        <f ca="1">IFERROR(__xludf.DUMMYFUNCTION("""COMPUTED_VALUE"""),"Aseo")</f>
        <v>Aseo</v>
      </c>
      <c r="G36" s="120">
        <f t="shared" ca="1" si="0"/>
        <v>1165</v>
      </c>
      <c r="H36" s="121">
        <f t="shared" ca="1" si="1"/>
        <v>221.35</v>
      </c>
      <c r="I36" s="122">
        <f t="shared" ca="1" si="2"/>
        <v>1386.35</v>
      </c>
      <c r="J36" s="15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>
      <c r="A37" s="7" t="str">
        <f ca="1">IFERROR(__xludf.DUMMYFUNCTION("""COMPUTED_VALUE"""),"ti-ing-a496bcbe-0906-4bd7-90be-10085697981e")</f>
        <v>ti-ing-a496bcbe-0906-4bd7-90be-10085697981e</v>
      </c>
      <c r="B37" s="7" t="str">
        <f ca="1">IFERROR(__xludf.DUMMYFUNCTION("""COMPUTED_VALUE"""),"Paño microfibra")</f>
        <v>Paño microfibra</v>
      </c>
      <c r="C37" s="7">
        <v>9</v>
      </c>
      <c r="D37" s="21">
        <f ca="1">IFERROR(__xludf.DUMMYFUNCTION("""COMPUTED_VALUE"""),650)</f>
        <v>650</v>
      </c>
      <c r="E37" s="6" t="str">
        <f ca="1">IFERROR(__xludf.DUMMYFUNCTION("""COMPUTED_VALUE"""),"UN")</f>
        <v>UN</v>
      </c>
      <c r="F37" s="6" t="str">
        <f ca="1">IFERROR(__xludf.DUMMYFUNCTION("""COMPUTED_VALUE"""),"Aseo")</f>
        <v>Aseo</v>
      </c>
      <c r="G37" s="120">
        <f t="shared" ca="1" si="0"/>
        <v>5850</v>
      </c>
      <c r="H37" s="121">
        <f t="shared" ca="1" si="1"/>
        <v>1111.5</v>
      </c>
      <c r="I37" s="122">
        <f t="shared" ca="1" si="2"/>
        <v>6961.5</v>
      </c>
      <c r="J37" s="15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>
      <c r="A38" s="7" t="str">
        <f ca="1">IFERROR(__xludf.DUMMYFUNCTION("""COMPUTED_VALUE"""),"ti-ing-71ad4a79-597d-4cd3-85f8-8c113261d29e")</f>
        <v>ti-ing-71ad4a79-597d-4cd3-85f8-8c113261d29e</v>
      </c>
      <c r="B38" s="7" t="str">
        <f ca="1">IFERROR(__xludf.DUMMYFUNCTION("""COMPUTED_VALUE"""),"PAÑOS AMARILLOS")</f>
        <v>PAÑOS AMARILLOS</v>
      </c>
      <c r="C38" s="7">
        <v>0</v>
      </c>
      <c r="D38" s="21">
        <f ca="1">IFERROR(__xludf.DUMMYFUNCTION("""COMPUTED_VALUE"""),185)</f>
        <v>185</v>
      </c>
      <c r="E38" s="6" t="str">
        <f ca="1">IFERROR(__xludf.DUMMYFUNCTION("""COMPUTED_VALUE"""),"UN")</f>
        <v>UN</v>
      </c>
      <c r="F38" s="6" t="str">
        <f ca="1">IFERROR(__xludf.DUMMYFUNCTION("""COMPUTED_VALUE"""),"Aseo")</f>
        <v>Aseo</v>
      </c>
      <c r="G38" s="120">
        <f t="shared" ca="1" si="0"/>
        <v>0</v>
      </c>
      <c r="H38" s="121">
        <f t="shared" ca="1" si="1"/>
        <v>0</v>
      </c>
      <c r="I38" s="122">
        <f t="shared" ca="1" si="2"/>
        <v>0</v>
      </c>
      <c r="J38" s="15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>
      <c r="A39" s="7" t="str">
        <f ca="1">IFERROR(__xludf.DUMMYFUNCTION("""COMPUTED_VALUE"""),"ti-ing-dcad707d-6012-450f-8e1d-b50e4ae44b10")</f>
        <v>ti-ing-dcad707d-6012-450f-8e1d-b50e4ae44b10</v>
      </c>
      <c r="B39" s="7" t="str">
        <f ca="1">IFERROR(__xludf.DUMMYFUNCTION("""COMPUTED_VALUE"""),"TRAPOS BLANCOS")</f>
        <v>TRAPOS BLANCOS</v>
      </c>
      <c r="C39" s="7">
        <v>2</v>
      </c>
      <c r="D39" s="21">
        <f ca="1">IFERROR(__xludf.DUMMYFUNCTION("""COMPUTED_VALUE"""),789)</f>
        <v>789</v>
      </c>
      <c r="E39" s="6" t="str">
        <f ca="1">IFERROR(__xludf.DUMMYFUNCTION("""COMPUTED_VALUE"""),"UN")</f>
        <v>UN</v>
      </c>
      <c r="F39" s="6" t="str">
        <f ca="1">IFERROR(__xludf.DUMMYFUNCTION("""COMPUTED_VALUE"""),"Aseo")</f>
        <v>Aseo</v>
      </c>
      <c r="G39" s="120">
        <f t="shared" ca="1" si="0"/>
        <v>1578</v>
      </c>
      <c r="H39" s="121">
        <f t="shared" ca="1" si="1"/>
        <v>299.82</v>
      </c>
      <c r="I39" s="122">
        <f t="shared" ca="1" si="2"/>
        <v>1877.82</v>
      </c>
      <c r="J39" s="15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>
      <c r="A40" s="7" t="str">
        <f ca="1">IFERROR(__xludf.DUMMYFUNCTION("""COMPUTED_VALUE"""),"ti-ing-46619eaa-21aa-41d5-931f-97aa9149b051")</f>
        <v>ti-ing-46619eaa-21aa-41d5-931f-97aa9149b051</v>
      </c>
      <c r="B40" s="7" t="str">
        <f ca="1">IFERROR(__xludf.DUMMYFUNCTION("""COMPUTED_VALUE"""),"VIRUTILLA VERDE")</f>
        <v>VIRUTILLA VERDE</v>
      </c>
      <c r="C40" s="7">
        <v>5</v>
      </c>
      <c r="D40" s="21">
        <f ca="1">IFERROR(__xludf.DUMMYFUNCTION("""COMPUTED_VALUE"""),890)</f>
        <v>890</v>
      </c>
      <c r="E40" s="6" t="str">
        <f ca="1">IFERROR(__xludf.DUMMYFUNCTION("""COMPUTED_VALUE"""),"UN")</f>
        <v>UN</v>
      </c>
      <c r="F40" s="6" t="str">
        <f ca="1">IFERROR(__xludf.DUMMYFUNCTION("""COMPUTED_VALUE"""),"Aseo")</f>
        <v>Aseo</v>
      </c>
      <c r="G40" s="120">
        <f t="shared" ca="1" si="0"/>
        <v>4450</v>
      </c>
      <c r="H40" s="121">
        <f t="shared" ca="1" si="1"/>
        <v>845.5</v>
      </c>
      <c r="I40" s="122">
        <f t="shared" ca="1" si="2"/>
        <v>5295.5</v>
      </c>
      <c r="J40" s="15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>
      <c r="A41" s="7" t="str">
        <f ca="1">IFERROR(__xludf.DUMMYFUNCTION("""COMPUTED_VALUE"""),"ti-ing-05138604-76c8-4821-a2f2-16c160cd1a38")</f>
        <v>ti-ing-05138604-76c8-4821-a2f2-16c160cd1a38</v>
      </c>
      <c r="B41" s="7" t="str">
        <f ca="1">IFERROR(__xludf.DUMMYFUNCTION("""COMPUTED_VALUE"""),"Despacho")</f>
        <v>Despacho</v>
      </c>
      <c r="C41" s="7">
        <v>0</v>
      </c>
      <c r="D41" s="21">
        <f ca="1">IFERROR(__xludf.DUMMYFUNCTION("""COMPUTED_VALUE"""),20079)</f>
        <v>20079</v>
      </c>
      <c r="E41" s="6" t="str">
        <f ca="1">IFERROR(__xludf.DUMMYFUNCTION("""COMPUTED_VALUE"""),"UN")</f>
        <v>UN</v>
      </c>
      <c r="F41" s="6" t="str">
        <f ca="1">IFERROR(__xludf.DUMMYFUNCTION("""COMPUTED_VALUE"""),"Bebestibles")</f>
        <v>Bebestibles</v>
      </c>
      <c r="G41" s="120">
        <f t="shared" ca="1" si="0"/>
        <v>0</v>
      </c>
      <c r="H41" s="121">
        <f t="shared" ca="1" si="1"/>
        <v>0</v>
      </c>
      <c r="I41" s="122">
        <f t="shared" ca="1" si="2"/>
        <v>0</v>
      </c>
      <c r="J41" s="15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>
      <c r="A42" s="7" t="str">
        <f ca="1">IFERROR(__xludf.DUMMYFUNCTION("""COMPUTED_VALUE"""),"ti-ing-9d873397-e256-4684-ace9-5de471cf4acc")</f>
        <v>ti-ing-9d873397-e256-4684-ace9-5de471cf4acc</v>
      </c>
      <c r="B42" s="7" t="str">
        <f ca="1">IFERROR(__xludf.DUMMYFUNCTION("""COMPUTED_VALUE"""),"Pulpa Maracuya C/Pepas")</f>
        <v>Pulpa Maracuya C/Pepas</v>
      </c>
      <c r="C42" s="7">
        <v>3</v>
      </c>
      <c r="D42" s="21">
        <f ca="1">IFERROR(__xludf.DUMMYFUNCTION("""COMPUTED_VALUE"""),5590)</f>
        <v>5590</v>
      </c>
      <c r="E42" s="6" t="str">
        <f ca="1">IFERROR(__xludf.DUMMYFUNCTION("""COMPUTED_VALUE"""),"KG")</f>
        <v>KG</v>
      </c>
      <c r="F42" s="6" t="str">
        <f ca="1">IFERROR(__xludf.DUMMYFUNCTION("""COMPUTED_VALUE"""),"Bebestibles")</f>
        <v>Bebestibles</v>
      </c>
      <c r="G42" s="120">
        <f t="shared" ca="1" si="0"/>
        <v>16770</v>
      </c>
      <c r="H42" s="121">
        <f t="shared" ca="1" si="1"/>
        <v>3186.3</v>
      </c>
      <c r="I42" s="122">
        <f t="shared" ca="1" si="2"/>
        <v>19956.3</v>
      </c>
      <c r="J42" s="15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>
      <c r="A43" s="7" t="str">
        <f ca="1">IFERROR(__xludf.DUMMYFUNCTION("""COMPUTED_VALUE"""),"ti-ing-46ed98ef-6287-4308-b02f-a48c61750f5f")</f>
        <v>ti-ing-46ed98ef-6287-4308-b02f-a48c61750f5f</v>
      </c>
      <c r="B43" s="7" t="str">
        <f ca="1">IFERROR(__xludf.DUMMYFUNCTION("""COMPUTED_VALUE"""),"ACETATO")</f>
        <v>ACETATO</v>
      </c>
      <c r="C43" s="7">
        <v>1</v>
      </c>
      <c r="D43" s="21">
        <f ca="1">IFERROR(__xludf.DUMMYFUNCTION("""COMPUTED_VALUE"""),9796.778)</f>
        <v>9796.7780000000002</v>
      </c>
      <c r="E43" s="6" t="str">
        <f ca="1">IFERROR(__xludf.DUMMYFUNCTION("""COMPUTED_VALUE"""),"UN")</f>
        <v>UN</v>
      </c>
      <c r="F43" s="6" t="str">
        <f ca="1">IFERROR(__xludf.DUMMYFUNCTION("""COMPUTED_VALUE"""),"Desechables")</f>
        <v>Desechables</v>
      </c>
      <c r="G43" s="120">
        <f t="shared" ca="1" si="0"/>
        <v>9796.7780000000002</v>
      </c>
      <c r="H43" s="121">
        <f t="shared" ca="1" si="1"/>
        <v>1861.3878200000001</v>
      </c>
      <c r="I43" s="122">
        <f t="shared" ca="1" si="2"/>
        <v>11658.16582</v>
      </c>
      <c r="J43" s="15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>
      <c r="A44" s="7" t="str">
        <f ca="1">IFERROR(__xludf.DUMMYFUNCTION("""COMPUTED_VALUE"""),"ti-ing-3f369fe5-7a8e-404f-b4c8-6069d9081623")</f>
        <v>ti-ing-3f369fe5-7a8e-404f-b4c8-6069d9081623</v>
      </c>
      <c r="B44" s="7" t="str">
        <f ca="1">IFERROR(__xludf.DUMMYFUNCTION("""COMPUTED_VALUE"""),"BOLSAS PORCIONADORAS DE PULPA (5 kilos)")</f>
        <v>BOLSAS PORCIONADORAS DE PULPA (5 kilos)</v>
      </c>
      <c r="C44" s="7">
        <v>0</v>
      </c>
      <c r="D44" s="21">
        <f ca="1">IFERROR(__xludf.DUMMYFUNCTION("""COMPUTED_VALUE"""),17850)</f>
        <v>17850</v>
      </c>
      <c r="E44" s="6" t="str">
        <f ca="1">IFERROR(__xludf.DUMMYFUNCTION("""COMPUTED_VALUE"""),"UN")</f>
        <v>UN</v>
      </c>
      <c r="F44" s="6" t="str">
        <f ca="1">IFERROR(__xludf.DUMMYFUNCTION("""COMPUTED_VALUE"""),"Desechables")</f>
        <v>Desechables</v>
      </c>
      <c r="G44" s="120">
        <f t="shared" ca="1" si="0"/>
        <v>0</v>
      </c>
      <c r="H44" s="121">
        <f t="shared" ca="1" si="1"/>
        <v>0</v>
      </c>
      <c r="I44" s="122">
        <f t="shared" ca="1" si="2"/>
        <v>0</v>
      </c>
      <c r="J44" s="15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>
      <c r="A45" s="7"/>
      <c r="B45" s="7" t="str">
        <f ca="1">IFERROR(__xludf.DUMMYFUNCTION("""COMPUTED_VALUE"""),"Cofia tipo monja")</f>
        <v>Cofia tipo monja</v>
      </c>
      <c r="C45" s="7">
        <v>35</v>
      </c>
      <c r="D45" s="21">
        <f ca="1">IFERROR(__xludf.DUMMYFUNCTION("""COMPUTED_VALUE"""),101.7863253)</f>
        <v>101.7863253</v>
      </c>
      <c r="E45" s="6" t="str">
        <f ca="1">IFERROR(__xludf.DUMMYFUNCTION("""COMPUTED_VALUE"""),"UN")</f>
        <v>UN</v>
      </c>
      <c r="F45" s="6" t="str">
        <f ca="1">IFERROR(__xludf.DUMMYFUNCTION("""COMPUTED_VALUE"""),"Desechables")</f>
        <v>Desechables</v>
      </c>
      <c r="G45" s="120">
        <f t="shared" ca="1" si="0"/>
        <v>3562.5213855000002</v>
      </c>
      <c r="H45" s="121">
        <f t="shared" ca="1" si="1"/>
        <v>676.879063245</v>
      </c>
      <c r="I45" s="122">
        <f t="shared" ca="1" si="2"/>
        <v>4239.4004487450002</v>
      </c>
      <c r="J45" s="15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>
      <c r="A46" s="7" t="str">
        <f ca="1">IFERROR(__xludf.DUMMYFUNCTION("""COMPUTED_VALUE"""),"ti-ing-6de3399c-b35b-4eb5-ae73-cad819723851")</f>
        <v>ti-ing-6de3399c-b35b-4eb5-ae73-cad819723851</v>
      </c>
      <c r="B46" s="7" t="str">
        <f ca="1">IFERROR(__xludf.DUMMYFUNCTION("""COMPUTED_VALUE"""),"Cubre calzado (100un)")</f>
        <v>Cubre calzado (100un)</v>
      </c>
      <c r="C46" s="7">
        <v>0</v>
      </c>
      <c r="D46" s="21">
        <f ca="1">IFERROR(__xludf.DUMMYFUNCTION("""COMPUTED_VALUE"""),2680)</f>
        <v>2680</v>
      </c>
      <c r="E46" s="6" t="str">
        <f ca="1">IFERROR(__xludf.DUMMYFUNCTION("""COMPUTED_VALUE"""),"UN")</f>
        <v>UN</v>
      </c>
      <c r="F46" s="6" t="str">
        <f ca="1">IFERROR(__xludf.DUMMYFUNCTION("""COMPUTED_VALUE"""),"Desechables")</f>
        <v>Desechables</v>
      </c>
      <c r="G46" s="120">
        <f t="shared" ca="1" si="0"/>
        <v>0</v>
      </c>
      <c r="H46" s="121">
        <f t="shared" ca="1" si="1"/>
        <v>0</v>
      </c>
      <c r="I46" s="122">
        <f t="shared" ca="1" si="2"/>
        <v>0</v>
      </c>
      <c r="J46" s="15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>
      <c r="A47" s="7" t="str">
        <f ca="1">IFERROR(__xludf.DUMMYFUNCTION("""COMPUTED_VALUE"""),"ti-ing-33ce059a-0358-462e-ab2f-e4e2e34cdd8f")</f>
        <v>ti-ing-33ce059a-0358-462e-ab2f-e4e2e34cdd8f</v>
      </c>
      <c r="B47" s="7" t="str">
        <f ca="1">IFERROR(__xludf.DUMMYFUNCTION("""COMPUTED_VALUE"""),"Cupula 20x12x10")</f>
        <v>Cupula 20x12x10</v>
      </c>
      <c r="C47" s="7">
        <v>34</v>
      </c>
      <c r="D47" s="21">
        <f ca="1">IFERROR(__xludf.DUMMYFUNCTION("""COMPUTED_VALUE"""),621.84)</f>
        <v>621.84</v>
      </c>
      <c r="E47" s="6" t="str">
        <f ca="1">IFERROR(__xludf.DUMMYFUNCTION("""COMPUTED_VALUE"""),"UN")</f>
        <v>UN</v>
      </c>
      <c r="F47" s="6" t="str">
        <f ca="1">IFERROR(__xludf.DUMMYFUNCTION("""COMPUTED_VALUE"""),"Desechables")</f>
        <v>Desechables</v>
      </c>
      <c r="G47" s="120">
        <f t="shared" ca="1" si="0"/>
        <v>21142.560000000001</v>
      </c>
      <c r="H47" s="121">
        <f t="shared" ca="1" si="1"/>
        <v>4017.0864000000001</v>
      </c>
      <c r="I47" s="122">
        <f t="shared" ca="1" si="2"/>
        <v>25159.646400000001</v>
      </c>
      <c r="J47" s="15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>
      <c r="A48" s="7" t="str">
        <f ca="1">IFERROR(__xludf.DUMMYFUNCTION("""COMPUTED_VALUE"""),"ti-ing-ebcd4938-8c02-4365-b344-a77d847cf9f3")</f>
        <v>ti-ing-ebcd4938-8c02-4365-b344-a77d847cf9f3</v>
      </c>
      <c r="B48" s="7" t="str">
        <f ca="1">IFERROR(__xludf.DUMMYFUNCTION("""COMPUTED_VALUE"""),"MOLDE PAPEL QUEQUE GRANDE")</f>
        <v>MOLDE PAPEL QUEQUE GRANDE</v>
      </c>
      <c r="C48" s="7">
        <v>109</v>
      </c>
      <c r="D48" s="21">
        <f ca="1">IFERROR(__xludf.DUMMYFUNCTION("""COMPUTED_VALUE"""),198.74)</f>
        <v>198.74</v>
      </c>
      <c r="E48" s="6" t="str">
        <f ca="1">IFERROR(__xludf.DUMMYFUNCTION("""COMPUTED_VALUE"""),"UN")</f>
        <v>UN</v>
      </c>
      <c r="F48" s="6" t="str">
        <f ca="1">IFERROR(__xludf.DUMMYFUNCTION("""COMPUTED_VALUE"""),"Desechables")</f>
        <v>Desechables</v>
      </c>
      <c r="G48" s="120">
        <f t="shared" ca="1" si="0"/>
        <v>21662.66</v>
      </c>
      <c r="H48" s="121">
        <f t="shared" ca="1" si="1"/>
        <v>4115.9053999999996</v>
      </c>
      <c r="I48" s="122">
        <f t="shared" ca="1" si="2"/>
        <v>25778.565399999999</v>
      </c>
      <c r="J48" s="15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>
      <c r="A49" s="7" t="str">
        <f ca="1">IFERROR(__xludf.DUMMYFUNCTION("""COMPUTED_VALUE"""),"ti-ing-e49e641d-6d0e-4558-a4a7-a4bc64ba0cae")</f>
        <v>ti-ing-e49e641d-6d0e-4558-a4a7-a4bc64ba0cae</v>
      </c>
      <c r="B49" s="7" t="str">
        <f ca="1">IFERROR(__xludf.DUMMYFUNCTION("""COMPUTED_VALUE"""),"PAPEL ALUSA ROLLOS CHICOS")</f>
        <v>PAPEL ALUSA ROLLOS CHICOS</v>
      </c>
      <c r="C49" s="7">
        <v>2</v>
      </c>
      <c r="D49" s="21">
        <f ca="1">IFERROR(__xludf.DUMMYFUNCTION("""COMPUTED_VALUE"""),4115)</f>
        <v>4115</v>
      </c>
      <c r="E49" s="6" t="str">
        <f ca="1">IFERROR(__xludf.DUMMYFUNCTION("""COMPUTED_VALUE"""),"UN")</f>
        <v>UN</v>
      </c>
      <c r="F49" s="6" t="str">
        <f ca="1">IFERROR(__xludf.DUMMYFUNCTION("""COMPUTED_VALUE"""),"Desechables")</f>
        <v>Desechables</v>
      </c>
      <c r="G49" s="120">
        <f t="shared" ca="1" si="0"/>
        <v>8230</v>
      </c>
      <c r="H49" s="121">
        <f t="shared" ca="1" si="1"/>
        <v>1563.7</v>
      </c>
      <c r="I49" s="122">
        <f t="shared" ca="1" si="2"/>
        <v>9793.7000000000007</v>
      </c>
      <c r="J49" s="15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>
      <c r="A50" s="7" t="str">
        <f ca="1">IFERROR(__xludf.DUMMYFUNCTION("""COMPUTED_VALUE"""),"ti-ing-b903c949-8881-4242-8b4f-c5768b2e23ce")</f>
        <v>ti-ing-b903c949-8881-4242-8b4f-c5768b2e23ce</v>
      </c>
      <c r="B50" s="7" t="str">
        <f ca="1">IFERROR(__xludf.DUMMYFUNCTION("""COMPUTED_VALUE"""),"Papel anti grasa con dibujo 29x42")</f>
        <v>Papel anti grasa con dibujo 29x42</v>
      </c>
      <c r="C50" s="7">
        <v>3.8340000000000001</v>
      </c>
      <c r="D50" s="21">
        <f ca="1">IFERROR(__xludf.DUMMYFUNCTION("""COMPUTED_VALUE"""),27)</f>
        <v>27</v>
      </c>
      <c r="E50" s="6" t="str">
        <f ca="1">IFERROR(__xludf.DUMMYFUNCTION("""COMPUTED_VALUE"""),"UN")</f>
        <v>UN</v>
      </c>
      <c r="F50" s="6" t="str">
        <f ca="1">IFERROR(__xludf.DUMMYFUNCTION("""COMPUTED_VALUE"""),"Desechables")</f>
        <v>Desechables</v>
      </c>
      <c r="G50" s="120">
        <f t="shared" ca="1" si="0"/>
        <v>103.518</v>
      </c>
      <c r="H50" s="121">
        <f t="shared" ca="1" si="1"/>
        <v>19.668420000000001</v>
      </c>
      <c r="I50" s="122">
        <f t="shared" ca="1" si="2"/>
        <v>123.18642</v>
      </c>
      <c r="J50" s="15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>
      <c r="A51" s="7" t="str">
        <f ca="1">IFERROR(__xludf.DUMMYFUNCTION("""COMPUTED_VALUE"""),"ti-ing-4d4be619-35ec-4060-90b0-c67bee277466")</f>
        <v>ti-ing-4d4be619-35ec-4060-90b0-c67bee277466</v>
      </c>
      <c r="B51" s="7" t="str">
        <f ca="1">IFERROR(__xludf.DUMMYFUNCTION("""COMPUTED_VALUE"""),"PORTA TORTA ENTERA")</f>
        <v>PORTA TORTA ENTERA</v>
      </c>
      <c r="C51" s="7">
        <v>9</v>
      </c>
      <c r="D51" s="21">
        <f ca="1">IFERROR(__xludf.DUMMYFUNCTION("""COMPUTED_VALUE"""),673)</f>
        <v>673</v>
      </c>
      <c r="E51" s="6" t="str">
        <f ca="1">IFERROR(__xludf.DUMMYFUNCTION("""COMPUTED_VALUE"""),"UN")</f>
        <v>UN</v>
      </c>
      <c r="F51" s="6" t="str">
        <f ca="1">IFERROR(__xludf.DUMMYFUNCTION("""COMPUTED_VALUE"""),"Desechables")</f>
        <v>Desechables</v>
      </c>
      <c r="G51" s="120">
        <f t="shared" ca="1" si="0"/>
        <v>6057</v>
      </c>
      <c r="H51" s="121">
        <f t="shared" ca="1" si="1"/>
        <v>1150.83</v>
      </c>
      <c r="I51" s="122">
        <f t="shared" ca="1" si="2"/>
        <v>7207.83</v>
      </c>
      <c r="J51" s="15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>
      <c r="A52" s="7" t="str">
        <f ca="1">IFERROR(__xludf.DUMMYFUNCTION("""COMPUTED_VALUE"""),"ti-ing-37f85cc6-1f52-4599-9741-852d98246e09")</f>
        <v>ti-ing-37f85cc6-1f52-4599-9741-852d98246e09</v>
      </c>
      <c r="B52" s="7" t="str">
        <f ca="1">IFERROR(__xludf.DUMMYFUNCTION("""COMPUTED_VALUE"""),"Rollo etiquetas fechera")</f>
        <v>Rollo etiquetas fechera</v>
      </c>
      <c r="C52" s="7">
        <v>4</v>
      </c>
      <c r="D52" s="73">
        <f ca="1">IFERROR(__xludf.DUMMYFUNCTION("""COMPUTED_VALUE"""),2800)</f>
        <v>2800</v>
      </c>
      <c r="E52" s="6" t="str">
        <f ca="1">IFERROR(__xludf.DUMMYFUNCTION("""COMPUTED_VALUE"""),"UN")</f>
        <v>UN</v>
      </c>
      <c r="F52" s="6" t="str">
        <f ca="1">IFERROR(__xludf.DUMMYFUNCTION("""COMPUTED_VALUE"""),"Desechables")</f>
        <v>Desechables</v>
      </c>
      <c r="G52" s="120">
        <f t="shared" ca="1" si="0"/>
        <v>11200</v>
      </c>
      <c r="H52" s="121">
        <f t="shared" ca="1" si="1"/>
        <v>2128</v>
      </c>
      <c r="I52" s="122">
        <f t="shared" ca="1" si="2"/>
        <v>13328</v>
      </c>
      <c r="J52" s="15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>
      <c r="A53" s="7" t="str">
        <f ca="1">IFERROR(__xludf.DUMMYFUNCTION("""COMPUTED_VALUE"""),"ti-ing-a2ff1857-13be-46c5-8a38-b1004f73f14b")</f>
        <v>ti-ing-a2ff1857-13be-46c5-8a38-b1004f73f14b</v>
      </c>
      <c r="B53" s="7" t="str">
        <f ca="1">IFERROR(__xludf.DUMMYFUNCTION("""COMPUTED_VALUE"""),"Rollo film pvc 45cm 1400m")</f>
        <v>Rollo film pvc 45cm 1400m</v>
      </c>
      <c r="C53" s="7">
        <v>0</v>
      </c>
      <c r="D53" s="21">
        <f ca="1">IFERROR(__xludf.DUMMYFUNCTION("""COMPUTED_VALUE"""),26360)</f>
        <v>26360</v>
      </c>
      <c r="E53" s="6" t="str">
        <f ca="1">IFERROR(__xludf.DUMMYFUNCTION("""COMPUTED_VALUE"""),"un")</f>
        <v>un</v>
      </c>
      <c r="F53" s="6" t="str">
        <f ca="1">IFERROR(__xludf.DUMMYFUNCTION("""COMPUTED_VALUE"""),"Desechables")</f>
        <v>Desechables</v>
      </c>
      <c r="G53" s="120">
        <f t="shared" ca="1" si="0"/>
        <v>0</v>
      </c>
      <c r="H53" s="121">
        <f t="shared" ca="1" si="1"/>
        <v>0</v>
      </c>
      <c r="I53" s="122">
        <f t="shared" ca="1" si="2"/>
        <v>0</v>
      </c>
      <c r="J53" s="15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>
      <c r="A54" s="7" t="str">
        <f ca="1">IFERROR(__xludf.DUMMYFUNCTION("""COMPUTED_VALUE"""),"ti-ing-3f1e707d-7f58-4b61-ada7-84d3d7bd168c")</f>
        <v>ti-ing-3f1e707d-7f58-4b61-ada7-84d3d7bd168c</v>
      </c>
      <c r="B54" s="7" t="str">
        <f ca="1">IFERROR(__xludf.DUMMYFUNCTION("""COMPUTED_VALUE"""),"Rollo papel mantequilla 40cm x 230m")</f>
        <v>Rollo papel mantequilla 40cm x 230m</v>
      </c>
      <c r="C54" s="123">
        <v>0.70199999999999996</v>
      </c>
      <c r="D54" s="21">
        <f ca="1">IFERROR(__xludf.DUMMYFUNCTION("""COMPUTED_VALUE"""),15126)</f>
        <v>15126</v>
      </c>
      <c r="E54" s="6" t="str">
        <f ca="1">IFERROR(__xludf.DUMMYFUNCTION("""COMPUTED_VALUE"""),"KG")</f>
        <v>KG</v>
      </c>
      <c r="F54" s="6" t="str">
        <f ca="1">IFERROR(__xludf.DUMMYFUNCTION("""COMPUTED_VALUE"""),"Desechables")</f>
        <v>Desechables</v>
      </c>
      <c r="G54" s="120">
        <f t="shared" ca="1" si="0"/>
        <v>10618.451999999999</v>
      </c>
      <c r="H54" s="121">
        <f t="shared" ca="1" si="1"/>
        <v>2017.5058799999999</v>
      </c>
      <c r="I54" s="122">
        <f t="shared" ca="1" si="2"/>
        <v>12635.95788</v>
      </c>
      <c r="J54" s="15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>
      <c r="A55" s="7" t="str">
        <f ca="1">IFERROR(__xludf.DUMMYFUNCTION("""COMPUTED_VALUE"""),"ti-ing-cd658cee-a117-438a-b569-785a9aae27da")</f>
        <v>ti-ing-cd658cee-a117-438a-b569-785a9aae27da</v>
      </c>
      <c r="B55" s="7" t="str">
        <f ca="1">IFERROR(__xludf.DUMMYFUNCTION("""COMPUTED_VALUE"""),"Sticker La Brioche")</f>
        <v>Sticker La Brioche</v>
      </c>
      <c r="C55" s="7">
        <v>1</v>
      </c>
      <c r="D55" s="21">
        <f ca="1">IFERROR(__xludf.DUMMYFUNCTION("""COMPUTED_VALUE"""),25)</f>
        <v>25</v>
      </c>
      <c r="E55" s="6" t="str">
        <f ca="1">IFERROR(__xludf.DUMMYFUNCTION("""COMPUTED_VALUE"""),"un")</f>
        <v>un</v>
      </c>
      <c r="F55" s="6" t="str">
        <f ca="1">IFERROR(__xludf.DUMMYFUNCTION("""COMPUTED_VALUE"""),"Desechables")</f>
        <v>Desechables</v>
      </c>
      <c r="G55" s="120">
        <f t="shared" ca="1" si="0"/>
        <v>25</v>
      </c>
      <c r="H55" s="121">
        <f t="shared" ca="1" si="1"/>
        <v>4.75</v>
      </c>
      <c r="I55" s="122">
        <f t="shared" ca="1" si="2"/>
        <v>29.75</v>
      </c>
      <c r="J55" s="15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>
      <c r="A56" s="7" t="str">
        <f ca="1">IFERROR(__xludf.DUMMYFUNCTION("""COMPUTED_VALUE"""),"ti-ing-b505ceae-6021-4652-a617-603008378183")</f>
        <v>ti-ing-b505ceae-6021-4652-a617-603008378183</v>
      </c>
      <c r="B56" s="7" t="str">
        <f ca="1">IFERROR(__xludf.DUMMYFUNCTION("""COMPUTED_VALUE"""),"Fruta congelada Arandano")</f>
        <v>Fruta congelada Arandano</v>
      </c>
      <c r="C56" s="7">
        <v>0.3</v>
      </c>
      <c r="D56" s="21">
        <f ca="1">IFERROR(__xludf.DUMMYFUNCTION("""COMPUTED_VALUE"""),3689)</f>
        <v>3689</v>
      </c>
      <c r="E56" s="6" t="str">
        <f ca="1">IFERROR(__xludf.DUMMYFUNCTION("""COMPUTED_VALUE"""),"KG")</f>
        <v>KG</v>
      </c>
      <c r="F56" s="6" t="str">
        <f ca="1">IFERROR(__xludf.DUMMYFUNCTION("""COMPUTED_VALUE"""),"Frutas y Verduras")</f>
        <v>Frutas y Verduras</v>
      </c>
      <c r="G56" s="120">
        <f t="shared" ca="1" si="0"/>
        <v>1106.7</v>
      </c>
      <c r="H56" s="121">
        <f t="shared" ca="1" si="1"/>
        <v>210.27300000000002</v>
      </c>
      <c r="I56" s="122">
        <f t="shared" ca="1" si="2"/>
        <v>1316.973</v>
      </c>
      <c r="J56" s="15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>
      <c r="A57" s="7" t="str">
        <f ca="1">IFERROR(__xludf.DUMMYFUNCTION("""COMPUTED_VALUE"""),"ti-ing-d749a7c1-eed0-4911-befb-3b6bd7964e76")</f>
        <v>ti-ing-d749a7c1-eed0-4911-befb-3b6bd7964e76</v>
      </c>
      <c r="B57" s="7" t="str">
        <f ca="1">IFERROR(__xludf.DUMMYFUNCTION("""COMPUTED_VALUE"""),"Fruta congelada Frambuesa")</f>
        <v>Fruta congelada Frambuesa</v>
      </c>
      <c r="C57" s="7">
        <v>0</v>
      </c>
      <c r="D57" s="21">
        <f ca="1">IFERROR(__xludf.DUMMYFUNCTION("""COMPUTED_VALUE"""),2661)</f>
        <v>2661</v>
      </c>
      <c r="E57" s="6" t="str">
        <f ca="1">IFERROR(__xludf.DUMMYFUNCTION("""COMPUTED_VALUE"""),"Kg")</f>
        <v>Kg</v>
      </c>
      <c r="F57" s="6" t="str">
        <f ca="1">IFERROR(__xludf.DUMMYFUNCTION("""COMPUTED_VALUE"""),"Frutas y Verduras")</f>
        <v>Frutas y Verduras</v>
      </c>
      <c r="G57" s="120">
        <f t="shared" ca="1" si="0"/>
        <v>0</v>
      </c>
      <c r="H57" s="121">
        <f t="shared" ca="1" si="1"/>
        <v>0</v>
      </c>
      <c r="I57" s="122">
        <f t="shared" ca="1" si="2"/>
        <v>0</v>
      </c>
      <c r="J57" s="15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>
      <c r="A58" s="7" t="str">
        <f ca="1">IFERROR(__xludf.DUMMYFUNCTION("""COMPUTED_VALUE"""),"ti-ing-1e52529e-2068-4bee-8258-f629dcb94553")</f>
        <v>ti-ing-1e52529e-2068-4bee-8258-f629dcb94553</v>
      </c>
      <c r="B58" s="7" t="str">
        <f ca="1">IFERROR(__xludf.DUMMYFUNCTION("""COMPUTED_VALUE"""),"Manzana Verdes kg")</f>
        <v>Manzana Verdes kg</v>
      </c>
      <c r="C58" s="7">
        <v>0</v>
      </c>
      <c r="D58" s="21">
        <f ca="1">IFERROR(__xludf.DUMMYFUNCTION("""COMPUTED_VALUE"""),1500)</f>
        <v>1500</v>
      </c>
      <c r="E58" s="6" t="str">
        <f ca="1">IFERROR(__xludf.DUMMYFUNCTION("""COMPUTED_VALUE"""),"kg")</f>
        <v>kg</v>
      </c>
      <c r="F58" s="6" t="str">
        <f ca="1">IFERROR(__xludf.DUMMYFUNCTION("""COMPUTED_VALUE"""),"Frutas y Verduras")</f>
        <v>Frutas y Verduras</v>
      </c>
      <c r="G58" s="120">
        <f t="shared" ca="1" si="0"/>
        <v>0</v>
      </c>
      <c r="H58" s="121">
        <f t="shared" ca="1" si="1"/>
        <v>0</v>
      </c>
      <c r="I58" s="122">
        <f t="shared" ca="1" si="2"/>
        <v>0</v>
      </c>
      <c r="J58" s="15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>
      <c r="A59" s="7" t="str">
        <f ca="1">IFERROR(__xludf.DUMMYFUNCTION("""COMPUTED_VALUE"""),"ti-ing-196779c3-e3ed-4489-a7b1-3fff6fb52234")</f>
        <v>ti-ing-196779c3-e3ed-4489-a7b1-3fff6fb52234</v>
      </c>
      <c r="B59" s="7" t="str">
        <f ca="1">IFERROR(__xludf.DUMMYFUNCTION("""COMPUTED_VALUE"""),"Naranja kg")</f>
        <v>Naranja kg</v>
      </c>
      <c r="C59" s="7">
        <v>4</v>
      </c>
      <c r="D59" s="21">
        <f ca="1">IFERROR(__xludf.DUMMYFUNCTION("""COMPUTED_VALUE"""),600)</f>
        <v>600</v>
      </c>
      <c r="E59" s="6" t="str">
        <f ca="1">IFERROR(__xludf.DUMMYFUNCTION("""COMPUTED_VALUE"""),"KG")</f>
        <v>KG</v>
      </c>
      <c r="F59" s="6" t="str">
        <f ca="1">IFERROR(__xludf.DUMMYFUNCTION("""COMPUTED_VALUE"""),"Frutas y Verduras")</f>
        <v>Frutas y Verduras</v>
      </c>
      <c r="G59" s="120">
        <f t="shared" ca="1" si="0"/>
        <v>2400</v>
      </c>
      <c r="H59" s="121">
        <f t="shared" ca="1" si="1"/>
        <v>456</v>
      </c>
      <c r="I59" s="122">
        <f t="shared" ca="1" si="2"/>
        <v>2856</v>
      </c>
      <c r="J59" s="15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>
      <c r="A60" s="7" t="str">
        <f ca="1">IFERROR(__xludf.DUMMYFUNCTION("""COMPUTED_VALUE"""),"ti-ing-63bb439b-2f54-484e-8af1-634f36b26a2f")</f>
        <v>ti-ing-63bb439b-2f54-484e-8af1-634f36b26a2f</v>
      </c>
      <c r="B60" s="7" t="str">
        <f ca="1">IFERROR(__xludf.DUMMYFUNCTION("""COMPUTED_VALUE"""),"Harina Super la estampa")</f>
        <v>Harina Super la estampa</v>
      </c>
      <c r="C60" s="7">
        <v>19.5</v>
      </c>
      <c r="D60" s="21">
        <f ca="1">IFERROR(__xludf.DUMMYFUNCTION("""COMPUTED_VALUE"""),590.24)</f>
        <v>590.24</v>
      </c>
      <c r="E60" s="6" t="str">
        <f ca="1">IFERROR(__xludf.DUMMYFUNCTION("""COMPUTED_VALUE"""),"KG")</f>
        <v>KG</v>
      </c>
      <c r="F60" s="6" t="str">
        <f ca="1">IFERROR(__xludf.DUMMYFUNCTION("""COMPUTED_VALUE"""),"Harinas")</f>
        <v>Harinas</v>
      </c>
      <c r="G60" s="120">
        <f t="shared" ca="1" si="0"/>
        <v>11509.68</v>
      </c>
      <c r="H60" s="121">
        <f t="shared" ca="1" si="1"/>
        <v>2186.8391999999999</v>
      </c>
      <c r="I60" s="122">
        <f t="shared" ca="1" si="2"/>
        <v>13696.519200000001</v>
      </c>
      <c r="J60" s="15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>
      <c r="A61" s="7" t="str">
        <f ca="1">IFERROR(__xludf.DUMMYFUNCTION("""COMPUTED_VALUE"""),"ti-ing-f5df0060-3824-4a90-b181-f166174871b5")</f>
        <v>ti-ing-f5df0060-3824-4a90-b181-f166174871b5</v>
      </c>
      <c r="B61" s="7" t="str">
        <f ca="1">IFERROR(__xludf.DUMMYFUNCTION("""COMPUTED_VALUE"""),"Crema De Chocolate")</f>
        <v>Crema De Chocolate</v>
      </c>
      <c r="C61" s="7">
        <v>16</v>
      </c>
      <c r="D61" s="21">
        <f ca="1">IFERROR(__xludf.DUMMYFUNCTION("""COMPUTED_VALUE"""),5300)</f>
        <v>5300</v>
      </c>
      <c r="E61" s="6" t="str">
        <f ca="1">IFERROR(__xludf.DUMMYFUNCTION("""COMPUTED_VALUE"""),"KG")</f>
        <v>KG</v>
      </c>
      <c r="F61" s="6" t="str">
        <f ca="1">IFERROR(__xludf.DUMMYFUNCTION("""COMPUTED_VALUE"""),"Lácteos y Quesos")</f>
        <v>Lácteos y Quesos</v>
      </c>
      <c r="G61" s="120">
        <f t="shared" ca="1" si="0"/>
        <v>84800</v>
      </c>
      <c r="H61" s="121">
        <f t="shared" ca="1" si="1"/>
        <v>16112</v>
      </c>
      <c r="I61" s="122">
        <f t="shared" ca="1" si="2"/>
        <v>100912</v>
      </c>
      <c r="J61" s="15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>
      <c r="A62" s="7" t="str">
        <f ca="1">IFERROR(__xludf.DUMMYFUNCTION("""COMPUTED_VALUE"""),"ti-ing-aa29f857-a1c6-4602-83d9-a873366a6e06")</f>
        <v>ti-ing-aa29f857-a1c6-4602-83d9-a873366a6e06</v>
      </c>
      <c r="B62" s="7" t="str">
        <f ca="1">IFERROR(__xludf.DUMMYFUNCTION("""COMPUTED_VALUE"""),"Crema de leche animal")</f>
        <v>Crema de leche animal</v>
      </c>
      <c r="C62" s="7">
        <v>2</v>
      </c>
      <c r="D62" s="21">
        <f ca="1">IFERROR(__xludf.DUMMYFUNCTION("""COMPUTED_VALUE"""),3413.667)</f>
        <v>3413.6669999999999</v>
      </c>
      <c r="E62" s="6" t="str">
        <f ca="1">IFERROR(__xludf.DUMMYFUNCTION("""COMPUTED_VALUE"""),"LT")</f>
        <v>LT</v>
      </c>
      <c r="F62" s="6" t="str">
        <f ca="1">IFERROR(__xludf.DUMMYFUNCTION("""COMPUTED_VALUE"""),"Lácteos y Quesos")</f>
        <v>Lácteos y Quesos</v>
      </c>
      <c r="G62" s="120">
        <f t="shared" ca="1" si="0"/>
        <v>6827.3339999999998</v>
      </c>
      <c r="H62" s="121">
        <f t="shared" ca="1" si="1"/>
        <v>1297.19346</v>
      </c>
      <c r="I62" s="122">
        <f t="shared" ca="1" si="2"/>
        <v>8124.5274599999993</v>
      </c>
      <c r="J62" s="15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>
      <c r="A63" s="7" t="str">
        <f ca="1">IFERROR(__xludf.DUMMYFUNCTION("""COMPUTED_VALUE"""),"ti-ing-8b4a4fb5-2fa0-4402-83b9-8dd51959d1bb")</f>
        <v>ti-ing-8b4a4fb5-2fa0-4402-83b9-8dd51959d1bb</v>
      </c>
      <c r="B63" s="7" t="str">
        <f ca="1">IFERROR(__xludf.DUMMYFUNCTION("""COMPUTED_VALUE"""),"Crema festipak s/azucar (L)")</f>
        <v>Crema festipak s/azucar (L)</v>
      </c>
      <c r="C63" s="7">
        <v>2</v>
      </c>
      <c r="D63" s="21">
        <f ca="1">IFERROR(__xludf.DUMMYFUNCTION("""COMPUTED_VALUE"""),5270)</f>
        <v>5270</v>
      </c>
      <c r="E63" s="6" t="str">
        <f ca="1">IFERROR(__xludf.DUMMYFUNCTION("""COMPUTED_VALUE"""),"LT")</f>
        <v>LT</v>
      </c>
      <c r="F63" s="6" t="str">
        <f ca="1">IFERROR(__xludf.DUMMYFUNCTION("""COMPUTED_VALUE"""),"Lácteos y Quesos")</f>
        <v>Lácteos y Quesos</v>
      </c>
      <c r="G63" s="120">
        <f t="shared" ca="1" si="0"/>
        <v>10540</v>
      </c>
      <c r="H63" s="121">
        <f t="shared" ca="1" si="1"/>
        <v>2002.6000000000001</v>
      </c>
      <c r="I63" s="122">
        <f t="shared" ca="1" si="2"/>
        <v>12542.6</v>
      </c>
      <c r="J63" s="15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>
      <c r="A64" s="7" t="str">
        <f ca="1">IFERROR(__xludf.DUMMYFUNCTION("""COMPUTED_VALUE"""),"ti-ing-ee163a96-a490-400a-85f3-5c0c4dfab97e")</f>
        <v>ti-ing-ee163a96-a490-400a-85f3-5c0c4dfab97e</v>
      </c>
      <c r="B64" s="7" t="str">
        <f ca="1">IFERROR(__xludf.DUMMYFUNCTION("""COMPUTED_VALUE"""),"Crema Nata")</f>
        <v>Crema Nata</v>
      </c>
      <c r="C64" s="7">
        <v>8</v>
      </c>
      <c r="D64" s="21">
        <f ca="1">IFERROR(__xludf.DUMMYFUNCTION("""COMPUTED_VALUE"""),3500)</f>
        <v>3500</v>
      </c>
      <c r="E64" s="6" t="str">
        <f ca="1">IFERROR(__xludf.DUMMYFUNCTION("""COMPUTED_VALUE"""),"KG")</f>
        <v>KG</v>
      </c>
      <c r="F64" s="6" t="str">
        <f ca="1">IFERROR(__xludf.DUMMYFUNCTION("""COMPUTED_VALUE"""),"Lácteos y Quesos")</f>
        <v>Lácteos y Quesos</v>
      </c>
      <c r="G64" s="120">
        <f t="shared" ca="1" si="0"/>
        <v>28000</v>
      </c>
      <c r="H64" s="121">
        <f t="shared" ca="1" si="1"/>
        <v>5320</v>
      </c>
      <c r="I64" s="122">
        <f t="shared" ca="1" si="2"/>
        <v>33320</v>
      </c>
      <c r="J64" s="15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>
      <c r="A65" s="7" t="str">
        <f ca="1">IFERROR(__xludf.DUMMYFUNCTION("""COMPUTED_VALUE"""),"ti-ing-8262d660-3530-4e0b-8ef7-7198065a11f9")</f>
        <v>ti-ing-8262d660-3530-4e0b-8ef7-7198065a11f9</v>
      </c>
      <c r="B65" s="7" t="str">
        <f ca="1">IFERROR(__xludf.DUMMYFUNCTION("""COMPUTED_VALUE"""),"Leche condensada kg")</f>
        <v>Leche condensada kg</v>
      </c>
      <c r="C65" s="7">
        <v>2.5419999999999998</v>
      </c>
      <c r="D65" s="21">
        <f ca="1">IFERROR(__xludf.DUMMYFUNCTION("""COMPUTED_VALUE"""),3377.333)</f>
        <v>3377.3330000000001</v>
      </c>
      <c r="E65" s="6" t="str">
        <f ca="1">IFERROR(__xludf.DUMMYFUNCTION("""COMPUTED_VALUE"""),"kg")</f>
        <v>kg</v>
      </c>
      <c r="F65" s="6" t="str">
        <f ca="1">IFERROR(__xludf.DUMMYFUNCTION("""COMPUTED_VALUE"""),"Lácteos y Quesos")</f>
        <v>Lácteos y Quesos</v>
      </c>
      <c r="G65" s="120">
        <f t="shared" ca="1" si="0"/>
        <v>8585.1804859999993</v>
      </c>
      <c r="H65" s="121">
        <f t="shared" ca="1" si="1"/>
        <v>1631.18429234</v>
      </c>
      <c r="I65" s="122">
        <f t="shared" ca="1" si="2"/>
        <v>10216.364778339999</v>
      </c>
      <c r="J65" s="15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>
      <c r="A66" s="7" t="str">
        <f ca="1">IFERROR(__xludf.DUMMYFUNCTION("""COMPUTED_VALUE"""),"ti-ing-f217056d-5d63-4d3a-850f-a0137c3c2bc8")</f>
        <v>ti-ing-f217056d-5d63-4d3a-850f-a0137c3c2bc8</v>
      </c>
      <c r="B66" s="7" t="str">
        <f ca="1">IFERROR(__xludf.DUMMYFUNCTION("""COMPUTED_VALUE"""),"Leche entera 1 lt")</f>
        <v>Leche entera 1 lt</v>
      </c>
      <c r="C66" s="7">
        <v>11</v>
      </c>
      <c r="D66" s="21">
        <f ca="1">IFERROR(__xludf.DUMMYFUNCTION("""COMPUTED_VALUE"""),1022.3333)</f>
        <v>1022.3333</v>
      </c>
      <c r="E66" s="6" t="str">
        <f ca="1">IFERROR(__xludf.DUMMYFUNCTION("""COMPUTED_VALUE"""),"LT")</f>
        <v>LT</v>
      </c>
      <c r="F66" s="6" t="str">
        <f ca="1">IFERROR(__xludf.DUMMYFUNCTION("""COMPUTED_VALUE"""),"Lácteos y Quesos")</f>
        <v>Lácteos y Quesos</v>
      </c>
      <c r="G66" s="120">
        <f t="shared" ca="1" si="0"/>
        <v>11245.666300000001</v>
      </c>
      <c r="H66" s="121">
        <f t="shared" ca="1" si="1"/>
        <v>2136.6765970000001</v>
      </c>
      <c r="I66" s="122">
        <f t="shared" ca="1" si="2"/>
        <v>13382.342897</v>
      </c>
      <c r="J66" s="15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>
      <c r="A67" s="7" t="str">
        <f ca="1">IFERROR(__xludf.DUMMYFUNCTION("""COMPUTED_VALUE"""),"ti-ing-efbb157d-1cf5-48ff-aa74-a931c248d95b")</f>
        <v>ti-ing-efbb157d-1cf5-48ff-aa74-a931c248d95b</v>
      </c>
      <c r="B67" s="7" t="str">
        <f ca="1">IFERROR(__xludf.DUMMYFUNCTION("""COMPUTED_VALUE"""),"Leche evaporada (1 tarro)")</f>
        <v>Leche evaporada (1 tarro)</v>
      </c>
      <c r="C67" s="7">
        <v>0</v>
      </c>
      <c r="D67" s="21">
        <f ca="1">IFERROR(__xludf.DUMMYFUNCTION("""COMPUTED_VALUE"""),1277)</f>
        <v>1277</v>
      </c>
      <c r="E67" s="6" t="str">
        <f ca="1">IFERROR(__xludf.DUMMYFUNCTION("""COMPUTED_VALUE"""),"UN")</f>
        <v>UN</v>
      </c>
      <c r="F67" s="6" t="str">
        <f ca="1">IFERROR(__xludf.DUMMYFUNCTION("""COMPUTED_VALUE"""),"Lácteos y Quesos")</f>
        <v>Lácteos y Quesos</v>
      </c>
      <c r="G67" s="120">
        <f t="shared" ca="1" si="0"/>
        <v>0</v>
      </c>
      <c r="H67" s="121">
        <f t="shared" ca="1" si="1"/>
        <v>0</v>
      </c>
      <c r="I67" s="122">
        <f t="shared" ca="1" si="2"/>
        <v>0</v>
      </c>
      <c r="J67" s="15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>
      <c r="A68" s="7" t="str">
        <f ca="1">IFERROR(__xludf.DUMMYFUNCTION("""COMPUTED_VALUE"""),"ti-ing-954249fd-0da9-476c-818b-572694743b97")</f>
        <v>ti-ing-954249fd-0da9-476c-818b-572694743b97</v>
      </c>
      <c r="B68" s="7" t="str">
        <f ca="1">IFERROR(__xludf.DUMMYFUNCTION("""COMPUTED_VALUE"""),"Manjar Repostero")</f>
        <v>Manjar Repostero</v>
      </c>
      <c r="C68" s="7">
        <v>13.2</v>
      </c>
      <c r="D68" s="21">
        <f ca="1">IFERROR(__xludf.DUMMYFUNCTION("""COMPUTED_VALUE"""),3469)</f>
        <v>3469</v>
      </c>
      <c r="E68" s="6" t="str">
        <f ca="1">IFERROR(__xludf.DUMMYFUNCTION("""COMPUTED_VALUE"""),"KG")</f>
        <v>KG</v>
      </c>
      <c r="F68" s="6" t="str">
        <f ca="1">IFERROR(__xludf.DUMMYFUNCTION("""COMPUTED_VALUE"""),"Lácteos y Quesos")</f>
        <v>Lácteos y Quesos</v>
      </c>
      <c r="G68" s="120">
        <f t="shared" ca="1" si="0"/>
        <v>45790.799999999996</v>
      </c>
      <c r="H68" s="121">
        <f t="shared" ca="1" si="1"/>
        <v>8700.2519999999986</v>
      </c>
      <c r="I68" s="122">
        <f t="shared" ca="1" si="2"/>
        <v>54491.051999999996</v>
      </c>
      <c r="J68" s="15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>
      <c r="A69" s="7" t="str">
        <f ca="1">IFERROR(__xludf.DUMMYFUNCTION("""COMPUTED_VALUE"""),"ti-ing-ecd37d53-82cc-47dc-a91b-bd72d972df17")</f>
        <v>ti-ing-ecd37d53-82cc-47dc-a91b-bd72d972df17</v>
      </c>
      <c r="B69" s="7" t="str">
        <f ca="1">IFERROR(__xludf.DUMMYFUNCTION("""COMPUTED_VALUE"""),"Mantequilla sin sal")</f>
        <v>Mantequilla sin sal</v>
      </c>
      <c r="C69" s="7">
        <v>27</v>
      </c>
      <c r="D69" s="21">
        <f ca="1">IFERROR(__xludf.DUMMYFUNCTION("""COMPUTED_VALUE"""),8415.28)</f>
        <v>8415.2800000000007</v>
      </c>
      <c r="E69" s="6" t="str">
        <f ca="1">IFERROR(__xludf.DUMMYFUNCTION("""COMPUTED_VALUE"""),"KG")</f>
        <v>KG</v>
      </c>
      <c r="F69" s="6" t="str">
        <f ca="1">IFERROR(__xludf.DUMMYFUNCTION("""COMPUTED_VALUE"""),"Lácteos y Quesos")</f>
        <v>Lácteos y Quesos</v>
      </c>
      <c r="G69" s="120">
        <f t="shared" ca="1" si="0"/>
        <v>227212.56000000003</v>
      </c>
      <c r="H69" s="121">
        <f t="shared" ca="1" si="1"/>
        <v>43170.386400000003</v>
      </c>
      <c r="I69" s="122">
        <f t="shared" ca="1" si="2"/>
        <v>270382.94640000002</v>
      </c>
      <c r="J69" s="15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>
      <c r="A70" s="7" t="str">
        <f ca="1">IFERROR(__xludf.DUMMYFUNCTION("""COMPUTED_VALUE"""),"ti-ing-614d8fd2-0c43-4daa-a2e1-ce85599adc8e")</f>
        <v>ti-ing-614d8fd2-0c43-4daa-a2e1-ce85599adc8e</v>
      </c>
      <c r="B70" s="7" t="str">
        <f ca="1">IFERROR(__xludf.DUMMYFUNCTION("""COMPUTED_VALUE"""),"Margarina De Horneo soprole")</f>
        <v>Margarina De Horneo soprole</v>
      </c>
      <c r="C70" s="7">
        <v>15.3</v>
      </c>
      <c r="D70" s="21">
        <f ca="1">IFERROR(__xludf.DUMMYFUNCTION("""COMPUTED_VALUE"""),3523.04)</f>
        <v>3523.04</v>
      </c>
      <c r="E70" s="6" t="str">
        <f ca="1">IFERROR(__xludf.DUMMYFUNCTION("""COMPUTED_VALUE"""),"kg")</f>
        <v>kg</v>
      </c>
      <c r="F70" s="6" t="str">
        <f ca="1">IFERROR(__xludf.DUMMYFUNCTION("""COMPUTED_VALUE"""),"Lácteos y Quesos")</f>
        <v>Lácteos y Quesos</v>
      </c>
      <c r="G70" s="120">
        <f t="shared" ca="1" si="0"/>
        <v>53902.512000000002</v>
      </c>
      <c r="H70" s="121">
        <f t="shared" ca="1" si="1"/>
        <v>10241.477280000001</v>
      </c>
      <c r="I70" s="122">
        <f t="shared" ca="1" si="2"/>
        <v>64143.989280000002</v>
      </c>
      <c r="J70" s="15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>
      <c r="A71" s="7" t="str">
        <f ca="1">IFERROR(__xludf.DUMMYFUNCTION("""COMPUTED_VALUE"""),"ti-ing-5eda8072-f112-42f3-8d31-bd3f4d3d9960")</f>
        <v>ti-ing-5eda8072-f112-42f3-8d31-bd3f4d3d9960</v>
      </c>
      <c r="B71" s="7" t="str">
        <f ca="1">IFERROR(__xludf.DUMMYFUNCTION("""COMPUTED_VALUE"""),"Nutella")</f>
        <v>Nutella</v>
      </c>
      <c r="C71" s="7">
        <v>3</v>
      </c>
      <c r="D71" s="21">
        <f ca="1">IFERROR(__xludf.DUMMYFUNCTION("""COMPUTED_VALUE"""),9500)</f>
        <v>9500</v>
      </c>
      <c r="E71" s="6" t="str">
        <f ca="1">IFERROR(__xludf.DUMMYFUNCTION("""COMPUTED_VALUE"""),"Kg")</f>
        <v>Kg</v>
      </c>
      <c r="F71" s="6" t="str">
        <f ca="1">IFERROR(__xludf.DUMMYFUNCTION("""COMPUTED_VALUE"""),"Lácteos y Quesos")</f>
        <v>Lácteos y Quesos</v>
      </c>
      <c r="G71" s="120">
        <f t="shared" ca="1" si="0"/>
        <v>28500</v>
      </c>
      <c r="H71" s="121">
        <f t="shared" ca="1" si="1"/>
        <v>5415</v>
      </c>
      <c r="I71" s="122">
        <f t="shared" ca="1" si="2"/>
        <v>33915</v>
      </c>
      <c r="J71" s="15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>
      <c r="A72" s="7" t="str">
        <f ca="1">IFERROR(__xludf.DUMMYFUNCTION("""COMPUTED_VALUE"""),"ti-ing-324f9eaf-eb5a-46b5-a6d2-169579eb50d8")</f>
        <v>ti-ing-324f9eaf-eb5a-46b5-a6d2-169579eb50d8</v>
      </c>
      <c r="B72" s="7" t="str">
        <f ca="1">IFERROR(__xludf.DUMMYFUNCTION("""COMPUTED_VALUE"""),"Queso crema KG")</f>
        <v>Queso crema KG</v>
      </c>
      <c r="C72" s="7">
        <v>0</v>
      </c>
      <c r="D72" s="21">
        <f ca="1">IFERROR(__xludf.DUMMYFUNCTION("""COMPUTED_VALUE"""),7235.278)</f>
        <v>7235.2780000000002</v>
      </c>
      <c r="E72" s="6" t="str">
        <f ca="1">IFERROR(__xludf.DUMMYFUNCTION("""COMPUTED_VALUE"""),"KG")</f>
        <v>KG</v>
      </c>
      <c r="F72" s="6" t="str">
        <f ca="1">IFERROR(__xludf.DUMMYFUNCTION("""COMPUTED_VALUE"""),"Lácteos y Quesos")</f>
        <v>Lácteos y Quesos</v>
      </c>
      <c r="G72" s="120">
        <f t="shared" ca="1" si="0"/>
        <v>0</v>
      </c>
      <c r="H72" s="121">
        <f t="shared" ca="1" si="1"/>
        <v>0</v>
      </c>
      <c r="I72" s="122">
        <f t="shared" ca="1" si="2"/>
        <v>0</v>
      </c>
      <c r="J72" s="15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>
      <c r="A73" s="7" t="str">
        <f ca="1">IFERROR(__xludf.DUMMYFUNCTION("""COMPUTED_VALUE"""),"ti-ing-2915f576-b015-4ddd-99da-0fbdd699d5d4")</f>
        <v>ti-ing-2915f576-b015-4ddd-99da-0fbdd699d5d4</v>
      </c>
      <c r="B73" s="7" t="str">
        <f ca="1">IFERROR(__xludf.DUMMYFUNCTION("""COMPUTED_VALUE"""),"Alulosa")</f>
        <v>Alulosa</v>
      </c>
      <c r="C73" s="7">
        <v>0</v>
      </c>
      <c r="D73" s="21">
        <f ca="1">IFERROR(__xludf.DUMMYFUNCTION("""COMPUTED_VALUE"""),8151.3)</f>
        <v>8151.3</v>
      </c>
      <c r="E73" s="6" t="str">
        <f ca="1">IFERROR(__xludf.DUMMYFUNCTION("""COMPUTED_VALUE"""),"Kg")</f>
        <v>Kg</v>
      </c>
      <c r="F73" s="6" t="str">
        <f ca="1">IFERROR(__xludf.DUMMYFUNCTION("""COMPUTED_VALUE"""),"Pastelería")</f>
        <v>Pastelería</v>
      </c>
      <c r="G73" s="120">
        <f t="shared" ca="1" si="0"/>
        <v>0</v>
      </c>
      <c r="H73" s="121">
        <f t="shared" ca="1" si="1"/>
        <v>0</v>
      </c>
      <c r="I73" s="122">
        <f t="shared" ca="1" si="2"/>
        <v>0</v>
      </c>
      <c r="J73" s="15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>
      <c r="A74" s="7" t="str">
        <f ca="1">IFERROR(__xludf.DUMMYFUNCTION("""COMPUTED_VALUE"""),"ti-ing-15d5080f-54bb-48ae-a3a4-5a9102e62c0a")</f>
        <v>ti-ing-15d5080f-54bb-48ae-a3a4-5a9102e62c0a</v>
      </c>
      <c r="B74" s="7" t="str">
        <f ca="1">IFERROR(__xludf.DUMMYFUNCTION("""COMPUTED_VALUE"""),"Azucar flor")</f>
        <v>Azucar flor</v>
      </c>
      <c r="C74" s="7">
        <v>14</v>
      </c>
      <c r="D74" s="21">
        <f ca="1">IFERROR(__xludf.DUMMYFUNCTION("""COMPUTED_VALUE"""),1505)</f>
        <v>1505</v>
      </c>
      <c r="E74" s="6" t="str">
        <f ca="1">IFERROR(__xludf.DUMMYFUNCTION("""COMPUTED_VALUE"""),"KG")</f>
        <v>KG</v>
      </c>
      <c r="F74" s="6" t="str">
        <f ca="1">IFERROR(__xludf.DUMMYFUNCTION("""COMPUTED_VALUE"""),"Pastelería")</f>
        <v>Pastelería</v>
      </c>
      <c r="G74" s="120">
        <f t="shared" ca="1" si="0"/>
        <v>21070</v>
      </c>
      <c r="H74" s="121">
        <f t="shared" ca="1" si="1"/>
        <v>4003.3</v>
      </c>
      <c r="I74" s="122">
        <f t="shared" ca="1" si="2"/>
        <v>25073.3</v>
      </c>
      <c r="J74" s="15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>
      <c r="A75" s="7" t="str">
        <f ca="1">IFERROR(__xludf.DUMMYFUNCTION("""COMPUTED_VALUE"""),"ti-ing-df62a31d-453b-4454-933e-0aa4b1134061")</f>
        <v>ti-ing-df62a31d-453b-4454-933e-0aa4b1134061</v>
      </c>
      <c r="B75" s="7" t="str">
        <f ca="1">IFERROR(__xludf.DUMMYFUNCTION("""COMPUTED_VALUE"""),"Bacardi")</f>
        <v>Bacardi</v>
      </c>
      <c r="C75" s="7">
        <v>1</v>
      </c>
      <c r="D75" s="21">
        <f ca="1">IFERROR(__xludf.DUMMYFUNCTION("""COMPUTED_VALUE"""),6485.58)</f>
        <v>6485.58</v>
      </c>
      <c r="E75" s="6" t="str">
        <f ca="1">IFERROR(__xludf.DUMMYFUNCTION("""COMPUTED_VALUE"""),"KG")</f>
        <v>KG</v>
      </c>
      <c r="F75" s="6" t="str">
        <f ca="1">IFERROR(__xludf.DUMMYFUNCTION("""COMPUTED_VALUE"""),"Pastelería")</f>
        <v>Pastelería</v>
      </c>
      <c r="G75" s="120">
        <f t="shared" ca="1" si="0"/>
        <v>6485.58</v>
      </c>
      <c r="H75" s="121">
        <f t="shared" ca="1" si="1"/>
        <v>1232.2601999999999</v>
      </c>
      <c r="I75" s="122">
        <f t="shared" ca="1" si="2"/>
        <v>7717.8401999999996</v>
      </c>
      <c r="J75" s="15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>
      <c r="A76" s="7" t="str">
        <f ca="1">IFERROR(__xludf.DUMMYFUNCTION("""COMPUTED_VALUE"""),"ti-ing-2541bdef-1295-48fd-a2a6-eb459571041d")</f>
        <v>ti-ing-2541bdef-1295-48fd-a2a6-eb459571041d</v>
      </c>
      <c r="B76" s="7" t="str">
        <f ca="1">IFERROR(__xludf.DUMMYFUNCTION("""COMPUTED_VALUE"""),"Bicarbonato kg")</f>
        <v>Bicarbonato kg</v>
      </c>
      <c r="C76" s="7">
        <v>1.1319999999999999</v>
      </c>
      <c r="D76" s="21">
        <f ca="1">IFERROR(__xludf.DUMMYFUNCTION("""COMPUTED_VALUE"""),2850)</f>
        <v>2850</v>
      </c>
      <c r="E76" s="6" t="str">
        <f ca="1">IFERROR(__xludf.DUMMYFUNCTION("""COMPUTED_VALUE"""),"KG")</f>
        <v>KG</v>
      </c>
      <c r="F76" s="6" t="str">
        <f ca="1">IFERROR(__xludf.DUMMYFUNCTION("""COMPUTED_VALUE"""),"Pastelería")</f>
        <v>Pastelería</v>
      </c>
      <c r="G76" s="120">
        <f t="shared" ca="1" si="0"/>
        <v>3226.2</v>
      </c>
      <c r="H76" s="121">
        <f t="shared" ca="1" si="1"/>
        <v>612.97799999999995</v>
      </c>
      <c r="I76" s="122">
        <f t="shared" ca="1" si="2"/>
        <v>3839.1779999999999</v>
      </c>
      <c r="J76" s="15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>
      <c r="A77" s="7" t="str">
        <f ca="1">IFERROR(__xludf.DUMMYFUNCTION("""COMPUTED_VALUE"""),"ti-ing-201209f4-cb56-4b56-aa67-0823a798b19c")</f>
        <v>ti-ing-201209f4-cb56-4b56-aa67-0823a798b19c</v>
      </c>
      <c r="B77" s="7" t="str">
        <f ca="1">IFERROR(__xludf.DUMMYFUNCTION("""COMPUTED_VALUE"""),"Brillo Frio Puratos")</f>
        <v>Brillo Frio Puratos</v>
      </c>
      <c r="C77" s="7">
        <v>3.9</v>
      </c>
      <c r="D77" s="21">
        <f ca="1">IFERROR(__xludf.DUMMYFUNCTION("""COMPUTED_VALUE"""),1232.889)</f>
        <v>1232.8889999999999</v>
      </c>
      <c r="E77" s="6" t="str">
        <f ca="1">IFERROR(__xludf.DUMMYFUNCTION("""COMPUTED_VALUE"""),"UN")</f>
        <v>UN</v>
      </c>
      <c r="F77" s="6" t="str">
        <f ca="1">IFERROR(__xludf.DUMMYFUNCTION("""COMPUTED_VALUE"""),"Pastelería")</f>
        <v>Pastelería</v>
      </c>
      <c r="G77" s="120">
        <f t="shared" ca="1" si="0"/>
        <v>4808.2670999999991</v>
      </c>
      <c r="H77" s="121">
        <f t="shared" ca="1" si="1"/>
        <v>913.57074899999986</v>
      </c>
      <c r="I77" s="122">
        <f t="shared" ca="1" si="2"/>
        <v>5721.8378489999986</v>
      </c>
      <c r="J77" s="15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>
      <c r="A78" s="7" t="str">
        <f ca="1">IFERROR(__xludf.DUMMYFUNCTION("""COMPUTED_VALUE"""),"ti-ing-2f673947-19c3-4bf1-85f0-2fd4eba84abb")</f>
        <v>ti-ing-2f673947-19c3-4bf1-85f0-2fd4eba84abb</v>
      </c>
      <c r="B78" s="7" t="str">
        <f ca="1">IFERROR(__xludf.DUMMYFUNCTION("""COMPUTED_VALUE"""),"Cacao Amargo kg")</f>
        <v>Cacao Amargo kg</v>
      </c>
      <c r="C78" s="7">
        <v>3.3319999999999999</v>
      </c>
      <c r="D78" s="21">
        <f ca="1">IFERROR(__xludf.DUMMYFUNCTION("""COMPUTED_VALUE"""),6850)</f>
        <v>6850</v>
      </c>
      <c r="E78" s="6" t="str">
        <f ca="1">IFERROR(__xludf.DUMMYFUNCTION("""COMPUTED_VALUE"""),"KG")</f>
        <v>KG</v>
      </c>
      <c r="F78" s="6" t="str">
        <f ca="1">IFERROR(__xludf.DUMMYFUNCTION("""COMPUTED_VALUE"""),"Pastelería")</f>
        <v>Pastelería</v>
      </c>
      <c r="G78" s="120">
        <f t="shared" ca="1" si="0"/>
        <v>22824.2</v>
      </c>
      <c r="H78" s="121">
        <f t="shared" ca="1" si="1"/>
        <v>4336.598</v>
      </c>
      <c r="I78" s="122">
        <f t="shared" ca="1" si="2"/>
        <v>27160.798000000003</v>
      </c>
      <c r="J78" s="15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>
      <c r="A79" s="7" t="str">
        <f ca="1">IFERROR(__xludf.DUMMYFUNCTION("""COMPUTED_VALUE"""),"ti-ing-a11b5aec-b526-418e-8eae-07a24b51f441")</f>
        <v>ti-ing-a11b5aec-b526-418e-8eae-07a24b51f441</v>
      </c>
      <c r="B79" s="7" t="str">
        <f ca="1">IFERROR(__xludf.DUMMYFUNCTION("""COMPUTED_VALUE"""),"Cacao Dulce kg")</f>
        <v>Cacao Dulce kg</v>
      </c>
      <c r="C79" s="7">
        <v>2.7240000000000002</v>
      </c>
      <c r="D79" s="21">
        <f ca="1">IFERROR(__xludf.DUMMYFUNCTION("""COMPUTED_VALUE"""),6030)</f>
        <v>6030</v>
      </c>
      <c r="E79" s="6" t="str">
        <f ca="1">IFERROR(__xludf.DUMMYFUNCTION("""COMPUTED_VALUE"""),"KG")</f>
        <v>KG</v>
      </c>
      <c r="F79" s="6" t="str">
        <f ca="1">IFERROR(__xludf.DUMMYFUNCTION("""COMPUTED_VALUE"""),"Pastelería")</f>
        <v>Pastelería</v>
      </c>
      <c r="G79" s="120">
        <f t="shared" ca="1" si="0"/>
        <v>16425.72</v>
      </c>
      <c r="H79" s="121">
        <f t="shared" ca="1" si="1"/>
        <v>3120.8868000000002</v>
      </c>
      <c r="I79" s="122">
        <f t="shared" ca="1" si="2"/>
        <v>19546.606800000001</v>
      </c>
      <c r="J79" s="15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>
      <c r="A80" s="7" t="str">
        <f ca="1">IFERROR(__xludf.DUMMYFUNCTION("""COMPUTED_VALUE"""),"ti-ing-dd0f1244-936b-4a8b-b9b2-4a35e302d871")</f>
        <v>ti-ing-dd0f1244-936b-4a8b-b9b2-4a35e302d871</v>
      </c>
      <c r="B80" s="7" t="str">
        <f ca="1">IFERROR(__xludf.DUMMYFUNCTION("""COMPUTED_VALUE"""),"Canela en polvo kg")</f>
        <v>Canela en polvo kg</v>
      </c>
      <c r="C80" s="7">
        <v>0.17</v>
      </c>
      <c r="D80" s="21">
        <f ca="1">IFERROR(__xludf.DUMMYFUNCTION("""COMPUTED_VALUE"""),9950)</f>
        <v>9950</v>
      </c>
      <c r="E80" s="6" t="str">
        <f ca="1">IFERROR(__xludf.DUMMYFUNCTION("""COMPUTED_VALUE"""),"KG")</f>
        <v>KG</v>
      </c>
      <c r="F80" s="6" t="str">
        <f ca="1">IFERROR(__xludf.DUMMYFUNCTION("""COMPUTED_VALUE"""),"Pastelería")</f>
        <v>Pastelería</v>
      </c>
      <c r="G80" s="120">
        <f t="shared" ca="1" si="0"/>
        <v>1691.5000000000002</v>
      </c>
      <c r="H80" s="121">
        <f t="shared" ca="1" si="1"/>
        <v>321.38500000000005</v>
      </c>
      <c r="I80" s="122">
        <f t="shared" ca="1" si="2"/>
        <v>2012.8850000000002</v>
      </c>
      <c r="J80" s="15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>
      <c r="A81" s="7" t="str">
        <f ca="1">IFERROR(__xludf.DUMMYFUNCTION("""COMPUTED_VALUE"""),"ti-ing-d4b56ec8-f74a-4b85-bb2d-969f74506069")</f>
        <v>ti-ing-d4b56ec8-f74a-4b85-bb2d-969f74506069</v>
      </c>
      <c r="B81" s="7" t="str">
        <f ca="1">IFERROR(__xludf.DUMMYFUNCTION("""COMPUTED_VALUE"""),"Canela entera")</f>
        <v>Canela entera</v>
      </c>
      <c r="C81" s="7">
        <v>0.246</v>
      </c>
      <c r="D81" s="21">
        <f ca="1">IFERROR(__xludf.DUMMYFUNCTION("""COMPUTED_VALUE"""),12490)</f>
        <v>12490</v>
      </c>
      <c r="E81" s="6" t="str">
        <f ca="1">IFERROR(__xludf.DUMMYFUNCTION("""COMPUTED_VALUE"""),"KG")</f>
        <v>KG</v>
      </c>
      <c r="F81" s="6" t="str">
        <f ca="1">IFERROR(__xludf.DUMMYFUNCTION("""COMPUTED_VALUE"""),"Pastelería")</f>
        <v>Pastelería</v>
      </c>
      <c r="G81" s="120">
        <f t="shared" ca="1" si="0"/>
        <v>3072.54</v>
      </c>
      <c r="H81" s="121">
        <f t="shared" ca="1" si="1"/>
        <v>583.7826</v>
      </c>
      <c r="I81" s="122">
        <f t="shared" ca="1" si="2"/>
        <v>3656.3226</v>
      </c>
      <c r="J81" s="15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>
      <c r="A82" s="7" t="str">
        <f ca="1">IFERROR(__xludf.DUMMYFUNCTION("""COMPUTED_VALUE"""),"ti-ing-ffb9e40d-d20e-4e86-9d0e-41944bba152b")</f>
        <v>ti-ing-ffb9e40d-d20e-4e86-9d0e-41944bba152b</v>
      </c>
      <c r="B82" s="7" t="str">
        <f ca="1">IFERROR(__xludf.DUMMYFUNCTION("""COMPUTED_VALUE"""),"Chocolate barra blanco 1 kg")</f>
        <v>Chocolate barra blanco 1 kg</v>
      </c>
      <c r="C82" s="7">
        <v>0</v>
      </c>
      <c r="D82" s="21">
        <f ca="1">IFERROR(__xludf.DUMMYFUNCTION("""COMPUTED_VALUE"""),5409)</f>
        <v>5409</v>
      </c>
      <c r="E82" s="6" t="str">
        <f ca="1">IFERROR(__xludf.DUMMYFUNCTION("""COMPUTED_VALUE"""),"KG")</f>
        <v>KG</v>
      </c>
      <c r="F82" s="6" t="str">
        <f ca="1">IFERROR(__xludf.DUMMYFUNCTION("""COMPUTED_VALUE"""),"Pastelería")</f>
        <v>Pastelería</v>
      </c>
      <c r="G82" s="120">
        <f t="shared" ca="1" si="0"/>
        <v>0</v>
      </c>
      <c r="H82" s="121">
        <f t="shared" ca="1" si="1"/>
        <v>0</v>
      </c>
      <c r="I82" s="122">
        <f t="shared" ca="1" si="2"/>
        <v>0</v>
      </c>
      <c r="J82" s="15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>
      <c r="A83" s="7" t="str">
        <f ca="1">IFERROR(__xludf.DUMMYFUNCTION("""COMPUTED_VALUE"""),"ti-ing-eb991dd6-0950-4f43-8b92-b0ff69cfe793")</f>
        <v>ti-ing-eb991dd6-0950-4f43-8b92-b0ff69cfe793</v>
      </c>
      <c r="B83" s="7" t="str">
        <f ca="1">IFERROR(__xludf.DUMMYFUNCTION("""COMPUTED_VALUE"""),"Chocolate Blanco pasteleria")</f>
        <v>Chocolate Blanco pasteleria</v>
      </c>
      <c r="C83" s="7">
        <v>4</v>
      </c>
      <c r="D83" s="21">
        <f ca="1">IFERROR(__xludf.DUMMYFUNCTION("""COMPUTED_VALUE"""),5650)</f>
        <v>5650</v>
      </c>
      <c r="E83" s="6" t="str">
        <f ca="1">IFERROR(__xludf.DUMMYFUNCTION("""COMPUTED_VALUE"""),"un")</f>
        <v>un</v>
      </c>
      <c r="F83" s="6" t="str">
        <f ca="1">IFERROR(__xludf.DUMMYFUNCTION("""COMPUTED_VALUE"""),"Pastelería")</f>
        <v>Pastelería</v>
      </c>
      <c r="G83" s="120">
        <f t="shared" ca="1" si="0"/>
        <v>22600</v>
      </c>
      <c r="H83" s="121">
        <f t="shared" ca="1" si="1"/>
        <v>4294</v>
      </c>
      <c r="I83" s="122">
        <f t="shared" ca="1" si="2"/>
        <v>26894</v>
      </c>
      <c r="J83" s="15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>
      <c r="A84" s="7" t="str">
        <f ca="1">IFERROR(__xludf.DUMMYFUNCTION("""COMPUTED_VALUE"""),"ti-ing-fef3563f-f9ea-432e-a284-9daef11f3cb6")</f>
        <v>ti-ing-fef3563f-f9ea-432e-a284-9daef11f3cb6</v>
      </c>
      <c r="B84" s="7" t="str">
        <f ca="1">IFERROR(__xludf.DUMMYFUNCTION("""COMPUTED_VALUE"""),"Chocolate Carat Cover Pasteleria sin azucar Puratos (kg)")</f>
        <v>Chocolate Carat Cover Pasteleria sin azucar Puratos (kg)</v>
      </c>
      <c r="C84" s="7">
        <v>5</v>
      </c>
      <c r="D84" s="21">
        <f ca="1">IFERROR(__xludf.DUMMYFUNCTION("""COMPUTED_VALUE"""),7135.7)</f>
        <v>7135.7</v>
      </c>
      <c r="E84" s="6" t="str">
        <f ca="1">IFERROR(__xludf.DUMMYFUNCTION("""COMPUTED_VALUE"""),"KG")</f>
        <v>KG</v>
      </c>
      <c r="F84" s="6" t="str">
        <f ca="1">IFERROR(__xludf.DUMMYFUNCTION("""COMPUTED_VALUE"""),"Pastelería")</f>
        <v>Pastelería</v>
      </c>
      <c r="G84" s="120">
        <f t="shared" ca="1" si="0"/>
        <v>35678.5</v>
      </c>
      <c r="H84" s="121">
        <f t="shared" ca="1" si="1"/>
        <v>6778.915</v>
      </c>
      <c r="I84" s="122">
        <f t="shared" ca="1" si="2"/>
        <v>42457.415000000001</v>
      </c>
      <c r="J84" s="15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>
      <c r="A85" s="7" t="str">
        <f ca="1">IFERROR(__xludf.DUMMYFUNCTION("""COMPUTED_VALUE"""),"ti-ing-69506080-ae55-4a6b-b225-ca16e97bca25")</f>
        <v>ti-ing-69506080-ae55-4a6b-b225-ca16e97bca25</v>
      </c>
      <c r="B85" s="7" t="str">
        <f ca="1">IFERROR(__xludf.DUMMYFUNCTION("""COMPUTED_VALUE"""),"Colorante para chocolate")</f>
        <v>Colorante para chocolate</v>
      </c>
      <c r="C85" s="7">
        <v>1</v>
      </c>
      <c r="D85" s="21">
        <f ca="1">IFERROR(__xludf.DUMMYFUNCTION("""COMPUTED_VALUE"""),1650)</f>
        <v>1650</v>
      </c>
      <c r="E85" s="6" t="str">
        <f ca="1">IFERROR(__xludf.DUMMYFUNCTION("""COMPUTED_VALUE"""),"UN")</f>
        <v>UN</v>
      </c>
      <c r="F85" s="6" t="str">
        <f ca="1">IFERROR(__xludf.DUMMYFUNCTION("""COMPUTED_VALUE"""),"Pastelería")</f>
        <v>Pastelería</v>
      </c>
      <c r="G85" s="120">
        <f t="shared" ca="1" si="0"/>
        <v>1650</v>
      </c>
      <c r="H85" s="121">
        <f t="shared" ca="1" si="1"/>
        <v>313.5</v>
      </c>
      <c r="I85" s="122">
        <f t="shared" ca="1" si="2"/>
        <v>1963.5</v>
      </c>
      <c r="J85" s="15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>
      <c r="A86" s="7" t="str">
        <f ca="1">IFERROR(__xludf.DUMMYFUNCTION("""COMPUTED_VALUE"""),"ti-ing-0a26e605-00fb-4a2d-9dff-135c2f627162")</f>
        <v>ti-ing-0a26e605-00fb-4a2d-9dff-135c2f627162</v>
      </c>
      <c r="B86" s="7" t="str">
        <f ca="1">IFERROR(__xludf.DUMMYFUNCTION("""COMPUTED_VALUE"""),"Colorante Rojo Gel (botella chica)")</f>
        <v>Colorante Rojo Gel (botella chica)</v>
      </c>
      <c r="C86" s="7">
        <v>0</v>
      </c>
      <c r="D86" s="21">
        <f ca="1">IFERROR(__xludf.DUMMYFUNCTION("""COMPUTED_VALUE"""),1354.611)</f>
        <v>1354.6110000000001</v>
      </c>
      <c r="E86" s="6" t="str">
        <f ca="1">IFERROR(__xludf.DUMMYFUNCTION("""COMPUTED_VALUE"""),"UN")</f>
        <v>UN</v>
      </c>
      <c r="F86" s="6" t="str">
        <f ca="1">IFERROR(__xludf.DUMMYFUNCTION("""COMPUTED_VALUE"""),"Pastelería")</f>
        <v>Pastelería</v>
      </c>
      <c r="G86" s="120">
        <f t="shared" ca="1" si="0"/>
        <v>0</v>
      </c>
      <c r="H86" s="121">
        <f t="shared" ca="1" si="1"/>
        <v>0</v>
      </c>
      <c r="I86" s="122">
        <f t="shared" ca="1" si="2"/>
        <v>0</v>
      </c>
      <c r="J86" s="15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>
      <c r="A87" s="7" t="str">
        <f ca="1">IFERROR(__xludf.DUMMYFUNCTION("""COMPUTED_VALUE"""),"ti-ing-5f35b814-c678-4274-9e64-c1c716986f8e")</f>
        <v>ti-ing-5f35b814-c678-4274-9e64-c1c716986f8e</v>
      </c>
      <c r="B87" s="7" t="str">
        <f ca="1">IFERROR(__xludf.DUMMYFUNCTION("""COMPUTED_VALUE"""),"Colorantes varios")</f>
        <v>Colorantes varios</v>
      </c>
      <c r="C87" s="7">
        <v>22</v>
      </c>
      <c r="D87" s="21">
        <f ca="1">IFERROR(__xludf.DUMMYFUNCTION("""COMPUTED_VALUE"""),1862.053)</f>
        <v>1862.0530000000001</v>
      </c>
      <c r="E87" s="6" t="str">
        <f ca="1">IFERROR(__xludf.DUMMYFUNCTION("""COMPUTED_VALUE"""),"un")</f>
        <v>un</v>
      </c>
      <c r="F87" s="6" t="str">
        <f ca="1">IFERROR(__xludf.DUMMYFUNCTION("""COMPUTED_VALUE"""),"Pastelería")</f>
        <v>Pastelería</v>
      </c>
      <c r="G87" s="120">
        <f t="shared" ca="1" si="0"/>
        <v>40965.166000000005</v>
      </c>
      <c r="H87" s="121">
        <f t="shared" ca="1" si="1"/>
        <v>7783.3815400000012</v>
      </c>
      <c r="I87" s="122">
        <f t="shared" ca="1" si="2"/>
        <v>48748.547540000007</v>
      </c>
      <c r="J87" s="15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>
      <c r="A88" s="7" t="str">
        <f ca="1">IFERROR(__xludf.DUMMYFUNCTION("""COMPUTED_VALUE"""),"ti-ing-88090e68-2ddb-4cf3-b31e-1e285ed33f3f")</f>
        <v>ti-ing-88090e68-2ddb-4cf3-b31e-1e285ed33f3f</v>
      </c>
      <c r="B88" s="7" t="str">
        <f ca="1">IFERROR(__xludf.DUMMYFUNCTION("""COMPUTED_VALUE"""),"Confitados (decoraciones)")</f>
        <v>Confitados (decoraciones)</v>
      </c>
      <c r="C88" s="7">
        <v>2.504</v>
      </c>
      <c r="D88" s="21">
        <f ca="1">IFERROR(__xludf.DUMMYFUNCTION("""COMPUTED_VALUE"""),19606.6667)</f>
        <v>19606.666700000002</v>
      </c>
      <c r="E88" s="6" t="str">
        <f ca="1">IFERROR(__xludf.DUMMYFUNCTION("""COMPUTED_VALUE"""),"un")</f>
        <v>un</v>
      </c>
      <c r="F88" s="6" t="str">
        <f ca="1">IFERROR(__xludf.DUMMYFUNCTION("""COMPUTED_VALUE"""),"Pastelería")</f>
        <v>Pastelería</v>
      </c>
      <c r="G88" s="120">
        <f t="shared" ca="1" si="0"/>
        <v>49095.093416800002</v>
      </c>
      <c r="H88" s="121">
        <f t="shared" ca="1" si="1"/>
        <v>9328.0677491919996</v>
      </c>
      <c r="I88" s="122">
        <f t="shared" ca="1" si="2"/>
        <v>58423.161165992002</v>
      </c>
      <c r="J88" s="15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>
      <c r="A89" s="7" t="str">
        <f ca="1">IFERROR(__xludf.DUMMYFUNCTION("""COMPUTED_VALUE"""),"ti-ing-5fd0d290-9632-4380-82c8-85b3a6f271a2")</f>
        <v>ti-ing-5fd0d290-9632-4380-82c8-85b3a6f271a2</v>
      </c>
      <c r="B89" s="7" t="str">
        <f ca="1">IFERROR(__xludf.DUMMYFUNCTION("""COMPUTED_VALUE"""),"Crema Pastelera")</f>
        <v>Crema Pastelera</v>
      </c>
      <c r="C89" s="7">
        <v>0.82</v>
      </c>
      <c r="D89" s="21">
        <f ca="1">IFERROR(__xludf.DUMMYFUNCTION("""COMPUTED_VALUE"""),4310)</f>
        <v>4310</v>
      </c>
      <c r="E89" s="6" t="str">
        <f ca="1">IFERROR(__xludf.DUMMYFUNCTION("""COMPUTED_VALUE"""),"Kg")</f>
        <v>Kg</v>
      </c>
      <c r="F89" s="6" t="str">
        <f ca="1">IFERROR(__xludf.DUMMYFUNCTION("""COMPUTED_VALUE"""),"Pastelería")</f>
        <v>Pastelería</v>
      </c>
      <c r="G89" s="120">
        <f t="shared" ca="1" si="0"/>
        <v>3534.2</v>
      </c>
      <c r="H89" s="121">
        <f t="shared" ca="1" si="1"/>
        <v>671.49799999999993</v>
      </c>
      <c r="I89" s="122">
        <f t="shared" ca="1" si="2"/>
        <v>4205.6979999999994</v>
      </c>
      <c r="J89" s="15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>
      <c r="A90" s="7" t="str">
        <f ca="1">IFERROR(__xludf.DUMMYFUNCTION("""COMPUTED_VALUE"""),"ti-ing-f3b8bb6e-cab7-481e-ba4b-db3ca4811831")</f>
        <v>ti-ing-f3b8bb6e-cab7-481e-ba4b-db3ca4811831</v>
      </c>
      <c r="B90" s="7" t="str">
        <f ca="1">IFERROR(__xludf.DUMMYFUNCTION("""COMPUTED_VALUE"""),"Crumble")</f>
        <v>Crumble</v>
      </c>
      <c r="C90" s="7">
        <v>3.29</v>
      </c>
      <c r="D90" s="73">
        <f ca="1">IFERROR(__xludf.DUMMYFUNCTION("""COMPUTED_VALUE"""),3000)</f>
        <v>3000</v>
      </c>
      <c r="E90" s="6" t="str">
        <f ca="1">IFERROR(__xludf.DUMMYFUNCTION("""COMPUTED_VALUE"""),"UN")</f>
        <v>UN</v>
      </c>
      <c r="F90" s="6" t="str">
        <f ca="1">IFERROR(__xludf.DUMMYFUNCTION("""COMPUTED_VALUE"""),"Productos Elaborados")</f>
        <v>Productos Elaborados</v>
      </c>
      <c r="G90" s="120">
        <f t="shared" ca="1" si="0"/>
        <v>9870</v>
      </c>
      <c r="H90" s="121">
        <f t="shared" ca="1" si="1"/>
        <v>1875.3</v>
      </c>
      <c r="I90" s="122">
        <f t="shared" ca="1" si="2"/>
        <v>11745.3</v>
      </c>
      <c r="J90" s="15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>
      <c r="A91" s="7"/>
      <c r="B91" s="7" t="str">
        <f ca="1">IFERROR(__xludf.DUMMYFUNCTION("""COMPUTED_VALUE"""),"Galleta oreo entera ")</f>
        <v xml:space="preserve">Galleta oreo entera </v>
      </c>
      <c r="C91" s="7">
        <v>4</v>
      </c>
      <c r="D91" s="21">
        <f ca="1">IFERROR(__xludf.DUMMYFUNCTION("""COMPUTED_VALUE"""),870)</f>
        <v>870</v>
      </c>
      <c r="E91" s="6" t="str">
        <f ca="1">IFERROR(__xludf.DUMMYFUNCTION("""COMPUTED_VALUE"""),"UN")</f>
        <v>UN</v>
      </c>
      <c r="F91" s="6" t="str">
        <f ca="1">IFERROR(__xludf.DUMMYFUNCTION("""COMPUTED_VALUE"""),"Pastelería")</f>
        <v>Pastelería</v>
      </c>
      <c r="G91" s="120">
        <f t="shared" ca="1" si="0"/>
        <v>3480</v>
      </c>
      <c r="H91" s="121">
        <f t="shared" ca="1" si="1"/>
        <v>661.2</v>
      </c>
      <c r="I91" s="122">
        <f t="shared" ca="1" si="2"/>
        <v>4141.2</v>
      </c>
      <c r="J91" s="15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>
      <c r="A92" s="7"/>
      <c r="B92" s="7" t="str">
        <f ca="1">IFERROR(__xludf.DUMMYFUNCTION("""COMPUTED_VALUE"""),"Galleta oreo molida ")</f>
        <v xml:space="preserve">Galleta oreo molida </v>
      </c>
      <c r="C92" s="7">
        <v>3.0779999999999998</v>
      </c>
      <c r="D92" s="21">
        <f ca="1">IFERROR(__xludf.DUMMYFUNCTION("""COMPUTED_VALUE"""),5404)</f>
        <v>5404</v>
      </c>
      <c r="E92" s="6" t="str">
        <f ca="1">IFERROR(__xludf.DUMMYFUNCTION("""COMPUTED_VALUE"""),"KG")</f>
        <v>KG</v>
      </c>
      <c r="F92" s="6" t="str">
        <f ca="1">IFERROR(__xludf.DUMMYFUNCTION("""COMPUTED_VALUE"""),"Pastelería")</f>
        <v>Pastelería</v>
      </c>
      <c r="G92" s="120">
        <f t="shared" ca="1" si="0"/>
        <v>16633.511999999999</v>
      </c>
      <c r="H92" s="121">
        <f t="shared" ca="1" si="1"/>
        <v>3160.3672799999999</v>
      </c>
      <c r="I92" s="122">
        <f t="shared" ca="1" si="2"/>
        <v>19793.879279999997</v>
      </c>
      <c r="J92" s="15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>
      <c r="A93" s="7"/>
      <c r="B93" s="7" t="str">
        <f ca="1">IFERROR(__xludf.DUMMYFUNCTION("""COMPUTED_VALUE"""),"Galletas lotus")</f>
        <v>Galletas lotus</v>
      </c>
      <c r="C93" s="7">
        <v>1</v>
      </c>
      <c r="D93" s="21">
        <f ca="1">IFERROR(__xludf.DUMMYFUNCTION("""COMPUTED_VALUE"""),2876)</f>
        <v>2876</v>
      </c>
      <c r="E93" s="6" t="str">
        <f ca="1">IFERROR(__xludf.DUMMYFUNCTION("""COMPUTED_VALUE"""),"UN")</f>
        <v>UN</v>
      </c>
      <c r="F93" s="6" t="str">
        <f ca="1">IFERROR(__xludf.DUMMYFUNCTION("""COMPUTED_VALUE"""),"Pastelería")</f>
        <v>Pastelería</v>
      </c>
      <c r="G93" s="120">
        <f t="shared" ca="1" si="0"/>
        <v>2876</v>
      </c>
      <c r="H93" s="121">
        <f t="shared" ca="1" si="1"/>
        <v>546.44000000000005</v>
      </c>
      <c r="I93" s="122">
        <f t="shared" ca="1" si="2"/>
        <v>3422.44</v>
      </c>
      <c r="J93" s="15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>
      <c r="A94" s="7" t="str">
        <f ca="1">IFERROR(__xludf.DUMMYFUNCTION("""COMPUTED_VALUE"""),"ti-ing-b57ed2cb-f7c0-45ff-b0cb-120c17c5c298")</f>
        <v>ti-ing-b57ed2cb-f7c0-45ff-b0cb-120c17c5c298</v>
      </c>
      <c r="B94" s="7" t="str">
        <f ca="1">IFERROR(__xludf.DUMMYFUNCTION("""COMPUTED_VALUE"""),"Galletas Vainilla Fruna Paquete")</f>
        <v>Galletas Vainilla Fruna Paquete</v>
      </c>
      <c r="C94" s="7">
        <v>0</v>
      </c>
      <c r="D94" s="21">
        <f ca="1">IFERROR(__xludf.DUMMYFUNCTION("""COMPUTED_VALUE"""),1865.5)</f>
        <v>1865.5</v>
      </c>
      <c r="E94" s="6" t="str">
        <f ca="1">IFERROR(__xludf.DUMMYFUNCTION("""COMPUTED_VALUE"""),"UN")</f>
        <v>UN</v>
      </c>
      <c r="F94" s="6" t="str">
        <f ca="1">IFERROR(__xludf.DUMMYFUNCTION("""COMPUTED_VALUE"""),"Pastelería")</f>
        <v>Pastelería</v>
      </c>
      <c r="G94" s="120">
        <f t="shared" ca="1" si="0"/>
        <v>0</v>
      </c>
      <c r="H94" s="121">
        <f t="shared" ca="1" si="1"/>
        <v>0</v>
      </c>
      <c r="I94" s="122">
        <f t="shared" ca="1" si="2"/>
        <v>0</v>
      </c>
      <c r="J94" s="15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>
      <c r="A95" s="7" t="str">
        <f ca="1">IFERROR(__xludf.DUMMYFUNCTION("""COMPUTED_VALUE"""),"ti-ing-4f0f339e-411e-481c-9db6-ffd76a7029b9")</f>
        <v>ti-ing-4f0f339e-411e-481c-9db6-ffd76a7029b9</v>
      </c>
      <c r="B95" s="7" t="str">
        <f ca="1">IFERROR(__xludf.DUMMYFUNCTION("""COMPUTED_VALUE"""),"Ganache de mango")</f>
        <v>Ganache de mango</v>
      </c>
      <c r="C95" s="7">
        <v>1.1379999999999999</v>
      </c>
      <c r="D95" s="73">
        <f ca="1">IFERROR(__xludf.DUMMYFUNCTION("""COMPUTED_VALUE"""),4000)</f>
        <v>4000</v>
      </c>
      <c r="E95" s="6" t="str">
        <f ca="1">IFERROR(__xludf.DUMMYFUNCTION("""COMPUTED_VALUE"""),"KG")</f>
        <v>KG</v>
      </c>
      <c r="F95" s="6" t="str">
        <f ca="1">IFERROR(__xludf.DUMMYFUNCTION("""COMPUTED_VALUE"""),"Productos Elaborados")</f>
        <v>Productos Elaborados</v>
      </c>
      <c r="G95" s="120">
        <f t="shared" ca="1" si="0"/>
        <v>4552</v>
      </c>
      <c r="H95" s="121">
        <f t="shared" ca="1" si="1"/>
        <v>864.88</v>
      </c>
      <c r="I95" s="122">
        <f t="shared" ca="1" si="2"/>
        <v>5416.88</v>
      </c>
      <c r="J95" s="15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>
      <c r="A96" s="7" t="str">
        <f ca="1">IFERROR(__xludf.DUMMYFUNCTION("""COMPUTED_VALUE"""),"ti-ing-60791d11-d195-46af-941a-93b24cf2fd16")</f>
        <v>ti-ing-60791d11-d195-46af-941a-93b24cf2fd16</v>
      </c>
      <c r="B96" s="7" t="str">
        <f ca="1">IFERROR(__xludf.DUMMYFUNCTION("""COMPUTED_VALUE"""),"Gas Butano (190g)")</f>
        <v>Gas Butano (190g)</v>
      </c>
      <c r="C96" s="7">
        <v>0</v>
      </c>
      <c r="D96" s="21">
        <f ca="1">IFERROR(__xludf.DUMMYFUNCTION("""COMPUTED_VALUE"""),1639)</f>
        <v>1639</v>
      </c>
      <c r="E96" s="6" t="str">
        <f ca="1">IFERROR(__xludf.DUMMYFUNCTION("""COMPUTED_VALUE"""),"UN")</f>
        <v>UN</v>
      </c>
      <c r="F96" s="6" t="str">
        <f ca="1">IFERROR(__xludf.DUMMYFUNCTION("""COMPUTED_VALUE"""),"Pastelería")</f>
        <v>Pastelería</v>
      </c>
      <c r="G96" s="120">
        <f t="shared" ca="1" si="0"/>
        <v>0</v>
      </c>
      <c r="H96" s="121">
        <f t="shared" ca="1" si="1"/>
        <v>0</v>
      </c>
      <c r="I96" s="122">
        <f t="shared" ca="1" si="2"/>
        <v>0</v>
      </c>
      <c r="J96" s="15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>
      <c r="A97" s="7"/>
      <c r="B97" s="7" t="str">
        <f ca="1">IFERROR(__xludf.DUMMYFUNCTION("""COMPUTED_VALUE"""),"Leche en polvo descremada")</f>
        <v>Leche en polvo descremada</v>
      </c>
      <c r="C97" s="7">
        <v>0.7</v>
      </c>
      <c r="D97" s="21">
        <f ca="1">IFERROR(__xludf.DUMMYFUNCTION("""COMPUTED_VALUE"""),5865.5)</f>
        <v>5865.5</v>
      </c>
      <c r="E97" s="6" t="str">
        <f ca="1">IFERROR(__xludf.DUMMYFUNCTION("""COMPUTED_VALUE"""),"KG")</f>
        <v>KG</v>
      </c>
      <c r="F97" s="6" t="str">
        <f ca="1">IFERROR(__xludf.DUMMYFUNCTION("""COMPUTED_VALUE"""),"Pastelería")</f>
        <v>Pastelería</v>
      </c>
      <c r="G97" s="120">
        <f t="shared" ca="1" si="0"/>
        <v>4105.8499999999995</v>
      </c>
      <c r="H97" s="121">
        <f t="shared" ca="1" si="1"/>
        <v>780.11149999999986</v>
      </c>
      <c r="I97" s="122">
        <f t="shared" ca="1" si="2"/>
        <v>4885.9614999999994</v>
      </c>
      <c r="J97" s="15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>
      <c r="A98" s="7" t="str">
        <f ca="1">IFERROR(__xludf.DUMMYFUNCTION("""COMPUTED_VALUE"""),"ti-ing-f44c95d0-1670-4ab8-b35c-f3def12843c8")</f>
        <v>ti-ing-f44c95d0-1670-4ab8-b35c-f3def12843c8</v>
      </c>
      <c r="B98" s="7" t="str">
        <f ca="1">IFERROR(__xludf.DUMMYFUNCTION("""COMPUTED_VALUE"""),"Licor De Café")</f>
        <v>Licor De Café</v>
      </c>
      <c r="C98" s="7">
        <v>1</v>
      </c>
      <c r="D98" s="21">
        <f ca="1">IFERROR(__xludf.DUMMYFUNCTION("""COMPUTED_VALUE"""),7677.847)</f>
        <v>7677.8469999999998</v>
      </c>
      <c r="E98" s="6" t="str">
        <f ca="1">IFERROR(__xludf.DUMMYFUNCTION("""COMPUTED_VALUE"""),"UN")</f>
        <v>UN</v>
      </c>
      <c r="F98" s="6" t="str">
        <f ca="1">IFERROR(__xludf.DUMMYFUNCTION("""COMPUTED_VALUE"""),"Pastelería")</f>
        <v>Pastelería</v>
      </c>
      <c r="G98" s="120">
        <f t="shared" ca="1" si="0"/>
        <v>7677.8469999999998</v>
      </c>
      <c r="H98" s="121">
        <f t="shared" ca="1" si="1"/>
        <v>1458.7909299999999</v>
      </c>
      <c r="I98" s="122">
        <f t="shared" ca="1" si="2"/>
        <v>9136.637929999999</v>
      </c>
      <c r="J98" s="15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>
      <c r="A99" s="7" t="str">
        <f ca="1">IFERROR(__xludf.DUMMYFUNCTION("""COMPUTED_VALUE"""),"ti-ing-37cccdc4-12fe-4756-aa6c-b99a15b2d249")</f>
        <v>ti-ing-37cccdc4-12fe-4756-aa6c-b99a15b2d249</v>
      </c>
      <c r="B99" s="7" t="str">
        <f ca="1">IFERROR(__xludf.DUMMYFUNCTION("""COMPUTED_VALUE"""),"Manga plástica desechable")</f>
        <v>Manga plástica desechable</v>
      </c>
      <c r="C99" s="7">
        <v>30</v>
      </c>
      <c r="D99" s="21">
        <f ca="1">IFERROR(__xludf.DUMMYFUNCTION("""COMPUTED_VALUE"""),6.530234)</f>
        <v>6.5302340000000001</v>
      </c>
      <c r="E99" s="6" t="str">
        <f ca="1">IFERROR(__xludf.DUMMYFUNCTION("""COMPUTED_VALUE"""),"UN")</f>
        <v>UN</v>
      </c>
      <c r="F99" s="6" t="str">
        <f ca="1">IFERROR(__xludf.DUMMYFUNCTION("""COMPUTED_VALUE"""),"Pastelería")</f>
        <v>Pastelería</v>
      </c>
      <c r="G99" s="120">
        <f t="shared" ca="1" si="0"/>
        <v>195.90701999999999</v>
      </c>
      <c r="H99" s="121">
        <f t="shared" ca="1" si="1"/>
        <v>37.222333800000001</v>
      </c>
      <c r="I99" s="122">
        <f t="shared" ca="1" si="2"/>
        <v>233.12935379999999</v>
      </c>
      <c r="J99" s="15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>
      <c r="A100" s="7"/>
      <c r="B100" s="7" t="str">
        <f ca="1">IFERROR(__xludf.DUMMYFUNCTION("""COMPUTED_VALUE"""),"manjar colun ")</f>
        <v xml:space="preserve">manjar colun </v>
      </c>
      <c r="C100" s="7">
        <v>0</v>
      </c>
      <c r="D100" s="21">
        <f ca="1">IFERROR(__xludf.DUMMYFUNCTION("""COMPUTED_VALUE"""),3187)</f>
        <v>3187</v>
      </c>
      <c r="E100" s="6" t="str">
        <f ca="1">IFERROR(__xludf.DUMMYFUNCTION("""COMPUTED_VALUE"""),"KG")</f>
        <v>KG</v>
      </c>
      <c r="F100" s="6" t="str">
        <f ca="1">IFERROR(__xludf.DUMMYFUNCTION("""COMPUTED_VALUE"""),"Pastelería")</f>
        <v>Pastelería</v>
      </c>
      <c r="G100" s="120">
        <f t="shared" ca="1" si="0"/>
        <v>0</v>
      </c>
      <c r="H100" s="121">
        <f t="shared" ca="1" si="1"/>
        <v>0</v>
      </c>
      <c r="I100" s="122">
        <f t="shared" ca="1" si="2"/>
        <v>0</v>
      </c>
      <c r="J100" s="15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>
      <c r="A101" s="7" t="str">
        <f ca="1">IFERROR(__xludf.DUMMYFUNCTION("""COMPUTED_VALUE"""),"ti-ing-4afadf49-d8d8-45bd-9f1c-56f3da97a088")</f>
        <v>ti-ing-4afadf49-d8d8-45bd-9f1c-56f3da97a088</v>
      </c>
      <c r="B101" s="7" t="str">
        <f ca="1">IFERROR(__xludf.DUMMYFUNCTION("""COMPUTED_VALUE"""),"Manjar sin azucar")</f>
        <v>Manjar sin azucar</v>
      </c>
      <c r="C101" s="7">
        <v>4.6420000000000003</v>
      </c>
      <c r="D101" s="21">
        <f ca="1">IFERROR(__xludf.DUMMYFUNCTION("""COMPUTED_VALUE"""),4521.176471)</f>
        <v>4521.1764709999998</v>
      </c>
      <c r="E101" s="6" t="str">
        <f ca="1">IFERROR(__xludf.DUMMYFUNCTION("""COMPUTED_VALUE"""),"KG")</f>
        <v>KG</v>
      </c>
      <c r="F101" s="6" t="str">
        <f ca="1">IFERROR(__xludf.DUMMYFUNCTION("""COMPUTED_VALUE"""),"Pastelería")</f>
        <v>Pastelería</v>
      </c>
      <c r="G101" s="120">
        <f t="shared" ca="1" si="0"/>
        <v>20987.301178382</v>
      </c>
      <c r="H101" s="121">
        <f t="shared" ca="1" si="1"/>
        <v>3987.5872238925799</v>
      </c>
      <c r="I101" s="122">
        <f t="shared" ca="1" si="2"/>
        <v>24974.888402274581</v>
      </c>
      <c r="J101" s="15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>
      <c r="A102" s="7" t="str">
        <f ca="1">IFERROR(__xludf.DUMMYFUNCTION("""COMPUTED_VALUE"""),"ti-ing-f4f95cfa-68c6-4086-abf7-551594eb9cd4")</f>
        <v>ti-ing-f4f95cfa-68c6-4086-abf7-551594eb9cd4</v>
      </c>
      <c r="B102" s="7" t="str">
        <f ca="1">IFERROR(__xludf.DUMMYFUNCTION("""COMPUTED_VALUE"""),"Nuez kg")</f>
        <v>Nuez kg</v>
      </c>
      <c r="C102" s="7">
        <v>0</v>
      </c>
      <c r="D102" s="21">
        <f ca="1">IFERROR(__xludf.DUMMYFUNCTION("""COMPUTED_VALUE"""),7650)</f>
        <v>7650</v>
      </c>
      <c r="E102" s="6" t="str">
        <f ca="1">IFERROR(__xludf.DUMMYFUNCTION("""COMPUTED_VALUE"""),"KG")</f>
        <v>KG</v>
      </c>
      <c r="F102" s="6" t="str">
        <f ca="1">IFERROR(__xludf.DUMMYFUNCTION("""COMPUTED_VALUE"""),"Pastelería")</f>
        <v>Pastelería</v>
      </c>
      <c r="G102" s="120">
        <f t="shared" ca="1" si="0"/>
        <v>0</v>
      </c>
      <c r="H102" s="121">
        <f t="shared" ca="1" si="1"/>
        <v>0</v>
      </c>
      <c r="I102" s="122">
        <f t="shared" ca="1" si="2"/>
        <v>0</v>
      </c>
      <c r="J102" s="15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>
      <c r="A103" s="7" t="str">
        <f ca="1">IFERROR(__xludf.DUMMYFUNCTION("""COMPUTED_VALUE"""),"ti-ing-7cf2e52c-e626-4cf2-a3e6-c822b1ec2152")</f>
        <v>ti-ing-7cf2e52c-e626-4cf2-a3e6-c822b1ec2152</v>
      </c>
      <c r="B103" s="7" t="str">
        <f ca="1">IFERROR(__xludf.DUMMYFUNCTION("""COMPUTED_VALUE"""),"Oporto")</f>
        <v>Oporto</v>
      </c>
      <c r="C103" s="7">
        <v>0</v>
      </c>
      <c r="D103" s="21">
        <f ca="1">IFERROR(__xludf.DUMMYFUNCTION("""COMPUTED_VALUE"""),6273.865)</f>
        <v>6273.8649999999998</v>
      </c>
      <c r="E103" s="6" t="str">
        <f ca="1">IFERROR(__xludf.DUMMYFUNCTION("""COMPUTED_VALUE"""),"UN")</f>
        <v>UN</v>
      </c>
      <c r="F103" s="6" t="str">
        <f ca="1">IFERROR(__xludf.DUMMYFUNCTION("""COMPUTED_VALUE"""),"Pastelería")</f>
        <v>Pastelería</v>
      </c>
      <c r="G103" s="120">
        <f t="shared" ca="1" si="0"/>
        <v>0</v>
      </c>
      <c r="H103" s="121">
        <f t="shared" ca="1" si="1"/>
        <v>0</v>
      </c>
      <c r="I103" s="122">
        <f t="shared" ca="1" si="2"/>
        <v>0</v>
      </c>
      <c r="J103" s="15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>
      <c r="A104" s="7" t="str">
        <f ca="1">IFERROR(__xludf.DUMMYFUNCTION("""COMPUTED_VALUE"""),"ti-ing-1ccc6f24-9c07-41d1-b646-716c6b371216")</f>
        <v>ti-ing-1ccc6f24-9c07-41d1-b646-716c6b371216</v>
      </c>
      <c r="B104" s="7" t="str">
        <f ca="1">IFERROR(__xludf.DUMMYFUNCTION("""COMPUTED_VALUE"""),"Pasta de Pistachos")</f>
        <v>Pasta de Pistachos</v>
      </c>
      <c r="C104" s="7">
        <v>2.3119999999999998</v>
      </c>
      <c r="D104" s="21">
        <f ca="1">IFERROR(__xludf.DUMMYFUNCTION("""COMPUTED_VALUE"""),51080)</f>
        <v>51080</v>
      </c>
      <c r="E104" s="6" t="str">
        <f ca="1">IFERROR(__xludf.DUMMYFUNCTION("""COMPUTED_VALUE"""),"KG")</f>
        <v>KG</v>
      </c>
      <c r="F104" s="6" t="str">
        <f ca="1">IFERROR(__xludf.DUMMYFUNCTION("""COMPUTED_VALUE"""),"Pastelería")</f>
        <v>Pastelería</v>
      </c>
      <c r="G104" s="120">
        <f t="shared" ca="1" si="0"/>
        <v>118096.95999999999</v>
      </c>
      <c r="H104" s="121">
        <f t="shared" ca="1" si="1"/>
        <v>22438.422399999999</v>
      </c>
      <c r="I104" s="122">
        <f t="shared" ca="1" si="2"/>
        <v>140535.3824</v>
      </c>
      <c r="J104" s="15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>
      <c r="A105" s="7" t="str">
        <f ca="1">IFERROR(__xludf.DUMMYFUNCTION("""COMPUTED_VALUE"""),"ti-ing-0ffd3a02-efb6-4948-8396-87f4754f3e9c")</f>
        <v>ti-ing-0ffd3a02-efb6-4948-8396-87f4754f3e9c</v>
      </c>
      <c r="B105" s="7" t="str">
        <f ca="1">IFERROR(__xludf.DUMMYFUNCTION("""COMPUTED_VALUE"""),"Pistacho S/Cascara")</f>
        <v>Pistacho S/Cascara</v>
      </c>
      <c r="C105" s="7">
        <v>0.3</v>
      </c>
      <c r="D105" s="21">
        <f ca="1">IFERROR(__xludf.DUMMYFUNCTION("""COMPUTED_VALUE"""),39525)</f>
        <v>39525</v>
      </c>
      <c r="E105" s="6" t="str">
        <f ca="1">IFERROR(__xludf.DUMMYFUNCTION("""COMPUTED_VALUE"""),"KG")</f>
        <v>KG</v>
      </c>
      <c r="F105" s="6" t="str">
        <f ca="1">IFERROR(__xludf.DUMMYFUNCTION("""COMPUTED_VALUE"""),"Pastelería")</f>
        <v>Pastelería</v>
      </c>
      <c r="G105" s="120">
        <f t="shared" ca="1" si="0"/>
        <v>11857.5</v>
      </c>
      <c r="H105" s="121">
        <f t="shared" ca="1" si="1"/>
        <v>2252.9250000000002</v>
      </c>
      <c r="I105" s="122">
        <f t="shared" ca="1" si="2"/>
        <v>14110.424999999999</v>
      </c>
      <c r="J105" s="15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>
      <c r="A106" s="7" t="str">
        <f ca="1">IFERROR(__xludf.DUMMYFUNCTION("""COMPUTED_VALUE"""),"ti-ing-e2ad32fd-91fe-4192-9cde-5f837e2e4b91")</f>
        <v>ti-ing-e2ad32fd-91fe-4192-9cde-5f837e2e4b91</v>
      </c>
      <c r="B106" s="7" t="str">
        <f ca="1">IFERROR(__xludf.DUMMYFUNCTION("""COMPUTED_VALUE"""),"Puratos chocolate COVERLIC ALFAJOR")</f>
        <v>Puratos chocolate COVERLIC ALFAJOR</v>
      </c>
      <c r="C106" s="7">
        <v>5</v>
      </c>
      <c r="D106" s="21">
        <f ca="1">IFERROR(__xludf.DUMMYFUNCTION("""COMPUTED_VALUE"""),5402.034969)</f>
        <v>5402.0349690000003</v>
      </c>
      <c r="E106" s="6" t="str">
        <f ca="1">IFERROR(__xludf.DUMMYFUNCTION("""COMPUTED_VALUE"""),"KG")</f>
        <v>KG</v>
      </c>
      <c r="F106" s="6" t="str">
        <f ca="1">IFERROR(__xludf.DUMMYFUNCTION("""COMPUTED_VALUE"""),"Pastelería")</f>
        <v>Pastelería</v>
      </c>
      <c r="G106" s="120">
        <f t="shared" ca="1" si="0"/>
        <v>27010.174845000001</v>
      </c>
      <c r="H106" s="121">
        <f t="shared" ca="1" si="1"/>
        <v>5131.9332205500004</v>
      </c>
      <c r="I106" s="122">
        <f t="shared" ca="1" si="2"/>
        <v>32142.108065550001</v>
      </c>
      <c r="J106" s="15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>
      <c r="A107" s="7" t="str">
        <f ca="1">IFERROR(__xludf.DUMMYFUNCTION("""COMPUTED_VALUE"""),"ti-ing-8ff4dc1e-379e-4484-b1ad-3e7b82bfc4c4")</f>
        <v>ti-ing-8ff4dc1e-379e-4484-b1ad-3e7b82bfc4c4</v>
      </c>
      <c r="B107" s="7" t="str">
        <f ca="1">IFERROR(__xludf.DUMMYFUNCTION("""COMPUTED_VALUE"""),"Xantana kg")</f>
        <v>Xantana kg</v>
      </c>
      <c r="C107" s="7">
        <v>0.25</v>
      </c>
      <c r="D107" s="21">
        <f ca="1">IFERROR(__xludf.DUMMYFUNCTION("""COMPUTED_VALUE"""),7299)</f>
        <v>7299</v>
      </c>
      <c r="E107" s="6" t="str">
        <f ca="1">IFERROR(__xludf.DUMMYFUNCTION("""COMPUTED_VALUE"""),"KG")</f>
        <v>KG</v>
      </c>
      <c r="F107" s="6" t="str">
        <f ca="1">IFERROR(__xludf.DUMMYFUNCTION("""COMPUTED_VALUE"""),"Pastelería")</f>
        <v>Pastelería</v>
      </c>
      <c r="G107" s="120">
        <f t="shared" ca="1" si="0"/>
        <v>1824.75</v>
      </c>
      <c r="H107" s="121">
        <f t="shared" ca="1" si="1"/>
        <v>346.70249999999999</v>
      </c>
      <c r="I107" s="122">
        <f t="shared" ca="1" si="2"/>
        <v>2171.4524999999999</v>
      </c>
      <c r="J107" s="15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>
      <c r="A108" s="7"/>
      <c r="B108" s="7" t="str">
        <f ca="1">IFERROR(__xludf.DUMMYFUNCTION("""COMPUTED_VALUE"""),"Pasta pie de limón")</f>
        <v>Pasta pie de limón</v>
      </c>
      <c r="C108" s="48">
        <v>1.262</v>
      </c>
      <c r="D108" s="21">
        <f ca="1">IFERROR(__xludf.DUMMYFUNCTION("""COMPUTED_VALUE"""),10688)</f>
        <v>10688</v>
      </c>
      <c r="E108" s="6" t="str">
        <f ca="1">IFERROR(__xludf.DUMMYFUNCTION("""COMPUTED_VALUE"""),"KG")</f>
        <v>KG</v>
      </c>
      <c r="F108" s="6" t="str">
        <f ca="1">IFERROR(__xludf.DUMMYFUNCTION("""COMPUTED_VALUE"""),"Pastelería")</f>
        <v>Pastelería</v>
      </c>
      <c r="G108" s="120">
        <f t="shared" ca="1" si="0"/>
        <v>13488.255999999999</v>
      </c>
      <c r="H108" s="121">
        <f t="shared" ca="1" si="1"/>
        <v>2562.7686399999998</v>
      </c>
      <c r="I108" s="122">
        <f t="shared" ca="1" si="2"/>
        <v>16051.02464</v>
      </c>
      <c r="J108" s="15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>
      <c r="A109" s="7"/>
      <c r="B109" s="7" t="str">
        <f ca="1">IFERROR(__xludf.DUMMYFUNCTION("""COMPUTED_VALUE"""),"Pasta Caramelo salado")</f>
        <v>Pasta Caramelo salado</v>
      </c>
      <c r="C109" s="7">
        <v>3.2120000000000002</v>
      </c>
      <c r="D109" s="21">
        <f ca="1">IFERROR(__xludf.DUMMYFUNCTION("""COMPUTED_VALUE"""),10688)</f>
        <v>10688</v>
      </c>
      <c r="E109" s="6" t="str">
        <f ca="1">IFERROR(__xludf.DUMMYFUNCTION("""COMPUTED_VALUE"""),"KG")</f>
        <v>KG</v>
      </c>
      <c r="F109" s="6" t="str">
        <f ca="1">IFERROR(__xludf.DUMMYFUNCTION("""COMPUTED_VALUE"""),"Pastelería")</f>
        <v>Pastelería</v>
      </c>
      <c r="G109" s="120">
        <f t="shared" ca="1" si="0"/>
        <v>34329.856</v>
      </c>
      <c r="H109" s="121">
        <f t="shared" ca="1" si="1"/>
        <v>6522.6726399999998</v>
      </c>
      <c r="I109" s="122">
        <f t="shared" ca="1" si="2"/>
        <v>40852.528639999997</v>
      </c>
      <c r="J109" s="15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>
      <c r="A110" s="7"/>
      <c r="B110" s="7" t="str">
        <f ca="1">IFERROR(__xludf.DUMMYFUNCTION("""COMPUTED_VALUE"""),"Alfajor nutella ")</f>
        <v xml:space="preserve">Alfajor nutella </v>
      </c>
      <c r="C110" s="48">
        <v>5</v>
      </c>
      <c r="D110" s="73">
        <f ca="1">IFERROR(__xludf.DUMMYFUNCTION("""COMPUTED_VALUE"""),500)</f>
        <v>500</v>
      </c>
      <c r="E110" s="6" t="str">
        <f ca="1">IFERROR(__xludf.DUMMYFUNCTION("""COMPUTED_VALUE"""),"UN")</f>
        <v>UN</v>
      </c>
      <c r="F110" s="6" t="str">
        <f ca="1">IFERROR(__xludf.DUMMYFUNCTION("""COMPUTED_VALUE"""),"Productos Elaborados")</f>
        <v>Productos Elaborados</v>
      </c>
      <c r="G110" s="120">
        <f t="shared" ca="1" si="0"/>
        <v>2500</v>
      </c>
      <c r="H110" s="121">
        <f t="shared" ca="1" si="1"/>
        <v>475</v>
      </c>
      <c r="I110" s="122">
        <f t="shared" ca="1" si="2"/>
        <v>2975</v>
      </c>
      <c r="J110" s="15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>
      <c r="A111" s="7"/>
      <c r="B111" s="7" t="str">
        <f ca="1">IFERROR(__xludf.DUMMYFUNCTION("""COMPUTED_VALUE"""),"Alfajor pie de limón")</f>
        <v>Alfajor pie de limón</v>
      </c>
      <c r="C111" s="48">
        <v>4</v>
      </c>
      <c r="D111" s="73">
        <f ca="1">IFERROR(__xludf.DUMMYFUNCTION("""COMPUTED_VALUE"""),500)</f>
        <v>500</v>
      </c>
      <c r="E111" s="6" t="str">
        <f ca="1">IFERROR(__xludf.DUMMYFUNCTION("""COMPUTED_VALUE"""),"UN")</f>
        <v>UN</v>
      </c>
      <c r="F111" s="6" t="str">
        <f ca="1">IFERROR(__xludf.DUMMYFUNCTION("""COMPUTED_VALUE"""),"Productos Elaborados")</f>
        <v>Productos Elaborados</v>
      </c>
      <c r="G111" s="120">
        <f t="shared" ca="1" si="0"/>
        <v>2000</v>
      </c>
      <c r="H111" s="121">
        <f t="shared" ca="1" si="1"/>
        <v>380</v>
      </c>
      <c r="I111" s="122">
        <f t="shared" ca="1" si="2"/>
        <v>2380</v>
      </c>
      <c r="J111" s="15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>
      <c r="A112" s="7"/>
      <c r="B112" s="7" t="str">
        <f ca="1">IFERROR(__xludf.DUMMYFUNCTION("""COMPUTED_VALUE"""),"Alfajor pistacho")</f>
        <v>Alfajor pistacho</v>
      </c>
      <c r="C112" s="7">
        <v>2</v>
      </c>
      <c r="D112" s="21">
        <f ca="1">IFERROR(__xludf.DUMMYFUNCTION("""COMPUTED_VALUE"""),611)</f>
        <v>611</v>
      </c>
      <c r="E112" s="6" t="str">
        <f ca="1">IFERROR(__xludf.DUMMYFUNCTION("""COMPUTED_VALUE"""),"UN")</f>
        <v>UN</v>
      </c>
      <c r="F112" s="6" t="str">
        <f ca="1">IFERROR(__xludf.DUMMYFUNCTION("""COMPUTED_VALUE"""),"Productos Elaborados")</f>
        <v>Productos Elaborados</v>
      </c>
      <c r="G112" s="120">
        <f t="shared" ca="1" si="0"/>
        <v>1222</v>
      </c>
      <c r="H112" s="121">
        <f t="shared" ca="1" si="1"/>
        <v>232.18</v>
      </c>
      <c r="I112" s="122">
        <f t="shared" ca="1" si="2"/>
        <v>1454.18</v>
      </c>
      <c r="J112" s="15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>
      <c r="A113" s="7" t="str">
        <f ca="1">IFERROR(__xludf.DUMMYFUNCTION("""COMPUTED_VALUE"""),"ti-ing-06055fb6-65a2-41ca-945b-3203f9d63b3e")</f>
        <v>ti-ing-06055fb6-65a2-41ca-945b-3203f9d63b3e</v>
      </c>
      <c r="B113" s="7" t="str">
        <f ca="1">IFERROR(__xludf.DUMMYFUNCTION("""COMPUTED_VALUE"""),"Alfajores clasicos")</f>
        <v>Alfajores clasicos</v>
      </c>
      <c r="C113" s="7">
        <v>13</v>
      </c>
      <c r="D113" s="21">
        <f ca="1">IFERROR(__xludf.DUMMYFUNCTION("""COMPUTED_VALUE"""),148)</f>
        <v>148</v>
      </c>
      <c r="E113" s="6" t="str">
        <f ca="1">IFERROR(__xludf.DUMMYFUNCTION("""COMPUTED_VALUE"""),"UN")</f>
        <v>UN</v>
      </c>
      <c r="F113" s="6" t="str">
        <f ca="1">IFERROR(__xludf.DUMMYFUNCTION("""COMPUTED_VALUE"""),"Productos Elaborados")</f>
        <v>Productos Elaborados</v>
      </c>
      <c r="G113" s="120">
        <f t="shared" ca="1" si="0"/>
        <v>1924</v>
      </c>
      <c r="H113" s="121">
        <f t="shared" ca="1" si="1"/>
        <v>365.56</v>
      </c>
      <c r="I113" s="122">
        <f t="shared" ca="1" si="2"/>
        <v>2289.56</v>
      </c>
      <c r="J113" s="15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>
      <c r="A114" s="7" t="str">
        <f ca="1">IFERROR(__xludf.DUMMYFUNCTION("""COMPUTED_VALUE"""),"ti-ing-cead6fe1-662c-4d38-b508-1fb28ad7eaae")</f>
        <v>ti-ing-cead6fe1-662c-4d38-b508-1fb28ad7eaae</v>
      </c>
      <c r="B114" s="7" t="str">
        <f ca="1">IFERROR(__xludf.DUMMYFUNCTION("""COMPUTED_VALUE"""),"Alfajores de chocolate")</f>
        <v>Alfajores de chocolate</v>
      </c>
      <c r="C114" s="7">
        <v>14</v>
      </c>
      <c r="D114" s="21">
        <f ca="1">IFERROR(__xludf.DUMMYFUNCTION("""COMPUTED_VALUE"""),213)</f>
        <v>213</v>
      </c>
      <c r="E114" s="6" t="str">
        <f ca="1">IFERROR(__xludf.DUMMYFUNCTION("""COMPUTED_VALUE"""),"un")</f>
        <v>un</v>
      </c>
      <c r="F114" s="6" t="str">
        <f ca="1">IFERROR(__xludf.DUMMYFUNCTION("""COMPUTED_VALUE"""),"Productos Elaborados")</f>
        <v>Productos Elaborados</v>
      </c>
      <c r="G114" s="120">
        <f t="shared" ca="1" si="0"/>
        <v>2982</v>
      </c>
      <c r="H114" s="121">
        <f t="shared" ca="1" si="1"/>
        <v>566.58000000000004</v>
      </c>
      <c r="I114" s="122">
        <f t="shared" ca="1" si="2"/>
        <v>3548.58</v>
      </c>
      <c r="J114" s="15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>
      <c r="A115" s="7" t="str">
        <f ca="1">IFERROR(__xludf.DUMMYFUNCTION("""COMPUTED_VALUE"""),"ti-ing-0480809e-2f2a-4903-89cd-81fa742c1138")</f>
        <v>ti-ing-0480809e-2f2a-4903-89cd-81fa742c1138</v>
      </c>
      <c r="B115" s="7" t="str">
        <f ca="1">IFERROR(__xludf.DUMMYFUNCTION("""COMPUTED_VALUE"""),"Almibar kg")</f>
        <v>Almibar kg</v>
      </c>
      <c r="C115" s="7">
        <v>7.69</v>
      </c>
      <c r="D115" s="21">
        <f ca="1">IFERROR(__xludf.DUMMYFUNCTION("""COMPUTED_VALUE"""),1000)</f>
        <v>1000</v>
      </c>
      <c r="E115" s="6" t="str">
        <f ca="1">IFERROR(__xludf.DUMMYFUNCTION("""COMPUTED_VALUE"""),"KG")</f>
        <v>KG</v>
      </c>
      <c r="F115" s="6" t="str">
        <f ca="1">IFERROR(__xludf.DUMMYFUNCTION("""COMPUTED_VALUE"""),"Productos Elaborados")</f>
        <v>Productos Elaborados</v>
      </c>
      <c r="G115" s="120">
        <f t="shared" ca="1" si="0"/>
        <v>7690</v>
      </c>
      <c r="H115" s="121">
        <f t="shared" ca="1" si="1"/>
        <v>1461.1</v>
      </c>
      <c r="I115" s="122">
        <f t="shared" ca="1" si="2"/>
        <v>9151.1</v>
      </c>
      <c r="J115" s="15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>
      <c r="A116" s="7" t="str">
        <f ca="1">IFERROR(__xludf.DUMMYFUNCTION("""COMPUTED_VALUE"""),"ti-ing-2c108827-b2eb-4019-a962-2e1a9de9e281")</f>
        <v>ti-ing-2c108827-b2eb-4019-a962-2e1a9de9e281</v>
      </c>
      <c r="B116" s="7" t="str">
        <f ca="1">IFERROR(__xludf.DUMMYFUNCTION("""COMPUTED_VALUE"""),"Almibar tiramisu kg")</f>
        <v>Almibar tiramisu kg</v>
      </c>
      <c r="C116" s="7">
        <v>2.7759999999999998</v>
      </c>
      <c r="D116" s="21">
        <f ca="1">IFERROR(__xludf.DUMMYFUNCTION("""COMPUTED_VALUE"""),1500)</f>
        <v>1500</v>
      </c>
      <c r="E116" s="6" t="str">
        <f ca="1">IFERROR(__xludf.DUMMYFUNCTION("""COMPUTED_VALUE"""),"KG")</f>
        <v>KG</v>
      </c>
      <c r="F116" s="6" t="str">
        <f ca="1">IFERROR(__xludf.DUMMYFUNCTION("""COMPUTED_VALUE"""),"Productos Elaborados")</f>
        <v>Productos Elaborados</v>
      </c>
      <c r="G116" s="120">
        <f t="shared" ca="1" si="0"/>
        <v>4164</v>
      </c>
      <c r="H116" s="121">
        <f t="shared" ca="1" si="1"/>
        <v>791.16</v>
      </c>
      <c r="I116" s="122">
        <f t="shared" ca="1" si="2"/>
        <v>4955.16</v>
      </c>
      <c r="J116" s="15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>
      <c r="A117" s="7" t="str">
        <f ca="1">IFERROR(__xludf.DUMMYFUNCTION("""COMPUTED_VALUE"""),"ti-ing-365e1fec-d151-4e2f-bb29-42f1b5b7a1e0")</f>
        <v>ti-ing-365e1fec-d151-4e2f-bb29-42f1b5b7a1e0</v>
      </c>
      <c r="B117" s="7" t="str">
        <f ca="1">IFERROR(__xludf.DUMMYFUNCTION("""COMPUTED_VALUE"""),"Almibar tres leches kg")</f>
        <v>Almibar tres leches kg</v>
      </c>
      <c r="C117" s="7">
        <v>3.1459999999999999</v>
      </c>
      <c r="D117" s="21">
        <f ca="1">IFERROR(__xludf.DUMMYFUNCTION("""COMPUTED_VALUE"""),1500)</f>
        <v>1500</v>
      </c>
      <c r="E117" s="6" t="str">
        <f ca="1">IFERROR(__xludf.DUMMYFUNCTION("""COMPUTED_VALUE"""),"Kg")</f>
        <v>Kg</v>
      </c>
      <c r="F117" s="6" t="str">
        <f ca="1">IFERROR(__xludf.DUMMYFUNCTION("""COMPUTED_VALUE"""),"Productos Elaborados")</f>
        <v>Productos Elaborados</v>
      </c>
      <c r="G117" s="120">
        <f t="shared" ca="1" si="0"/>
        <v>4719</v>
      </c>
      <c r="H117" s="121">
        <f t="shared" ca="1" si="1"/>
        <v>896.61</v>
      </c>
      <c r="I117" s="122">
        <f t="shared" ca="1" si="2"/>
        <v>5615.61</v>
      </c>
      <c r="J117" s="15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>
      <c r="A118" s="7" t="str">
        <f ca="1">IFERROR(__xludf.DUMMYFUNCTION("""COMPUTED_VALUE"""),"ti-ing-f7372ca6-547a-4889-9bf0-d8e66e14f4c0")</f>
        <v>ti-ing-f7372ca6-547a-4889-9bf0-d8e66e14f4c0</v>
      </c>
      <c r="B118" s="7" t="str">
        <f ca="1">IFERROR(__xludf.DUMMYFUNCTION("""COMPUTED_VALUE"""),"Bandeja bizcocho carrot cake")</f>
        <v>Bandeja bizcocho carrot cake</v>
      </c>
      <c r="C118" s="7">
        <v>11</v>
      </c>
      <c r="D118" s="21">
        <f ca="1">IFERROR(__xludf.DUMMYFUNCTION("""COMPUTED_VALUE"""),1000)</f>
        <v>1000</v>
      </c>
      <c r="E118" s="6" t="str">
        <f ca="1">IFERROR(__xludf.DUMMYFUNCTION("""COMPUTED_VALUE"""),"UN")</f>
        <v>UN</v>
      </c>
      <c r="F118" s="6" t="str">
        <f ca="1">IFERROR(__xludf.DUMMYFUNCTION("""COMPUTED_VALUE"""),"Productos Elaborados")</f>
        <v>Productos Elaborados</v>
      </c>
      <c r="G118" s="120">
        <f t="shared" ca="1" si="0"/>
        <v>11000</v>
      </c>
      <c r="H118" s="121">
        <f t="shared" ca="1" si="1"/>
        <v>2090</v>
      </c>
      <c r="I118" s="122">
        <f t="shared" ca="1" si="2"/>
        <v>13090</v>
      </c>
      <c r="J118" s="15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>
      <c r="A119" s="7" t="str">
        <f ca="1">IFERROR(__xludf.DUMMYFUNCTION("""COMPUTED_VALUE"""),"ti-ing-de59e7f2-cb9a-43d4-844d-5c6b4f78471b")</f>
        <v>ti-ing-de59e7f2-cb9a-43d4-844d-5c6b4f78471b</v>
      </c>
      <c r="B119" s="7" t="str">
        <f ca="1">IFERROR(__xludf.DUMMYFUNCTION("""COMPUTED_VALUE"""),"Bandeja bizcocho chocolate")</f>
        <v>Bandeja bizcocho chocolate</v>
      </c>
      <c r="C119" s="7">
        <v>10</v>
      </c>
      <c r="D119" s="21">
        <f ca="1">IFERROR(__xludf.DUMMYFUNCTION("""COMPUTED_VALUE"""),1000)</f>
        <v>1000</v>
      </c>
      <c r="E119" s="6" t="str">
        <f ca="1">IFERROR(__xludf.DUMMYFUNCTION("""COMPUTED_VALUE"""),"UN")</f>
        <v>UN</v>
      </c>
      <c r="F119" s="6" t="str">
        <f ca="1">IFERROR(__xludf.DUMMYFUNCTION("""COMPUTED_VALUE"""),"Productos Elaborados")</f>
        <v>Productos Elaborados</v>
      </c>
      <c r="G119" s="120">
        <f t="shared" ca="1" si="0"/>
        <v>10000</v>
      </c>
      <c r="H119" s="121">
        <f t="shared" ca="1" si="1"/>
        <v>1900</v>
      </c>
      <c r="I119" s="122">
        <f t="shared" ca="1" si="2"/>
        <v>11900</v>
      </c>
      <c r="J119" s="15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>
      <c r="A120" s="7"/>
      <c r="B120" s="7" t="str">
        <f ca="1">IFERROR(__xludf.DUMMYFUNCTION("""COMPUTED_VALUE"""),"Bandeja bizcocho pasion de chocolate")</f>
        <v>Bandeja bizcocho pasion de chocolate</v>
      </c>
      <c r="C120" s="48">
        <v>12</v>
      </c>
      <c r="D120" s="73">
        <f ca="1">IFERROR(__xludf.DUMMYFUNCTION("""COMPUTED_VALUE"""),6000)</f>
        <v>6000</v>
      </c>
      <c r="E120" s="6" t="str">
        <f ca="1">IFERROR(__xludf.DUMMYFUNCTION("""COMPUTED_VALUE"""),"UN")</f>
        <v>UN</v>
      </c>
      <c r="F120" s="6" t="str">
        <f ca="1">IFERROR(__xludf.DUMMYFUNCTION("""COMPUTED_VALUE"""),"Productos Elaborados")</f>
        <v>Productos Elaborados</v>
      </c>
      <c r="G120" s="120">
        <f t="shared" ca="1" si="0"/>
        <v>72000</v>
      </c>
      <c r="H120" s="121">
        <f t="shared" ca="1" si="1"/>
        <v>13680</v>
      </c>
      <c r="I120" s="122">
        <f t="shared" ca="1" si="2"/>
        <v>85680</v>
      </c>
      <c r="J120" s="15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>
      <c r="A121" s="7"/>
      <c r="B121" s="7" t="str">
        <f ca="1">IFERROR(__xludf.DUMMYFUNCTION("""COMPUTED_VALUE"""),"Bandeja bizcocho pistacho")</f>
        <v>Bandeja bizcocho pistacho</v>
      </c>
      <c r="C121" s="48">
        <v>7</v>
      </c>
      <c r="D121" s="73">
        <f ca="1">IFERROR(__xludf.DUMMYFUNCTION("""COMPUTED_VALUE"""),6000)</f>
        <v>6000</v>
      </c>
      <c r="E121" s="6" t="str">
        <f ca="1">IFERROR(__xludf.DUMMYFUNCTION("""COMPUTED_VALUE"""),"UN")</f>
        <v>UN</v>
      </c>
      <c r="F121" s="6" t="str">
        <f ca="1">IFERROR(__xludf.DUMMYFUNCTION("""COMPUTED_VALUE"""),"Productos Elaborados")</f>
        <v>Productos Elaborados</v>
      </c>
      <c r="G121" s="120">
        <f t="shared" ca="1" si="0"/>
        <v>42000</v>
      </c>
      <c r="H121" s="121">
        <f t="shared" ca="1" si="1"/>
        <v>7980</v>
      </c>
      <c r="I121" s="122">
        <f t="shared" ca="1" si="2"/>
        <v>49980</v>
      </c>
      <c r="J121" s="15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>
      <c r="A122" s="7" t="str">
        <f ca="1">IFERROR(__xludf.DUMMYFUNCTION("""COMPUTED_VALUE"""),"ti-ing-565a8aa5-3a82-4b46-a490-d190184104f4")</f>
        <v>ti-ing-565a8aa5-3a82-4b46-a490-d190184104f4</v>
      </c>
      <c r="B122" s="7" t="str">
        <f ca="1">IFERROR(__xludf.DUMMYFUNCTION("""COMPUTED_VALUE"""),"Bandeja bizcocho red velvet")</f>
        <v>Bandeja bizcocho red velvet</v>
      </c>
      <c r="C122" s="48">
        <v>22</v>
      </c>
      <c r="D122" s="21">
        <f ca="1">IFERROR(__xludf.DUMMYFUNCTION("""COMPUTED_VALUE"""),1000)</f>
        <v>1000</v>
      </c>
      <c r="E122" s="6" t="str">
        <f ca="1">IFERROR(__xludf.DUMMYFUNCTION("""COMPUTED_VALUE"""),"UN")</f>
        <v>UN</v>
      </c>
      <c r="F122" s="6" t="str">
        <f ca="1">IFERROR(__xludf.DUMMYFUNCTION("""COMPUTED_VALUE"""),"Productos Elaborados")</f>
        <v>Productos Elaborados</v>
      </c>
      <c r="G122" s="120">
        <f t="shared" ca="1" si="0"/>
        <v>22000</v>
      </c>
      <c r="H122" s="121">
        <f t="shared" ca="1" si="1"/>
        <v>4180</v>
      </c>
      <c r="I122" s="122">
        <f t="shared" ca="1" si="2"/>
        <v>26180</v>
      </c>
      <c r="J122" s="15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>
      <c r="A123" s="7"/>
      <c r="B123" s="7" t="str">
        <f ca="1">IFERROR(__xludf.DUMMYFUNCTION("""COMPUTED_VALUE"""),"Bandeja bizcocho tres leches")</f>
        <v>Bandeja bizcocho tres leches</v>
      </c>
      <c r="C123" s="7">
        <v>8</v>
      </c>
      <c r="D123" s="73">
        <f ca="1">IFERROR(__xludf.DUMMYFUNCTION("""COMPUTED_VALUE"""),6000)</f>
        <v>6000</v>
      </c>
      <c r="E123" s="6" t="str">
        <f ca="1">IFERROR(__xludf.DUMMYFUNCTION("""COMPUTED_VALUE"""),"UN")</f>
        <v>UN</v>
      </c>
      <c r="F123" s="6" t="str">
        <f ca="1">IFERROR(__xludf.DUMMYFUNCTION("""COMPUTED_VALUE"""),"Productos Elaborados")</f>
        <v>Productos Elaborados</v>
      </c>
      <c r="G123" s="120">
        <f t="shared" ca="1" si="0"/>
        <v>48000</v>
      </c>
      <c r="H123" s="121">
        <f t="shared" ca="1" si="1"/>
        <v>9120</v>
      </c>
      <c r="I123" s="122">
        <f t="shared" ca="1" si="2"/>
        <v>57120</v>
      </c>
      <c r="J123" s="15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>
      <c r="A124" s="7"/>
      <c r="B124" s="7" t="str">
        <f ca="1">IFERROR(__xludf.DUMMYFUNCTION("""COMPUTED_VALUE"""),"Bandeja bizcocho tres leches")</f>
        <v>Bandeja bizcocho tres leches</v>
      </c>
      <c r="C124" s="48">
        <v>0</v>
      </c>
      <c r="D124" s="73">
        <f ca="1">IFERROR(__xludf.DUMMYFUNCTION("""COMPUTED_VALUE"""),9000)</f>
        <v>9000</v>
      </c>
      <c r="E124" s="6" t="str">
        <f ca="1">IFERROR(__xludf.DUMMYFUNCTION("""COMPUTED_VALUE"""),"UN")</f>
        <v>UN</v>
      </c>
      <c r="F124" s="6" t="str">
        <f ca="1">IFERROR(__xludf.DUMMYFUNCTION("""COMPUTED_VALUE"""),"Productos Elaborados")</f>
        <v>Productos Elaborados</v>
      </c>
      <c r="G124" s="120">
        <f t="shared" ca="1" si="0"/>
        <v>0</v>
      </c>
      <c r="H124" s="121">
        <f t="shared" ca="1" si="1"/>
        <v>0</v>
      </c>
      <c r="I124" s="122">
        <f t="shared" ca="1" si="2"/>
        <v>0</v>
      </c>
      <c r="J124" s="15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>
      <c r="A125" s="7" t="str">
        <f ca="1">IFERROR(__xludf.DUMMYFUNCTION("""COMPUTED_VALUE"""),"ti-ing-ebfdce42-152a-4fb3-8b4a-42892ec563cc")</f>
        <v>ti-ing-ebfdce42-152a-4fb3-8b4a-42892ec563cc</v>
      </c>
      <c r="B125" s="7" t="str">
        <f ca="1">IFERROR(__xludf.DUMMYFUNCTION("""COMPUTED_VALUE"""),"Bandeja bizcocho vainilla")</f>
        <v>Bandeja bizcocho vainilla</v>
      </c>
      <c r="C125" s="7">
        <v>20</v>
      </c>
      <c r="D125" s="21">
        <f ca="1">IFERROR(__xludf.DUMMYFUNCTION("""COMPUTED_VALUE"""),1000)</f>
        <v>1000</v>
      </c>
      <c r="E125" s="6" t="str">
        <f ca="1">IFERROR(__xludf.DUMMYFUNCTION("""COMPUTED_VALUE"""),"UN")</f>
        <v>UN</v>
      </c>
      <c r="F125" s="6" t="str">
        <f ca="1">IFERROR(__xludf.DUMMYFUNCTION("""COMPUTED_VALUE"""),"Productos Elaborados")</f>
        <v>Productos Elaborados</v>
      </c>
      <c r="G125" s="120">
        <f t="shared" ca="1" si="0"/>
        <v>20000</v>
      </c>
      <c r="H125" s="121">
        <f t="shared" ca="1" si="1"/>
        <v>3800</v>
      </c>
      <c r="I125" s="122">
        <f t="shared" ca="1" si="2"/>
        <v>23800</v>
      </c>
      <c r="J125" s="15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>
      <c r="A126" s="7"/>
      <c r="B126" s="7" t="str">
        <f ca="1">IFERROR(__xludf.DUMMYFUNCTION("""COMPUTED_VALUE"""),"Bandeja Blondie")</f>
        <v>Bandeja Blondie</v>
      </c>
      <c r="C126" s="48">
        <v>0</v>
      </c>
      <c r="D126" s="73">
        <f ca="1">IFERROR(__xludf.DUMMYFUNCTION("""COMPUTED_VALUE"""),6000)</f>
        <v>6000</v>
      </c>
      <c r="E126" s="6" t="str">
        <f ca="1">IFERROR(__xludf.DUMMYFUNCTION("""COMPUTED_VALUE"""),"UN")</f>
        <v>UN</v>
      </c>
      <c r="F126" s="6" t="str">
        <f ca="1">IFERROR(__xludf.DUMMYFUNCTION("""COMPUTED_VALUE"""),"Productos Elaborados")</f>
        <v>Productos Elaborados</v>
      </c>
      <c r="G126" s="120">
        <f t="shared" ca="1" si="0"/>
        <v>0</v>
      </c>
      <c r="H126" s="121">
        <f t="shared" ca="1" si="1"/>
        <v>0</v>
      </c>
      <c r="I126" s="122">
        <f t="shared" ca="1" si="2"/>
        <v>0</v>
      </c>
      <c r="J126" s="15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>
      <c r="A127" s="7"/>
      <c r="B127" s="7" t="str">
        <f ca="1">IFERROR(__xludf.DUMMYFUNCTION("""COMPUTED_VALUE"""),"Bandeja brownie")</f>
        <v>Bandeja brownie</v>
      </c>
      <c r="C127" s="48">
        <v>0</v>
      </c>
      <c r="D127" s="73">
        <f ca="1">IFERROR(__xludf.DUMMYFUNCTION("""COMPUTED_VALUE"""),6000)</f>
        <v>6000</v>
      </c>
      <c r="E127" s="6" t="str">
        <f ca="1">IFERROR(__xludf.DUMMYFUNCTION("""COMPUTED_VALUE"""),"UN")</f>
        <v>UN</v>
      </c>
      <c r="F127" s="6" t="str">
        <f ca="1">IFERROR(__xludf.DUMMYFUNCTION("""COMPUTED_VALUE"""),"Productos Elaborados")</f>
        <v>Productos Elaborados</v>
      </c>
      <c r="G127" s="120">
        <f t="shared" ca="1" si="0"/>
        <v>0</v>
      </c>
      <c r="H127" s="121">
        <f t="shared" ca="1" si="1"/>
        <v>0</v>
      </c>
      <c r="I127" s="122">
        <f t="shared" ca="1" si="2"/>
        <v>0</v>
      </c>
      <c r="J127" s="15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>
      <c r="A128" s="7" t="str">
        <f ca="1">IFERROR(__xludf.DUMMYFUNCTION("""COMPUTED_VALUE"""),"ti-ing-824e5de5-8959-4a7d-9ab6-7e3be8567cc0")</f>
        <v>ti-ing-824e5de5-8959-4a7d-9ab6-7e3be8567cc0</v>
      </c>
      <c r="B128" s="7" t="str">
        <f ca="1">IFERROR(__xludf.DUMMYFUNCTION("""COMPUTED_VALUE"""),"Base para kuchen y pie un")</f>
        <v>Base para kuchen y pie un</v>
      </c>
      <c r="C128" s="48">
        <v>107</v>
      </c>
      <c r="D128" s="21">
        <f ca="1">IFERROR(__xludf.DUMMYFUNCTION("""COMPUTED_VALUE"""),121)</f>
        <v>121</v>
      </c>
      <c r="E128" s="6" t="str">
        <f ca="1">IFERROR(__xludf.DUMMYFUNCTION("""COMPUTED_VALUE"""),"UN")</f>
        <v>UN</v>
      </c>
      <c r="F128" s="6" t="str">
        <f ca="1">IFERROR(__xludf.DUMMYFUNCTION("""COMPUTED_VALUE"""),"Productos Elaborados")</f>
        <v>Productos Elaborados</v>
      </c>
      <c r="G128" s="120">
        <f t="shared" ca="1" si="0"/>
        <v>12947</v>
      </c>
      <c r="H128" s="121">
        <f t="shared" ca="1" si="1"/>
        <v>2459.9299999999998</v>
      </c>
      <c r="I128" s="122">
        <f t="shared" ca="1" si="2"/>
        <v>15406.93</v>
      </c>
      <c r="J128" s="15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>
      <c r="A129" s="7" t="str">
        <f ca="1">IFERROR(__xludf.DUMMYFUNCTION("""COMPUTED_VALUE"""),"ti-ing-e03e8eeb-0d0f-46e0-ad38-ec93e092b80e")</f>
        <v>ti-ing-e03e8eeb-0d0f-46e0-ad38-ec93e092b80e</v>
      </c>
      <c r="B129" s="7" t="str">
        <f ca="1">IFERROR(__xludf.DUMMYFUNCTION("""COMPUTED_VALUE"""),"Blondie con arandanos")</f>
        <v>Blondie con arandanos</v>
      </c>
      <c r="C129" s="48">
        <v>43</v>
      </c>
      <c r="D129" s="21">
        <f ca="1">IFERROR(__xludf.DUMMYFUNCTION("""COMPUTED_VALUE"""),649)</f>
        <v>649</v>
      </c>
      <c r="E129" s="6" t="str">
        <f ca="1">IFERROR(__xludf.DUMMYFUNCTION("""COMPUTED_VALUE"""),"un")</f>
        <v>un</v>
      </c>
      <c r="F129" s="6" t="str">
        <f ca="1">IFERROR(__xludf.DUMMYFUNCTION("""COMPUTED_VALUE"""),"Productos Elaborados")</f>
        <v>Productos Elaborados</v>
      </c>
      <c r="G129" s="120">
        <f t="shared" ca="1" si="0"/>
        <v>27907</v>
      </c>
      <c r="H129" s="121">
        <f t="shared" ca="1" si="1"/>
        <v>5302.33</v>
      </c>
      <c r="I129" s="122">
        <f t="shared" ca="1" si="2"/>
        <v>33209.33</v>
      </c>
      <c r="J129" s="15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>
      <c r="A130" s="7" t="str">
        <f ca="1">IFERROR(__xludf.DUMMYFUNCTION("""COMPUTED_VALUE"""),"ti-ing-bf7f838c-a6aa-47a6-80cd-90dc43c40d02")</f>
        <v>ti-ing-bf7f838c-a6aa-47a6-80cd-90dc43c40d02</v>
      </c>
      <c r="B130" s="7" t="str">
        <f ca="1">IFERROR(__xludf.DUMMYFUNCTION("""COMPUTED_VALUE"""),"Brownie clasico")</f>
        <v>Brownie clasico</v>
      </c>
      <c r="C130" s="48">
        <v>2</v>
      </c>
      <c r="D130" s="21">
        <f ca="1">IFERROR(__xludf.DUMMYFUNCTION("""COMPUTED_VALUE"""),484)</f>
        <v>484</v>
      </c>
      <c r="E130" s="6" t="str">
        <f ca="1">IFERROR(__xludf.DUMMYFUNCTION("""COMPUTED_VALUE"""),"UN")</f>
        <v>UN</v>
      </c>
      <c r="F130" s="6" t="str">
        <f ca="1">IFERROR(__xludf.DUMMYFUNCTION("""COMPUTED_VALUE"""),"Productos Elaborados")</f>
        <v>Productos Elaborados</v>
      </c>
      <c r="G130" s="120">
        <f t="shared" ca="1" si="0"/>
        <v>968</v>
      </c>
      <c r="H130" s="121">
        <f t="shared" ca="1" si="1"/>
        <v>183.92000000000002</v>
      </c>
      <c r="I130" s="122">
        <f t="shared" ca="1" si="2"/>
        <v>1151.92</v>
      </c>
      <c r="J130" s="15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>
      <c r="A131" s="7" t="str">
        <f ca="1">IFERROR(__xludf.DUMMYFUNCTION("""COMPUTED_VALUE"""),"ti-ing-ff8eceba-f704-4d6e-8f8b-51f7eda2778e")</f>
        <v>ti-ing-ff8eceba-f704-4d6e-8f8b-51f7eda2778e</v>
      </c>
      <c r="B131" s="7" t="str">
        <f ca="1">IFERROR(__xludf.DUMMYFUNCTION("""COMPUTED_VALUE"""),"Brownie manjar merengue")</f>
        <v>Brownie manjar merengue</v>
      </c>
      <c r="C131" s="48">
        <v>20</v>
      </c>
      <c r="D131" s="21">
        <f ca="1">IFERROR(__xludf.DUMMYFUNCTION("""COMPUTED_VALUE"""),500)</f>
        <v>500</v>
      </c>
      <c r="E131" s="6" t="str">
        <f ca="1">IFERROR(__xludf.DUMMYFUNCTION("""COMPUTED_VALUE"""),"UN")</f>
        <v>UN</v>
      </c>
      <c r="F131" s="6" t="str">
        <f ca="1">IFERROR(__xludf.DUMMYFUNCTION("""COMPUTED_VALUE"""),"Productos Elaborados")</f>
        <v>Productos Elaborados</v>
      </c>
      <c r="G131" s="120">
        <f t="shared" ca="1" si="0"/>
        <v>10000</v>
      </c>
      <c r="H131" s="121">
        <f t="shared" ca="1" si="1"/>
        <v>1900</v>
      </c>
      <c r="I131" s="122">
        <f t="shared" ca="1" si="2"/>
        <v>11900</v>
      </c>
      <c r="J131" s="15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>
      <c r="A132" s="7" t="str">
        <f ca="1">IFERROR(__xludf.DUMMYFUNCTION("""COMPUTED_VALUE"""),"ti-ing-7d7a3c5e-eed3-4428-8da5-c1c34064ed9b")</f>
        <v>ti-ing-7d7a3c5e-eed3-4428-8da5-c1c34064ed9b</v>
      </c>
      <c r="B132" s="7" t="str">
        <f ca="1">IFERROR(__xludf.DUMMYFUNCTION("""COMPUTED_VALUE"""),"Cachito base")</f>
        <v>Cachito base</v>
      </c>
      <c r="C132" s="48">
        <v>0</v>
      </c>
      <c r="D132" s="73">
        <f ca="1">IFERROR(__xludf.DUMMYFUNCTION("""COMPUTED_VALUE"""),250)</f>
        <v>250</v>
      </c>
      <c r="E132" s="6" t="str">
        <f ca="1">IFERROR(__xludf.DUMMYFUNCTION("""COMPUTED_VALUE"""),"UN")</f>
        <v>UN</v>
      </c>
      <c r="F132" s="6" t="str">
        <f ca="1">IFERROR(__xludf.DUMMYFUNCTION("""COMPUTED_VALUE"""),"Productos Elaborados")</f>
        <v>Productos Elaborados</v>
      </c>
      <c r="G132" s="120">
        <f t="shared" ca="1" si="0"/>
        <v>0</v>
      </c>
      <c r="H132" s="121">
        <f t="shared" ca="1" si="1"/>
        <v>0</v>
      </c>
      <c r="I132" s="122">
        <f t="shared" ca="1" si="2"/>
        <v>0</v>
      </c>
      <c r="J132" s="15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>
      <c r="A133" s="7" t="str">
        <f ca="1">IFERROR(__xludf.DUMMYFUNCTION("""COMPUTED_VALUE"""),"ti-ing-1474cbcd-2cf0-44e9-bde1-2d85f160bbf3")</f>
        <v>ti-ing-1474cbcd-2cf0-44e9-bde1-2d85f160bbf3</v>
      </c>
      <c r="B133" s="7" t="str">
        <f ca="1">IFERROR(__xludf.DUMMYFUNCTION("""COMPUTED_VALUE"""),"Cachito crema pastelera")</f>
        <v>Cachito crema pastelera</v>
      </c>
      <c r="C133" s="48">
        <v>0</v>
      </c>
      <c r="D133" s="21">
        <f ca="1">IFERROR(__xludf.DUMMYFUNCTION("""COMPUTED_VALUE"""),166.19833749)</f>
        <v>166.19833749</v>
      </c>
      <c r="E133" s="6" t="str">
        <f ca="1">IFERROR(__xludf.DUMMYFUNCTION("""COMPUTED_VALUE"""),"UN")</f>
        <v>UN</v>
      </c>
      <c r="F133" s="6" t="str">
        <f ca="1">IFERROR(__xludf.DUMMYFUNCTION("""COMPUTED_VALUE"""),"Productos Elaborados")</f>
        <v>Productos Elaborados</v>
      </c>
      <c r="G133" s="120">
        <f t="shared" ca="1" si="0"/>
        <v>0</v>
      </c>
      <c r="H133" s="121">
        <f t="shared" ca="1" si="1"/>
        <v>0</v>
      </c>
      <c r="I133" s="122">
        <f t="shared" ca="1" si="2"/>
        <v>0</v>
      </c>
      <c r="J133" s="15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>
      <c r="A134" s="7" t="str">
        <f ca="1">IFERROR(__xludf.DUMMYFUNCTION("""COMPUTED_VALUE"""),"ti-ing-2f897d67-ca83-4fd4-867f-932d52f0462f")</f>
        <v>ti-ing-2f897d67-ca83-4fd4-867f-932d52f0462f</v>
      </c>
      <c r="B134" s="7" t="str">
        <f ca="1">IFERROR(__xludf.DUMMYFUNCTION("""COMPUTED_VALUE"""),"Cachito dia del niño")</f>
        <v>Cachito dia del niño</v>
      </c>
      <c r="C134" s="48">
        <v>0</v>
      </c>
      <c r="D134" s="21">
        <f ca="1">IFERROR(__xludf.DUMMYFUNCTION("""COMPUTED_VALUE"""),650)</f>
        <v>650</v>
      </c>
      <c r="E134" s="6" t="str">
        <f ca="1">IFERROR(__xludf.DUMMYFUNCTION("""COMPUTED_VALUE"""),"UN")</f>
        <v>UN</v>
      </c>
      <c r="F134" s="6" t="str">
        <f ca="1">IFERROR(__xludf.DUMMYFUNCTION("""COMPUTED_VALUE"""),"Productos Elaborados")</f>
        <v>Productos Elaborados</v>
      </c>
      <c r="G134" s="120">
        <f t="shared" ca="1" si="0"/>
        <v>0</v>
      </c>
      <c r="H134" s="121">
        <f t="shared" ca="1" si="1"/>
        <v>0</v>
      </c>
      <c r="I134" s="122">
        <f t="shared" ca="1" si="2"/>
        <v>0</v>
      </c>
      <c r="J134" s="15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>
      <c r="A135" s="7" t="str">
        <f ca="1">IFERROR(__xludf.DUMMYFUNCTION("""COMPUTED_VALUE"""),"ti-ing-1e41e1b0-0851-473d-8abe-6d9b0fc08a9a")</f>
        <v>ti-ing-1e41e1b0-0851-473d-8abe-6d9b0fc08a9a</v>
      </c>
      <c r="B135" s="7" t="str">
        <f ca="1">IFERROR(__xludf.DUMMYFUNCTION("""COMPUTED_VALUE"""),"Cachito manjar")</f>
        <v>Cachito manjar</v>
      </c>
      <c r="C135" s="48">
        <v>0</v>
      </c>
      <c r="D135" s="21">
        <f ca="1">IFERROR(__xludf.DUMMYFUNCTION("""COMPUTED_VALUE"""),166)</f>
        <v>166</v>
      </c>
      <c r="E135" s="6" t="str">
        <f ca="1">IFERROR(__xludf.DUMMYFUNCTION("""COMPUTED_VALUE"""),"UN")</f>
        <v>UN</v>
      </c>
      <c r="F135" s="6" t="str">
        <f ca="1">IFERROR(__xludf.DUMMYFUNCTION("""COMPUTED_VALUE"""),"Productos Elaborados")</f>
        <v>Productos Elaborados</v>
      </c>
      <c r="G135" s="120">
        <f t="shared" ca="1" si="0"/>
        <v>0</v>
      </c>
      <c r="H135" s="121">
        <f t="shared" ca="1" si="1"/>
        <v>0</v>
      </c>
      <c r="I135" s="122">
        <f t="shared" ca="1" si="2"/>
        <v>0</v>
      </c>
      <c r="J135" s="15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>
      <c r="A136" s="7" t="str">
        <f ca="1">IFERROR(__xludf.DUMMYFUNCTION("""COMPUTED_VALUE"""),"ti-ing-00563692-3110-463b-b06a-9695be0fc511")</f>
        <v>ti-ing-00563692-3110-463b-b06a-9695be0fc511</v>
      </c>
      <c r="B136" s="7" t="str">
        <f ca="1">IFERROR(__xludf.DUMMYFUNCTION("""COMPUTED_VALUE"""),"Cheescake frutos rojos")</f>
        <v>Cheescake frutos rojos</v>
      </c>
      <c r="C136" s="48">
        <v>12</v>
      </c>
      <c r="D136" s="21">
        <f ca="1">IFERROR(__xludf.DUMMYFUNCTION("""COMPUTED_VALUE"""),851)</f>
        <v>851</v>
      </c>
      <c r="E136" s="6" t="str">
        <f ca="1">IFERROR(__xludf.DUMMYFUNCTION("""COMPUTED_VALUE"""),"UN")</f>
        <v>UN</v>
      </c>
      <c r="F136" s="6" t="str">
        <f ca="1">IFERROR(__xludf.DUMMYFUNCTION("""COMPUTED_VALUE"""),"Productos Elaborados")</f>
        <v>Productos Elaborados</v>
      </c>
      <c r="G136" s="120">
        <f t="shared" ca="1" si="0"/>
        <v>10212</v>
      </c>
      <c r="H136" s="121">
        <f t="shared" ca="1" si="1"/>
        <v>1940.28</v>
      </c>
      <c r="I136" s="122">
        <f t="shared" ca="1" si="2"/>
        <v>12152.28</v>
      </c>
      <c r="J136" s="15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>
      <c r="A137" s="7" t="str">
        <f ca="1">IFERROR(__xludf.DUMMYFUNCTION("""COMPUTED_VALUE"""),"ti-ing-4c619862-bab0-4c3c-8818-628a74e80ad6")</f>
        <v>ti-ing-4c619862-bab0-4c3c-8818-628a74e80ad6</v>
      </c>
      <c r="B137" s="7" t="str">
        <f ca="1">IFERROR(__xludf.DUMMYFUNCTION("""COMPUTED_VALUE"""),"Cheescake maracuya")</f>
        <v>Cheescake maracuya</v>
      </c>
      <c r="C137" s="48">
        <v>14</v>
      </c>
      <c r="D137" s="21">
        <f ca="1">IFERROR(__xludf.DUMMYFUNCTION("""COMPUTED_VALUE"""),952)</f>
        <v>952</v>
      </c>
      <c r="E137" s="6" t="str">
        <f ca="1">IFERROR(__xludf.DUMMYFUNCTION("""COMPUTED_VALUE"""),"UN")</f>
        <v>UN</v>
      </c>
      <c r="F137" s="6" t="str">
        <f ca="1">IFERROR(__xludf.DUMMYFUNCTION("""COMPUTED_VALUE"""),"Productos Elaborados")</f>
        <v>Productos Elaborados</v>
      </c>
      <c r="G137" s="120">
        <f t="shared" ca="1" si="0"/>
        <v>13328</v>
      </c>
      <c r="H137" s="121">
        <f t="shared" ca="1" si="1"/>
        <v>2532.3200000000002</v>
      </c>
      <c r="I137" s="122">
        <f t="shared" ca="1" si="2"/>
        <v>15860.32</v>
      </c>
      <c r="J137" s="15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>
      <c r="A138" s="7" t="str">
        <f ca="1">IFERROR(__xludf.DUMMYFUNCTION("""COMPUTED_VALUE"""),"ti-ing-765c6ad4-e5e1-4f24-a016-341816f62ed8")</f>
        <v>ti-ing-765c6ad4-e5e1-4f24-a016-341816f62ed8</v>
      </c>
      <c r="B138" s="7" t="str">
        <f ca="1">IFERROR(__xludf.DUMMYFUNCTION("""COMPUTED_VALUE"""),"Chocolate de frutos rojos")</f>
        <v>Chocolate de frutos rojos</v>
      </c>
      <c r="C138" s="48">
        <v>1.1479999999999999</v>
      </c>
      <c r="D138" s="21">
        <f ca="1">IFERROR(__xludf.DUMMYFUNCTION("""COMPUTED_VALUE"""),2500)</f>
        <v>2500</v>
      </c>
      <c r="E138" s="6" t="str">
        <f ca="1">IFERROR(__xludf.DUMMYFUNCTION("""COMPUTED_VALUE"""),"KG")</f>
        <v>KG</v>
      </c>
      <c r="F138" s="6" t="str">
        <f ca="1">IFERROR(__xludf.DUMMYFUNCTION("""COMPUTED_VALUE"""),"Productos Elaborados")</f>
        <v>Productos Elaborados</v>
      </c>
      <c r="G138" s="120">
        <f t="shared" ca="1" si="0"/>
        <v>2870</v>
      </c>
      <c r="H138" s="121">
        <f t="shared" ca="1" si="1"/>
        <v>545.29999999999995</v>
      </c>
      <c r="I138" s="122">
        <f t="shared" ca="1" si="2"/>
        <v>3415.3</v>
      </c>
      <c r="J138" s="15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>
      <c r="A139" s="7" t="str">
        <f ca="1">IFERROR(__xludf.DUMMYFUNCTION("""COMPUTED_VALUE"""),"ti-ing-fa8bcf45-8f69-4074-b95c-2fe5cb233cf4")</f>
        <v>ti-ing-fa8bcf45-8f69-4074-b95c-2fe5cb233cf4</v>
      </c>
      <c r="B139" s="7" t="str">
        <f ca="1">IFERROR(__xludf.DUMMYFUNCTION("""COMPUTED_VALUE"""),"Chocolate de pistacho")</f>
        <v>Chocolate de pistacho</v>
      </c>
      <c r="C139" s="48">
        <v>1.25</v>
      </c>
      <c r="D139" s="21">
        <f ca="1">IFERROR(__xludf.DUMMYFUNCTION("""COMPUTED_VALUE"""),2500)</f>
        <v>2500</v>
      </c>
      <c r="E139" s="6" t="str">
        <f ca="1">IFERROR(__xludf.DUMMYFUNCTION("""COMPUTED_VALUE"""),"kg")</f>
        <v>kg</v>
      </c>
      <c r="F139" s="6" t="str">
        <f ca="1">IFERROR(__xludf.DUMMYFUNCTION("""COMPUTED_VALUE"""),"Productos Elaborados")</f>
        <v>Productos Elaborados</v>
      </c>
      <c r="G139" s="120">
        <f t="shared" ca="1" si="0"/>
        <v>3125</v>
      </c>
      <c r="H139" s="121">
        <f t="shared" ca="1" si="1"/>
        <v>593.75</v>
      </c>
      <c r="I139" s="122">
        <f t="shared" ca="1" si="2"/>
        <v>3718.75</v>
      </c>
      <c r="J139" s="15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>
      <c r="A140" s="7"/>
      <c r="B140" s="7" t="str">
        <f ca="1">IFERROR(__xludf.DUMMYFUNCTION("""COMPUTED_VALUE"""),"Chocolate Lotus")</f>
        <v>Chocolate Lotus</v>
      </c>
      <c r="C140" s="48">
        <v>0.78200000000000003</v>
      </c>
      <c r="D140" s="73">
        <f ca="1">IFERROR(__xludf.DUMMYFUNCTION("""COMPUTED_VALUE"""),4000)</f>
        <v>4000</v>
      </c>
      <c r="E140" s="6" t="str">
        <f ca="1">IFERROR(__xludf.DUMMYFUNCTION("""COMPUTED_VALUE"""),"KG")</f>
        <v>KG</v>
      </c>
      <c r="F140" s="6" t="str">
        <f ca="1">IFERROR(__xludf.DUMMYFUNCTION("""COMPUTED_VALUE"""),"Productos Elaborados")</f>
        <v>Productos Elaborados</v>
      </c>
      <c r="G140" s="120">
        <f t="shared" ca="1" si="0"/>
        <v>3128</v>
      </c>
      <c r="H140" s="121">
        <f t="shared" ca="1" si="1"/>
        <v>594.32000000000005</v>
      </c>
      <c r="I140" s="122">
        <f t="shared" ca="1" si="2"/>
        <v>3722.32</v>
      </c>
      <c r="J140" s="15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>
      <c r="A141" s="7" t="str">
        <f ca="1">IFERROR(__xludf.DUMMYFUNCTION("""COMPUTED_VALUE"""),"ti-ing-feab961b-2820-4354-bd97-f1b10f0a3309")</f>
        <v>ti-ing-feab961b-2820-4354-bd97-f1b10f0a3309</v>
      </c>
      <c r="B141" s="7" t="str">
        <f ca="1">IFERROR(__xludf.DUMMYFUNCTION("""COMPUTED_VALUE"""),"Cinamon Roll Frosting")</f>
        <v>Cinamon Roll Frosting</v>
      </c>
      <c r="C141" s="7">
        <v>0</v>
      </c>
      <c r="D141" s="21">
        <f ca="1">IFERROR(__xludf.DUMMYFUNCTION("""COMPUTED_VALUE"""),500)</f>
        <v>500</v>
      </c>
      <c r="E141" s="6" t="str">
        <f ca="1">IFERROR(__xludf.DUMMYFUNCTION("""COMPUTED_VALUE"""),"UN")</f>
        <v>UN</v>
      </c>
      <c r="F141" s="6" t="str">
        <f ca="1">IFERROR(__xludf.DUMMYFUNCTION("""COMPUTED_VALUE"""),"Productos Elaborados")</f>
        <v>Productos Elaborados</v>
      </c>
      <c r="G141" s="120">
        <f t="shared" ca="1" si="0"/>
        <v>0</v>
      </c>
      <c r="H141" s="121">
        <f t="shared" ca="1" si="1"/>
        <v>0</v>
      </c>
      <c r="I141" s="122">
        <f t="shared" ca="1" si="2"/>
        <v>0</v>
      </c>
      <c r="J141" s="15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>
      <c r="A142" s="7"/>
      <c r="B142" s="7" t="str">
        <f ca="1">IFERROR(__xludf.DUMMYFUNCTION("""COMPUTED_VALUE"""),"Cobertura oreo")</f>
        <v>Cobertura oreo</v>
      </c>
      <c r="C142" s="7">
        <v>1.722</v>
      </c>
      <c r="D142" s="73">
        <f ca="1">IFERROR(__xludf.DUMMYFUNCTION("""COMPUTED_VALUE"""),4000)</f>
        <v>4000</v>
      </c>
      <c r="E142" s="6" t="str">
        <f ca="1">IFERROR(__xludf.DUMMYFUNCTION("""COMPUTED_VALUE"""),"KG")</f>
        <v>KG</v>
      </c>
      <c r="F142" s="6" t="str">
        <f ca="1">IFERROR(__xludf.DUMMYFUNCTION("""COMPUTED_VALUE"""),"Productos Elaborados")</f>
        <v>Productos Elaborados</v>
      </c>
      <c r="G142" s="120">
        <f t="shared" ca="1" si="0"/>
        <v>6888</v>
      </c>
      <c r="H142" s="121">
        <f t="shared" ca="1" si="1"/>
        <v>1308.72</v>
      </c>
      <c r="I142" s="122">
        <f t="shared" ca="1" si="2"/>
        <v>8196.7199999999993</v>
      </c>
      <c r="J142" s="15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>
      <c r="A143" s="7"/>
      <c r="B143" s="7" t="str">
        <f ca="1">IFERROR(__xludf.DUMMYFUNCTION("""COMPUTED_VALUE"""),"Cobertura tiramisú")</f>
        <v>Cobertura tiramisú</v>
      </c>
      <c r="C143" s="7">
        <v>1.8120000000000001</v>
      </c>
      <c r="D143" s="73">
        <f ca="1">IFERROR(__xludf.DUMMYFUNCTION("""COMPUTED_VALUE"""),4000)</f>
        <v>4000</v>
      </c>
      <c r="E143" s="6" t="str">
        <f ca="1">IFERROR(__xludf.DUMMYFUNCTION("""COMPUTED_VALUE"""),"KG")</f>
        <v>KG</v>
      </c>
      <c r="F143" s="6" t="str">
        <f ca="1">IFERROR(__xludf.DUMMYFUNCTION("""COMPUTED_VALUE"""),"Productos Elaborados")</f>
        <v>Productos Elaborados</v>
      </c>
      <c r="G143" s="120">
        <f t="shared" ca="1" si="0"/>
        <v>7248</v>
      </c>
      <c r="H143" s="121">
        <f t="shared" ca="1" si="1"/>
        <v>1377.1200000000001</v>
      </c>
      <c r="I143" s="122">
        <f t="shared" ca="1" si="2"/>
        <v>8625.1200000000008</v>
      </c>
      <c r="J143" s="15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>
      <c r="A144" s="7" t="str">
        <f ca="1">IFERROR(__xludf.DUMMYFUNCTION("""COMPUTED_VALUE"""),"ti-ing-c599b8ce-de95-494f-9aa6-40364ce69e27")</f>
        <v>ti-ing-c599b8ce-de95-494f-9aa6-40364ce69e27</v>
      </c>
      <c r="B144" s="7" t="str">
        <f ca="1">IFERROR(__xludf.DUMMYFUNCTION("""COMPUTED_VALUE"""),"Colegia individual")</f>
        <v>Colegia individual</v>
      </c>
      <c r="C144" s="7">
        <v>0</v>
      </c>
      <c r="D144" s="21">
        <f ca="1">IFERROR(__xludf.DUMMYFUNCTION("""COMPUTED_VALUE"""),500)</f>
        <v>500</v>
      </c>
      <c r="E144" s="6" t="str">
        <f ca="1">IFERROR(__xludf.DUMMYFUNCTION("""COMPUTED_VALUE"""),"UN")</f>
        <v>UN</v>
      </c>
      <c r="F144" s="6" t="str">
        <f ca="1">IFERROR(__xludf.DUMMYFUNCTION("""COMPUTED_VALUE"""),"Productos Elaborados")</f>
        <v>Productos Elaborados</v>
      </c>
      <c r="G144" s="120">
        <f t="shared" ca="1" si="0"/>
        <v>0</v>
      </c>
      <c r="H144" s="121">
        <f t="shared" ca="1" si="1"/>
        <v>0</v>
      </c>
      <c r="I144" s="122">
        <f t="shared" ca="1" si="2"/>
        <v>0</v>
      </c>
      <c r="J144" s="15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>
      <c r="A145" s="7" t="str">
        <f ca="1">IFERROR(__xludf.DUMMYFUNCTION("""COMPUTED_VALUE"""),"ti-ing-9df5f5a3-8f74-463e-a88f-585f0a58539f")</f>
        <v>ti-ing-9df5f5a3-8f74-463e-a88f-585f0a58539f</v>
      </c>
      <c r="B145" s="7" t="str">
        <f ca="1">IFERROR(__xludf.DUMMYFUNCTION("""COMPUTED_VALUE"""),"Crema de pistacho kg")</f>
        <v>Crema de pistacho kg</v>
      </c>
      <c r="C145" s="7">
        <v>0</v>
      </c>
      <c r="D145" s="21">
        <f ca="1">IFERROR(__xludf.DUMMYFUNCTION("""COMPUTED_VALUE"""),3500)</f>
        <v>3500</v>
      </c>
      <c r="E145" s="6" t="str">
        <f ca="1">IFERROR(__xludf.DUMMYFUNCTION("""COMPUTED_VALUE"""),"KG")</f>
        <v>KG</v>
      </c>
      <c r="F145" s="6" t="str">
        <f ca="1">IFERROR(__xludf.DUMMYFUNCTION("""COMPUTED_VALUE"""),"Productos Elaborados")</f>
        <v>Productos Elaborados</v>
      </c>
      <c r="G145" s="120">
        <f t="shared" ca="1" si="0"/>
        <v>0</v>
      </c>
      <c r="H145" s="121">
        <f t="shared" ca="1" si="1"/>
        <v>0</v>
      </c>
      <c r="I145" s="122">
        <f t="shared" ca="1" si="2"/>
        <v>0</v>
      </c>
      <c r="J145" s="15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>
      <c r="A146" s="7" t="str">
        <f ca="1">IFERROR(__xludf.DUMMYFUNCTION("""COMPUTED_VALUE"""),"ti-ing-d64a9911-d7b9-4682-b2ef-19c55b3c01b9")</f>
        <v>ti-ing-d64a9911-d7b9-4682-b2ef-19c55b3c01b9</v>
      </c>
      <c r="B146" s="7" t="str">
        <f ca="1">IFERROR(__xludf.DUMMYFUNCTION("""COMPUTED_VALUE"""),"Crema de pistacho saludable kg")</f>
        <v>Crema de pistacho saludable kg</v>
      </c>
      <c r="C146" s="7">
        <v>2.8</v>
      </c>
      <c r="D146" s="21">
        <f ca="1">IFERROR(__xludf.DUMMYFUNCTION("""COMPUTED_VALUE"""),3500)</f>
        <v>3500</v>
      </c>
      <c r="E146" s="6" t="str">
        <f ca="1">IFERROR(__xludf.DUMMYFUNCTION("""COMPUTED_VALUE"""),"KG")</f>
        <v>KG</v>
      </c>
      <c r="F146" s="6" t="str">
        <f ca="1">IFERROR(__xludf.DUMMYFUNCTION("""COMPUTED_VALUE"""),"Productos Elaborados")</f>
        <v>Productos Elaborados</v>
      </c>
      <c r="G146" s="120">
        <f t="shared" ca="1" si="0"/>
        <v>9800</v>
      </c>
      <c r="H146" s="121">
        <f t="shared" ca="1" si="1"/>
        <v>1862</v>
      </c>
      <c r="I146" s="122">
        <f t="shared" ca="1" si="2"/>
        <v>11662</v>
      </c>
      <c r="J146" s="15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>
      <c r="A147" s="7" t="str">
        <f ca="1">IFERROR(__xludf.DUMMYFUNCTION("""COMPUTED_VALUE"""),"ti-ing-6c3193bb-303c-4840-8306-9affb92bf52a")</f>
        <v>ti-ing-6c3193bb-303c-4840-8306-9affb92bf52a</v>
      </c>
      <c r="B147" s="7" t="str">
        <f ca="1">IFERROR(__xludf.DUMMYFUNCTION("""COMPUTED_VALUE"""),"Crema mango (profiterol) kg")</f>
        <v>Crema mango (profiterol) kg</v>
      </c>
      <c r="C147" s="7">
        <v>0.94</v>
      </c>
      <c r="D147" s="21">
        <f ca="1">IFERROR(__xludf.DUMMYFUNCTION("""COMPUTED_VALUE"""),3500)</f>
        <v>3500</v>
      </c>
      <c r="E147" s="6" t="str">
        <f ca="1">IFERROR(__xludf.DUMMYFUNCTION("""COMPUTED_VALUE"""),"KG")</f>
        <v>KG</v>
      </c>
      <c r="F147" s="6" t="str">
        <f ca="1">IFERROR(__xludf.DUMMYFUNCTION("""COMPUTED_VALUE"""),"Productos Elaborados")</f>
        <v>Productos Elaborados</v>
      </c>
      <c r="G147" s="120">
        <f t="shared" ca="1" si="0"/>
        <v>3290</v>
      </c>
      <c r="H147" s="121">
        <f t="shared" ca="1" si="1"/>
        <v>625.1</v>
      </c>
      <c r="I147" s="122">
        <f t="shared" ca="1" si="2"/>
        <v>3915.1</v>
      </c>
      <c r="J147" s="15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>
      <c r="A148" s="7" t="str">
        <f ca="1">IFERROR(__xludf.DUMMYFUNCTION("""COMPUTED_VALUE"""),"ti-ing-4bab74ef-ff6d-40a4-a0ba-489827aa8627")</f>
        <v>ti-ing-4bab74ef-ff6d-40a4-a0ba-489827aa8627</v>
      </c>
      <c r="B148" s="7" t="str">
        <f ca="1">IFERROR(__xludf.DUMMYFUNCTION("""COMPUTED_VALUE"""),"Crema pastelera kg")</f>
        <v>Crema pastelera kg</v>
      </c>
      <c r="C148" s="7">
        <v>5.508</v>
      </c>
      <c r="D148" s="21">
        <f ca="1">IFERROR(__xludf.DUMMYFUNCTION("""COMPUTED_VALUE"""),3500)</f>
        <v>3500</v>
      </c>
      <c r="E148" s="6" t="str">
        <f ca="1">IFERROR(__xludf.DUMMYFUNCTION("""COMPUTED_VALUE"""),"KG")</f>
        <v>KG</v>
      </c>
      <c r="F148" s="6" t="str">
        <f ca="1">IFERROR(__xludf.DUMMYFUNCTION("""COMPUTED_VALUE"""),"Productos Elaborados")</f>
        <v>Productos Elaborados</v>
      </c>
      <c r="G148" s="120">
        <f t="shared" ca="1" si="0"/>
        <v>19278</v>
      </c>
      <c r="H148" s="121">
        <f t="shared" ca="1" si="1"/>
        <v>3662.82</v>
      </c>
      <c r="I148" s="122">
        <f t="shared" ca="1" si="2"/>
        <v>22940.82</v>
      </c>
      <c r="J148" s="15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>
      <c r="A149" s="7" t="str">
        <f ca="1">IFERROR(__xludf.DUMMYFUNCTION("""COMPUTED_VALUE"""),"ti-ing-61b594f9-91cf-40a6-949d-89c9d5361881")</f>
        <v>ti-ing-61b594f9-91cf-40a6-949d-89c9d5361881</v>
      </c>
      <c r="B149" s="7" t="str">
        <f ca="1">IFERROR(__xludf.DUMMYFUNCTION("""COMPUTED_VALUE"""),"Croissant 120 base")</f>
        <v>Croissant 120 base</v>
      </c>
      <c r="C149" s="7">
        <v>0</v>
      </c>
      <c r="D149" s="21">
        <f ca="1">IFERROR(__xludf.DUMMYFUNCTION("""COMPUTED_VALUE"""),120)</f>
        <v>120</v>
      </c>
      <c r="E149" s="6" t="str">
        <f ca="1">IFERROR(__xludf.DUMMYFUNCTION("""COMPUTED_VALUE"""),"UN")</f>
        <v>UN</v>
      </c>
      <c r="F149" s="6" t="str">
        <f ca="1">IFERROR(__xludf.DUMMYFUNCTION("""COMPUTED_VALUE"""),"Productos Elaborados")</f>
        <v>Productos Elaborados</v>
      </c>
      <c r="G149" s="120">
        <f t="shared" ca="1" si="0"/>
        <v>0</v>
      </c>
      <c r="H149" s="121">
        <f t="shared" ca="1" si="1"/>
        <v>0</v>
      </c>
      <c r="I149" s="122">
        <f t="shared" ca="1" si="2"/>
        <v>0</v>
      </c>
      <c r="J149" s="15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>
      <c r="A150" s="7" t="str">
        <f ca="1">IFERROR(__xludf.DUMMYFUNCTION("""COMPUTED_VALUE"""),"ti-ing-4264b4d8-2063-4b41-b98b-f349dcdd3ee1")</f>
        <v>ti-ing-4264b4d8-2063-4b41-b98b-f349dcdd3ee1</v>
      </c>
      <c r="B150" s="7" t="str">
        <f ca="1">IFERROR(__xludf.DUMMYFUNCTION("""COMPUTED_VALUE"""),"Croissant 140 base")</f>
        <v>Croissant 140 base</v>
      </c>
      <c r="C150" s="7">
        <v>0</v>
      </c>
      <c r="D150" s="21">
        <f ca="1">IFERROR(__xludf.DUMMYFUNCTION("""COMPUTED_VALUE"""),571)</f>
        <v>571</v>
      </c>
      <c r="E150" s="6" t="str">
        <f ca="1">IFERROR(__xludf.DUMMYFUNCTION("""COMPUTED_VALUE"""),"UN")</f>
        <v>UN</v>
      </c>
      <c r="F150" s="6" t="str">
        <f ca="1">IFERROR(__xludf.DUMMYFUNCTION("""COMPUTED_VALUE"""),"Productos Elaborados")</f>
        <v>Productos Elaborados</v>
      </c>
      <c r="G150" s="120">
        <f t="shared" ca="1" si="0"/>
        <v>0</v>
      </c>
      <c r="H150" s="121">
        <f t="shared" ca="1" si="1"/>
        <v>0</v>
      </c>
      <c r="I150" s="122">
        <f t="shared" ca="1" si="2"/>
        <v>0</v>
      </c>
      <c r="J150" s="15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>
      <c r="A151" s="7" t="str">
        <f ca="1">IFERROR(__xludf.DUMMYFUNCTION("""COMPUTED_VALUE"""),"ti-ing-a9bacd07-29b4-426b-9177-90c53f67a47e")</f>
        <v>ti-ing-a9bacd07-29b4-426b-9177-90c53f67a47e</v>
      </c>
      <c r="B151" s="7" t="str">
        <f ca="1">IFERROR(__xludf.DUMMYFUNCTION("""COMPUTED_VALUE"""),"Croissant cheescake")</f>
        <v>Croissant cheescake</v>
      </c>
      <c r="C151" s="7">
        <v>11</v>
      </c>
      <c r="D151" s="21">
        <f ca="1">IFERROR(__xludf.DUMMYFUNCTION("""COMPUTED_VALUE"""),650)</f>
        <v>650</v>
      </c>
      <c r="E151" s="6" t="str">
        <f ca="1">IFERROR(__xludf.DUMMYFUNCTION("""COMPUTED_VALUE"""),"UN")</f>
        <v>UN</v>
      </c>
      <c r="F151" s="6" t="str">
        <f ca="1">IFERROR(__xludf.DUMMYFUNCTION("""COMPUTED_VALUE"""),"Productos Elaborados")</f>
        <v>Productos Elaborados</v>
      </c>
      <c r="G151" s="120">
        <f t="shared" ca="1" si="0"/>
        <v>7150</v>
      </c>
      <c r="H151" s="121">
        <f t="shared" ca="1" si="1"/>
        <v>1358.5</v>
      </c>
      <c r="I151" s="122">
        <f t="shared" ca="1" si="2"/>
        <v>8508.5</v>
      </c>
      <c r="J151" s="15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>
      <c r="A152" s="7" t="str">
        <f ca="1">IFERROR(__xludf.DUMMYFUNCTION("""COMPUTED_VALUE"""),"ti-ing-90d8a114-0aa9-4a34-8309-119a4248920c")</f>
        <v>ti-ing-90d8a114-0aa9-4a34-8309-119a4248920c</v>
      </c>
      <c r="B152" s="7" t="str">
        <f ca="1">IFERROR(__xludf.DUMMYFUNCTION("""COMPUTED_VALUE"""),"Croissant chocolate")</f>
        <v>Croissant chocolate</v>
      </c>
      <c r="C152" s="7">
        <v>12</v>
      </c>
      <c r="D152" s="21">
        <f ca="1">IFERROR(__xludf.DUMMYFUNCTION("""COMPUTED_VALUE"""),650)</f>
        <v>650</v>
      </c>
      <c r="E152" s="6" t="str">
        <f ca="1">IFERROR(__xludf.DUMMYFUNCTION("""COMPUTED_VALUE"""),"UN")</f>
        <v>UN</v>
      </c>
      <c r="F152" s="6" t="str">
        <f ca="1">IFERROR(__xludf.DUMMYFUNCTION("""COMPUTED_VALUE"""),"Productos Elaborados")</f>
        <v>Productos Elaborados</v>
      </c>
      <c r="G152" s="120">
        <f t="shared" ca="1" si="0"/>
        <v>7800</v>
      </c>
      <c r="H152" s="121">
        <f t="shared" ca="1" si="1"/>
        <v>1482</v>
      </c>
      <c r="I152" s="122">
        <f t="shared" ca="1" si="2"/>
        <v>9282</v>
      </c>
      <c r="J152" s="15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>
      <c r="A153" s="7" t="str">
        <f ca="1">IFERROR(__xludf.DUMMYFUNCTION("""COMPUTED_VALUE"""),"ti-ing-7a0858c5-93d0-4585-934b-044b2a12eac7")</f>
        <v>ti-ing-7a0858c5-93d0-4585-934b-044b2a12eac7</v>
      </c>
      <c r="B153" s="7" t="str">
        <f ca="1">IFERROR(__xludf.DUMMYFUNCTION("""COMPUTED_VALUE"""),"Croissant Frutos rojos")</f>
        <v>Croissant Frutos rojos</v>
      </c>
      <c r="C153" s="7">
        <v>10</v>
      </c>
      <c r="D153" s="21">
        <f ca="1">IFERROR(__xludf.DUMMYFUNCTION("""COMPUTED_VALUE"""),650)</f>
        <v>650</v>
      </c>
      <c r="E153" s="6" t="str">
        <f ca="1">IFERROR(__xludf.DUMMYFUNCTION("""COMPUTED_VALUE"""),"UN")</f>
        <v>UN</v>
      </c>
      <c r="F153" s="6" t="str">
        <f ca="1">IFERROR(__xludf.DUMMYFUNCTION("""COMPUTED_VALUE"""),"Productos Elaborados")</f>
        <v>Productos Elaborados</v>
      </c>
      <c r="G153" s="120">
        <f t="shared" ca="1" si="0"/>
        <v>6500</v>
      </c>
      <c r="H153" s="121">
        <f t="shared" ca="1" si="1"/>
        <v>1235</v>
      </c>
      <c r="I153" s="122">
        <f t="shared" ca="1" si="2"/>
        <v>7735</v>
      </c>
      <c r="J153" s="15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>
      <c r="A154" s="7" t="str">
        <f ca="1">IFERROR(__xludf.DUMMYFUNCTION("""COMPUTED_VALUE"""),"ti-ing-a878a084-7424-4b76-aadc-69c9c894b339")</f>
        <v>ti-ing-a878a084-7424-4b76-aadc-69c9c894b339</v>
      </c>
      <c r="B154" s="7" t="str">
        <f ca="1">IFERROR(__xludf.DUMMYFUNCTION("""COMPUTED_VALUE"""),"Croissant Nutella")</f>
        <v>Croissant Nutella</v>
      </c>
      <c r="C154" s="7">
        <v>0</v>
      </c>
      <c r="D154" s="21">
        <f ca="1">IFERROR(__xludf.DUMMYFUNCTION("""COMPUTED_VALUE"""),650)</f>
        <v>650</v>
      </c>
      <c r="E154" s="6" t="str">
        <f ca="1">IFERROR(__xludf.DUMMYFUNCTION("""COMPUTED_VALUE"""),"UN")</f>
        <v>UN</v>
      </c>
      <c r="F154" s="6" t="str">
        <f ca="1">IFERROR(__xludf.DUMMYFUNCTION("""COMPUTED_VALUE"""),"Productos Elaborados")</f>
        <v>Productos Elaborados</v>
      </c>
      <c r="G154" s="120">
        <f t="shared" ca="1" si="0"/>
        <v>0</v>
      </c>
      <c r="H154" s="121">
        <f t="shared" ca="1" si="1"/>
        <v>0</v>
      </c>
      <c r="I154" s="122">
        <f t="shared" ca="1" si="2"/>
        <v>0</v>
      </c>
      <c r="J154" s="15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>
      <c r="A155" s="7" t="str">
        <f ca="1">IFERROR(__xludf.DUMMYFUNCTION("""COMPUTED_VALUE"""),"ti-ing-f319272a-8ac2-45ea-9b99-7a8517f28618")</f>
        <v>ti-ing-f319272a-8ac2-45ea-9b99-7a8517f28618</v>
      </c>
      <c r="B155" s="7" t="str">
        <f ca="1">IFERROR(__xludf.DUMMYFUNCTION("""COMPUTED_VALUE"""),"Croissant Pie de limón")</f>
        <v>Croissant Pie de limón</v>
      </c>
      <c r="C155" s="7">
        <v>0</v>
      </c>
      <c r="D155" s="21">
        <f ca="1">IFERROR(__xludf.DUMMYFUNCTION("""COMPUTED_VALUE"""),650)</f>
        <v>650</v>
      </c>
      <c r="E155" s="6" t="str">
        <f ca="1">IFERROR(__xludf.DUMMYFUNCTION("""COMPUTED_VALUE"""),"UN")</f>
        <v>UN</v>
      </c>
      <c r="F155" s="6" t="str">
        <f ca="1">IFERROR(__xludf.DUMMYFUNCTION("""COMPUTED_VALUE"""),"Productos Elaborados")</f>
        <v>Productos Elaborados</v>
      </c>
      <c r="G155" s="120">
        <f t="shared" ca="1" si="0"/>
        <v>0</v>
      </c>
      <c r="H155" s="121">
        <f t="shared" ca="1" si="1"/>
        <v>0</v>
      </c>
      <c r="I155" s="122">
        <f t="shared" ca="1" si="2"/>
        <v>0</v>
      </c>
      <c r="J155" s="15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>
      <c r="A156" s="7" t="str">
        <f ca="1">IFERROR(__xludf.DUMMYFUNCTION("""COMPUTED_VALUE"""),"ti-ing-fd112425-6e9a-40f1-94e3-5d2d8759dc9e")</f>
        <v>ti-ing-fd112425-6e9a-40f1-94e3-5d2d8759dc9e</v>
      </c>
      <c r="B156" s="7" t="str">
        <f ca="1">IFERROR(__xludf.DUMMYFUNCTION("""COMPUTED_VALUE"""),"Croissant Pistacho")</f>
        <v>Croissant Pistacho</v>
      </c>
      <c r="C156" s="7">
        <v>0</v>
      </c>
      <c r="D156" s="21">
        <f ca="1">IFERROR(__xludf.DUMMYFUNCTION("""COMPUTED_VALUE"""),600)</f>
        <v>600</v>
      </c>
      <c r="E156" s="6" t="str">
        <f ca="1">IFERROR(__xludf.DUMMYFUNCTION("""COMPUTED_VALUE"""),"UN")</f>
        <v>UN</v>
      </c>
      <c r="F156" s="6" t="str">
        <f ca="1">IFERROR(__xludf.DUMMYFUNCTION("""COMPUTED_VALUE"""),"Productos Elaborados")</f>
        <v>Productos Elaborados</v>
      </c>
      <c r="G156" s="120">
        <f t="shared" ca="1" si="0"/>
        <v>0</v>
      </c>
      <c r="H156" s="121">
        <f t="shared" ca="1" si="1"/>
        <v>0</v>
      </c>
      <c r="I156" s="122">
        <f t="shared" ca="1" si="2"/>
        <v>0</v>
      </c>
      <c r="J156" s="15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>
      <c r="A157" s="7" t="str">
        <f ca="1">IFERROR(__xludf.DUMMYFUNCTION("""COMPUTED_VALUE"""),"ti-ing-38411b9d-d841-4545-80b1-4ca4fd1cd57d")</f>
        <v>ti-ing-38411b9d-d841-4545-80b1-4ca4fd1cd57d</v>
      </c>
      <c r="B157" s="7" t="str">
        <f ca="1">IFERROR(__xludf.DUMMYFUNCTION("""COMPUTED_VALUE"""),"Croissant roll base")</f>
        <v>Croissant roll base</v>
      </c>
      <c r="C157" s="7">
        <v>0</v>
      </c>
      <c r="D157" s="21">
        <f ca="1">IFERROR(__xludf.DUMMYFUNCTION("""COMPUTED_VALUE"""),571)</f>
        <v>571</v>
      </c>
      <c r="E157" s="6" t="str">
        <f ca="1">IFERROR(__xludf.DUMMYFUNCTION("""COMPUTED_VALUE"""),"UN")</f>
        <v>UN</v>
      </c>
      <c r="F157" s="6" t="str">
        <f ca="1">IFERROR(__xludf.DUMMYFUNCTION("""COMPUTED_VALUE"""),"Productos Elaborados")</f>
        <v>Productos Elaborados</v>
      </c>
      <c r="G157" s="120">
        <f t="shared" ca="1" si="0"/>
        <v>0</v>
      </c>
      <c r="H157" s="121">
        <f t="shared" ca="1" si="1"/>
        <v>0</v>
      </c>
      <c r="I157" s="122">
        <f t="shared" ca="1" si="2"/>
        <v>0</v>
      </c>
      <c r="J157" s="15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>
      <c r="A158" s="7" t="str">
        <f ca="1">IFERROR(__xludf.DUMMYFUNCTION("""COMPUTED_VALUE"""),"ti-ing-e0808b53-599f-403a-a534-bae88ad75adb")</f>
        <v>ti-ing-e0808b53-599f-403a-a534-bae88ad75adb</v>
      </c>
      <c r="B158" s="7" t="str">
        <f ca="1">IFERROR(__xludf.DUMMYFUNCTION("""COMPUTED_VALUE"""),"Croissant Suspiro limeño")</f>
        <v>Croissant Suspiro limeño</v>
      </c>
      <c r="C158" s="7">
        <v>0</v>
      </c>
      <c r="D158" s="21">
        <f ca="1">IFERROR(__xludf.DUMMYFUNCTION("""COMPUTED_VALUE"""),650)</f>
        <v>650</v>
      </c>
      <c r="E158" s="6" t="str">
        <f ca="1">IFERROR(__xludf.DUMMYFUNCTION("""COMPUTED_VALUE"""),"UN")</f>
        <v>UN</v>
      </c>
      <c r="F158" s="6" t="str">
        <f ca="1">IFERROR(__xludf.DUMMYFUNCTION("""COMPUTED_VALUE"""),"Productos Elaborados")</f>
        <v>Productos Elaborados</v>
      </c>
      <c r="G158" s="120">
        <f t="shared" ca="1" si="0"/>
        <v>0</v>
      </c>
      <c r="H158" s="121">
        <f t="shared" ca="1" si="1"/>
        <v>0</v>
      </c>
      <c r="I158" s="122">
        <f t="shared" ca="1" si="2"/>
        <v>0</v>
      </c>
      <c r="J158" s="15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>
      <c r="A159" s="7"/>
      <c r="B159" s="7" t="str">
        <f ca="1">IFERROR(__xludf.DUMMYFUNCTION("""COMPUTED_VALUE"""),"Croissant Tiramisú")</f>
        <v>Croissant Tiramisú</v>
      </c>
      <c r="C159" s="7">
        <v>11</v>
      </c>
      <c r="D159" s="73">
        <f ca="1">IFERROR(__xludf.DUMMYFUNCTION("""COMPUTED_VALUE"""),700)</f>
        <v>700</v>
      </c>
      <c r="E159" s="6" t="str">
        <f ca="1">IFERROR(__xludf.DUMMYFUNCTION("""COMPUTED_VALUE"""),"UN")</f>
        <v>UN</v>
      </c>
      <c r="F159" s="6" t="str">
        <f ca="1">IFERROR(__xludf.DUMMYFUNCTION("""COMPUTED_VALUE"""),"Productos Elaborados")</f>
        <v>Productos Elaborados</v>
      </c>
      <c r="G159" s="120">
        <f t="shared" ca="1" si="0"/>
        <v>7700</v>
      </c>
      <c r="H159" s="121">
        <f t="shared" ca="1" si="1"/>
        <v>1463</v>
      </c>
      <c r="I159" s="122">
        <f t="shared" ca="1" si="2"/>
        <v>9163</v>
      </c>
      <c r="J159" s="15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>
      <c r="A160" s="7" t="str">
        <f ca="1">IFERROR(__xludf.DUMMYFUNCTION("""COMPUTED_VALUE"""),"ti-ing-6a387c51-0d3c-41ab-af20-0108c6d99328")</f>
        <v>ti-ing-6a387c51-0d3c-41ab-af20-0108c6d99328</v>
      </c>
      <c r="B160" s="7" t="str">
        <f ca="1">IFERROR(__xludf.DUMMYFUNCTION("""COMPUTED_VALUE"""),"Eclair horneado kg")</f>
        <v>Eclair horneado kg</v>
      </c>
      <c r="C160" s="7">
        <v>53</v>
      </c>
      <c r="D160" s="21">
        <f ca="1">IFERROR(__xludf.DUMMYFUNCTION("""COMPUTED_VALUE"""),300)</f>
        <v>300</v>
      </c>
      <c r="E160" s="63" t="str">
        <f ca="1">IFERROR(__xludf.DUMMYFUNCTION("""COMPUTED_VALUE"""),"kg")</f>
        <v>kg</v>
      </c>
      <c r="F160" s="6" t="str">
        <f ca="1">IFERROR(__xludf.DUMMYFUNCTION("""COMPUTED_VALUE"""),"Productos Elaborados")</f>
        <v>Productos Elaborados</v>
      </c>
      <c r="G160" s="120">
        <f t="shared" ca="1" si="0"/>
        <v>15900</v>
      </c>
      <c r="H160" s="121">
        <f t="shared" ca="1" si="1"/>
        <v>3021</v>
      </c>
      <c r="I160" s="122">
        <f t="shared" ca="1" si="2"/>
        <v>18921</v>
      </c>
      <c r="J160" s="15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>
      <c r="A161" s="7" t="str">
        <f ca="1">IFERROR(__xludf.DUMMYFUNCTION("""COMPUTED_VALUE"""),"ti-ing-eafce1a1-c57c-4320-8dbe-0549a248c2a7")</f>
        <v>ti-ing-eafce1a1-c57c-4320-8dbe-0549a248c2a7</v>
      </c>
      <c r="B161" s="7" t="str">
        <f ca="1">IFERROR(__xludf.DUMMYFUNCTION("""COMPUTED_VALUE"""),"Eclair Nutella")</f>
        <v>Eclair Nutella</v>
      </c>
      <c r="C161" s="7">
        <v>2</v>
      </c>
      <c r="D161" s="21">
        <f ca="1">IFERROR(__xludf.DUMMYFUNCTION("""COMPUTED_VALUE"""),450)</f>
        <v>450</v>
      </c>
      <c r="E161" s="6" t="str">
        <f ca="1">IFERROR(__xludf.DUMMYFUNCTION("""COMPUTED_VALUE"""),"UN")</f>
        <v>UN</v>
      </c>
      <c r="F161" s="6" t="str">
        <f ca="1">IFERROR(__xludf.DUMMYFUNCTION("""COMPUTED_VALUE"""),"Productos Elaborados")</f>
        <v>Productos Elaborados</v>
      </c>
      <c r="G161" s="120">
        <f t="shared" ca="1" si="0"/>
        <v>900</v>
      </c>
      <c r="H161" s="121">
        <f t="shared" ca="1" si="1"/>
        <v>171</v>
      </c>
      <c r="I161" s="122">
        <f t="shared" ca="1" si="2"/>
        <v>1071</v>
      </c>
      <c r="J161" s="15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>
      <c r="A162" s="7" t="str">
        <f ca="1">IFERROR(__xludf.DUMMYFUNCTION("""COMPUTED_VALUE"""),"ti-ing-995c7427-e865-45af-b61e-3ea85358f4ed")</f>
        <v>ti-ing-995c7427-e865-45af-b61e-3ea85358f4ed</v>
      </c>
      <c r="B162" s="7" t="str">
        <f ca="1">IFERROR(__xludf.DUMMYFUNCTION("""COMPUTED_VALUE"""),"Eclair Pistachos")</f>
        <v>Eclair Pistachos</v>
      </c>
      <c r="C162" s="7">
        <v>4</v>
      </c>
      <c r="D162" s="21">
        <f ca="1">IFERROR(__xludf.DUMMYFUNCTION("""COMPUTED_VALUE"""),450)</f>
        <v>450</v>
      </c>
      <c r="E162" s="6" t="str">
        <f ca="1">IFERROR(__xludf.DUMMYFUNCTION("""COMPUTED_VALUE"""),"un")</f>
        <v>un</v>
      </c>
      <c r="F162" s="6" t="str">
        <f ca="1">IFERROR(__xludf.DUMMYFUNCTION("""COMPUTED_VALUE"""),"Productos Elaborados")</f>
        <v>Productos Elaborados</v>
      </c>
      <c r="G162" s="120">
        <f t="shared" ca="1" si="0"/>
        <v>1800</v>
      </c>
      <c r="H162" s="121">
        <f t="shared" ca="1" si="1"/>
        <v>342</v>
      </c>
      <c r="I162" s="122">
        <f t="shared" ca="1" si="2"/>
        <v>2142</v>
      </c>
      <c r="J162" s="15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>
      <c r="A163" s="7" t="str">
        <f ca="1">IFERROR(__xludf.DUMMYFUNCTION("""COMPUTED_VALUE"""),"ti-ing-1b549673-caa3-4f9e-9c89-5248577dc078")</f>
        <v>ti-ing-1b549673-caa3-4f9e-9c89-5248577dc078</v>
      </c>
      <c r="B163" s="7" t="str">
        <f ca="1">IFERROR(__xludf.DUMMYFUNCTION("""COMPUTED_VALUE"""),"Foche chocolate (croissant + torta) kg")</f>
        <v>Foche chocolate (croissant + torta) kg</v>
      </c>
      <c r="C163" s="7">
        <v>16.396000000000001</v>
      </c>
      <c r="D163" s="21">
        <f ca="1">IFERROR(__xludf.DUMMYFUNCTION("""COMPUTED_VALUE"""),3500)</f>
        <v>3500</v>
      </c>
      <c r="E163" s="6" t="str">
        <f ca="1">IFERROR(__xludf.DUMMYFUNCTION("""COMPUTED_VALUE"""),"KG")</f>
        <v>KG</v>
      </c>
      <c r="F163" s="6" t="str">
        <f ca="1">IFERROR(__xludf.DUMMYFUNCTION("""COMPUTED_VALUE"""),"Productos Elaborados")</f>
        <v>Productos Elaborados</v>
      </c>
      <c r="G163" s="120">
        <f t="shared" ca="1" si="0"/>
        <v>57386</v>
      </c>
      <c r="H163" s="121">
        <f t="shared" ca="1" si="1"/>
        <v>10903.34</v>
      </c>
      <c r="I163" s="122">
        <f t="shared" ca="1" si="2"/>
        <v>68289.34</v>
      </c>
      <c r="J163" s="15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>
      <c r="A164" s="7" t="str">
        <f ca="1">IFERROR(__xludf.DUMMYFUNCTION("""COMPUTED_VALUE"""),"ti-ing-9566fb70-9504-46e2-9a82-c2bbb0fa2d2d")</f>
        <v>ti-ing-9566fb70-9504-46e2-9a82-c2bbb0fa2d2d</v>
      </c>
      <c r="B164" s="7" t="str">
        <f ca="1">IFERROR(__xludf.DUMMYFUNCTION("""COMPUTED_VALUE"""),"Frosting kg")</f>
        <v>Frosting kg</v>
      </c>
      <c r="C164" s="7">
        <v>6.4279999999999999</v>
      </c>
      <c r="D164" s="21">
        <f ca="1">IFERROR(__xludf.DUMMYFUNCTION("""COMPUTED_VALUE"""),3500)</f>
        <v>3500</v>
      </c>
      <c r="E164" s="6" t="str">
        <f ca="1">IFERROR(__xludf.DUMMYFUNCTION("""COMPUTED_VALUE"""),"KG")</f>
        <v>KG</v>
      </c>
      <c r="F164" s="6" t="str">
        <f ca="1">IFERROR(__xludf.DUMMYFUNCTION("""COMPUTED_VALUE"""),"Productos Elaborados")</f>
        <v>Productos Elaborados</v>
      </c>
      <c r="G164" s="120">
        <f t="shared" ca="1" si="0"/>
        <v>22498</v>
      </c>
      <c r="H164" s="121">
        <f t="shared" ca="1" si="1"/>
        <v>4274.62</v>
      </c>
      <c r="I164" s="122">
        <f t="shared" ca="1" si="2"/>
        <v>26772.62</v>
      </c>
      <c r="J164" s="15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>
      <c r="A165" s="7" t="str">
        <f ca="1">IFERROR(__xludf.DUMMYFUNCTION("""COMPUTED_VALUE"""),"ti-ing-f4d5782b-0663-4075-a2af-3813f216aff2")</f>
        <v>ti-ing-f4d5782b-0663-4075-a2af-3813f216aff2</v>
      </c>
      <c r="B165" s="7" t="str">
        <f ca="1">IFERROR(__xludf.DUMMYFUNCTION("""COMPUTED_VALUE"""),"Galleta alfajor")</f>
        <v>Galleta alfajor</v>
      </c>
      <c r="C165" s="7">
        <v>30</v>
      </c>
      <c r="D165" s="21">
        <f ca="1">IFERROR(__xludf.DUMMYFUNCTION("""COMPUTED_VALUE"""),131.12)</f>
        <v>131.12</v>
      </c>
      <c r="E165" s="6"/>
      <c r="F165" s="6" t="str">
        <f ca="1">IFERROR(__xludf.DUMMYFUNCTION("""COMPUTED_VALUE"""),"Productos Elaborados")</f>
        <v>Productos Elaborados</v>
      </c>
      <c r="G165" s="120">
        <f t="shared" ca="1" si="0"/>
        <v>3933.6000000000004</v>
      </c>
      <c r="H165" s="121">
        <f t="shared" ca="1" si="1"/>
        <v>747.38400000000013</v>
      </c>
      <c r="I165" s="122">
        <f t="shared" ca="1" si="2"/>
        <v>4680.9840000000004</v>
      </c>
      <c r="J165" s="15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>
      <c r="A166" s="7" t="str">
        <f ca="1">IFERROR(__xludf.DUMMYFUNCTION("""COMPUTED_VALUE"""),"ti-ing-26675115-31e4-4fe6-9f4b-f952cea2afa0")</f>
        <v>ti-ing-26675115-31e4-4fe6-9f4b-f952cea2afa0</v>
      </c>
      <c r="B166" s="7" t="str">
        <f ca="1">IFERROR(__xludf.DUMMYFUNCTION("""COMPUTED_VALUE"""),"GALLETA ESPECIAL 1500")</f>
        <v>GALLETA ESPECIAL 1500</v>
      </c>
      <c r="C166" s="7">
        <v>0</v>
      </c>
      <c r="D166" s="21">
        <f ca="1">IFERROR(__xludf.DUMMYFUNCTION("""COMPUTED_VALUE"""),800)</f>
        <v>800</v>
      </c>
      <c r="E166" s="6" t="str">
        <f ca="1">IFERROR(__xludf.DUMMYFUNCTION("""COMPUTED_VALUE"""),"UN")</f>
        <v>UN</v>
      </c>
      <c r="F166" s="6" t="str">
        <f ca="1">IFERROR(__xludf.DUMMYFUNCTION("""COMPUTED_VALUE"""),"Productos Elaborados")</f>
        <v>Productos Elaborados</v>
      </c>
      <c r="G166" s="120">
        <f t="shared" ca="1" si="0"/>
        <v>0</v>
      </c>
      <c r="H166" s="121">
        <f t="shared" ca="1" si="1"/>
        <v>0</v>
      </c>
      <c r="I166" s="122">
        <f t="shared" ca="1" si="2"/>
        <v>0</v>
      </c>
      <c r="J166" s="15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>
      <c r="A167" s="7" t="str">
        <f ca="1">IFERROR(__xludf.DUMMYFUNCTION("""COMPUTED_VALUE"""),"ti-ing-cee77de7-f9f2-4481-b212-5c0f4ff6437e")</f>
        <v>ti-ing-cee77de7-f9f2-4481-b212-5c0f4ff6437e</v>
      </c>
      <c r="B167" s="7" t="str">
        <f ca="1">IFERROR(__xludf.DUMMYFUNCTION("""COMPUTED_VALUE"""),"GALLETA ESPECIAL 2500")</f>
        <v>GALLETA ESPECIAL 2500</v>
      </c>
      <c r="C167" s="7">
        <v>0</v>
      </c>
      <c r="D167" s="21">
        <f ca="1">IFERROR(__xludf.DUMMYFUNCTION("""COMPUTED_VALUE"""),1000)</f>
        <v>1000</v>
      </c>
      <c r="E167" s="6" t="str">
        <f ca="1">IFERROR(__xludf.DUMMYFUNCTION("""COMPUTED_VALUE"""),"UN")</f>
        <v>UN</v>
      </c>
      <c r="F167" s="6" t="str">
        <f ca="1">IFERROR(__xludf.DUMMYFUNCTION("""COMPUTED_VALUE"""),"Productos Elaborados")</f>
        <v>Productos Elaborados</v>
      </c>
      <c r="G167" s="120">
        <f t="shared" ca="1" si="0"/>
        <v>0</v>
      </c>
      <c r="H167" s="121">
        <f t="shared" ca="1" si="1"/>
        <v>0</v>
      </c>
      <c r="I167" s="122">
        <f t="shared" ca="1" si="2"/>
        <v>0</v>
      </c>
      <c r="J167" s="15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>
      <c r="A168" s="7"/>
      <c r="B168" s="7" t="str">
        <f ca="1">IFERROR(__xludf.DUMMYFUNCTION("""COMPUTED_VALUE"""),"Galleta fruna molida")</f>
        <v>Galleta fruna molida</v>
      </c>
      <c r="C168" s="7">
        <v>8.0779999999999994</v>
      </c>
      <c r="D168" s="21">
        <f ca="1">IFERROR(__xludf.DUMMYFUNCTION("""COMPUTED_VALUE"""),1865)</f>
        <v>1865</v>
      </c>
      <c r="E168" s="6" t="str">
        <f ca="1">IFERROR(__xludf.DUMMYFUNCTION("""COMPUTED_VALUE"""),"UN")</f>
        <v>UN</v>
      </c>
      <c r="F168" s="6" t="str">
        <f ca="1">IFERROR(__xludf.DUMMYFUNCTION("""COMPUTED_VALUE"""),"Productos Elaborados")</f>
        <v>Productos Elaborados</v>
      </c>
      <c r="G168" s="120">
        <f t="shared" ca="1" si="0"/>
        <v>15065.47</v>
      </c>
      <c r="H168" s="121">
        <f t="shared" ca="1" si="1"/>
        <v>2862.4393</v>
      </c>
      <c r="I168" s="122">
        <f t="shared" ca="1" si="2"/>
        <v>17927.909299999999</v>
      </c>
      <c r="J168" s="15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>
      <c r="A169" s="7"/>
      <c r="B169" s="7" t="str">
        <f ca="1">IFERROR(__xludf.DUMMYFUNCTION("""COMPUTED_VALUE"""),"Ganache de chocolate saludable")</f>
        <v>Ganache de chocolate saludable</v>
      </c>
      <c r="C169" s="7">
        <v>0</v>
      </c>
      <c r="D169" s="73">
        <f ca="1">IFERROR(__xludf.DUMMYFUNCTION("""COMPUTED_VALUE"""),7500)</f>
        <v>7500</v>
      </c>
      <c r="E169" s="6" t="str">
        <f ca="1">IFERROR(__xludf.DUMMYFUNCTION("""COMPUTED_VALUE"""),"KG")</f>
        <v>KG</v>
      </c>
      <c r="F169" s="6" t="str">
        <f ca="1">IFERROR(__xludf.DUMMYFUNCTION("""COMPUTED_VALUE"""),"Productos Elaborados")</f>
        <v>Productos Elaborados</v>
      </c>
      <c r="G169" s="120">
        <f t="shared" ca="1" si="0"/>
        <v>0</v>
      </c>
      <c r="H169" s="121">
        <f t="shared" ca="1" si="1"/>
        <v>0</v>
      </c>
      <c r="I169" s="122">
        <f t="shared" ca="1" si="2"/>
        <v>0</v>
      </c>
      <c r="J169" s="15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>
      <c r="A170" s="129"/>
      <c r="B170" s="7" t="str">
        <f ca="1">IFERROR(__xludf.DUMMYFUNCTION("""COMPUTED_VALUE"""),"Ganache de pistacho servicio")</f>
        <v>Ganache de pistacho servicio</v>
      </c>
      <c r="C170" s="7">
        <v>0</v>
      </c>
      <c r="D170" s="21">
        <f ca="1">IFERROR(__xludf.DUMMYFUNCTION("""COMPUTED_VALUE"""),18763)</f>
        <v>18763</v>
      </c>
      <c r="E170" s="6" t="str">
        <f ca="1">IFERROR(__xludf.DUMMYFUNCTION("""COMPUTED_VALUE"""),"UN")</f>
        <v>UN</v>
      </c>
      <c r="F170" s="6" t="str">
        <f ca="1">IFERROR(__xludf.DUMMYFUNCTION("""COMPUTED_VALUE"""),"Productos Elaborados")</f>
        <v>Productos Elaborados</v>
      </c>
      <c r="G170" s="120">
        <f t="shared" ca="1" si="0"/>
        <v>0</v>
      </c>
      <c r="H170" s="121">
        <f t="shared" ca="1" si="1"/>
        <v>0</v>
      </c>
      <c r="I170" s="122">
        <f t="shared" ca="1" si="2"/>
        <v>0</v>
      </c>
      <c r="J170" s="15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>
      <c r="A171" s="7"/>
      <c r="B171" s="7" t="str">
        <f ca="1">IFERROR(__xludf.DUMMYFUNCTION("""COMPUTED_VALUE"""),"Ganache de pistachon pastelería")</f>
        <v>Ganache de pistachon pastelería</v>
      </c>
      <c r="C171" s="7">
        <v>0</v>
      </c>
      <c r="D171" s="21">
        <f ca="1">IFERROR(__xludf.DUMMYFUNCTION("""COMPUTED_VALUE"""),18786)</f>
        <v>18786</v>
      </c>
      <c r="E171" s="6" t="str">
        <f ca="1">IFERROR(__xludf.DUMMYFUNCTION("""COMPUTED_VALUE"""),"KG")</f>
        <v>KG</v>
      </c>
      <c r="F171" s="6" t="str">
        <f ca="1">IFERROR(__xludf.DUMMYFUNCTION("""COMPUTED_VALUE"""),"Productos Elaborados")</f>
        <v>Productos Elaborados</v>
      </c>
      <c r="G171" s="120">
        <f t="shared" ca="1" si="0"/>
        <v>0</v>
      </c>
      <c r="H171" s="121">
        <f t="shared" ca="1" si="1"/>
        <v>0</v>
      </c>
      <c r="I171" s="122">
        <f t="shared" ca="1" si="2"/>
        <v>0</v>
      </c>
      <c r="J171" s="15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>
      <c r="A172" s="7" t="str">
        <f ca="1">IFERROR(__xludf.DUMMYFUNCTION("""COMPUTED_VALUE"""),"ti-ing-f298b83f-56b8-46eb-b537-d23deaf21343")</f>
        <v>ti-ing-f298b83f-56b8-46eb-b537-d23deaf21343</v>
      </c>
      <c r="B172" s="7" t="str">
        <f ca="1">IFERROR(__xludf.DUMMYFUNCTION("""COMPUTED_VALUE"""),"Glace kg")</f>
        <v>Glace kg</v>
      </c>
      <c r="C172" s="7">
        <v>0</v>
      </c>
      <c r="D172" s="21">
        <f ca="1">IFERROR(__xludf.DUMMYFUNCTION("""COMPUTED_VALUE"""),3500)</f>
        <v>3500</v>
      </c>
      <c r="E172" s="6" t="str">
        <f ca="1">IFERROR(__xludf.DUMMYFUNCTION("""COMPUTED_VALUE"""),"KG")</f>
        <v>KG</v>
      </c>
      <c r="F172" s="6" t="str">
        <f ca="1">IFERROR(__xludf.DUMMYFUNCTION("""COMPUTED_VALUE"""),"Productos Elaborados")</f>
        <v>Productos Elaborados</v>
      </c>
      <c r="G172" s="120">
        <f t="shared" ca="1" si="0"/>
        <v>0</v>
      </c>
      <c r="H172" s="121">
        <f t="shared" ca="1" si="1"/>
        <v>0</v>
      </c>
      <c r="I172" s="122">
        <f t="shared" ca="1" si="2"/>
        <v>0</v>
      </c>
      <c r="J172" s="15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>
      <c r="A173" s="7" t="str">
        <f ca="1">IFERROR(__xludf.DUMMYFUNCTION("""COMPUTED_VALUE"""),"ti-ing-197c8ac7-983c-44e6-a5f8-d941c027c96a")</f>
        <v>ti-ing-197c8ac7-983c-44e6-a5f8-d941c027c96a</v>
      </c>
      <c r="B173" s="7" t="str">
        <f ca="1">IFERROR(__xludf.DUMMYFUNCTION("""COMPUTED_VALUE"""),"Kutchen de frutos rojos")</f>
        <v>Kutchen de frutos rojos</v>
      </c>
      <c r="C173" s="7">
        <v>2</v>
      </c>
      <c r="D173" s="21">
        <f ca="1">IFERROR(__xludf.DUMMYFUNCTION("""COMPUTED_VALUE"""),424)</f>
        <v>424</v>
      </c>
      <c r="E173" s="6" t="str">
        <f ca="1">IFERROR(__xludf.DUMMYFUNCTION("""COMPUTED_VALUE"""),"UN")</f>
        <v>UN</v>
      </c>
      <c r="F173" s="6" t="str">
        <f ca="1">IFERROR(__xludf.DUMMYFUNCTION("""COMPUTED_VALUE"""),"Productos Elaborados")</f>
        <v>Productos Elaborados</v>
      </c>
      <c r="G173" s="120">
        <f t="shared" ca="1" si="0"/>
        <v>848</v>
      </c>
      <c r="H173" s="121">
        <f t="shared" ca="1" si="1"/>
        <v>161.12</v>
      </c>
      <c r="I173" s="122">
        <f t="shared" ca="1" si="2"/>
        <v>1009.12</v>
      </c>
      <c r="J173" s="15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>
      <c r="A174" s="7" t="str">
        <f ca="1">IFERROR(__xludf.DUMMYFUNCTION("""COMPUTED_VALUE"""),"ti-ing-0e6f777d-f148-40e3-97f3-e7d6c1ae05d7")</f>
        <v>ti-ing-0e6f777d-f148-40e3-97f3-e7d6c1ae05d7</v>
      </c>
      <c r="B174" s="7" t="str">
        <f ca="1">IFERROR(__xludf.DUMMYFUNCTION("""COMPUTED_VALUE"""),"Kutchen de manzana")</f>
        <v>Kutchen de manzana</v>
      </c>
      <c r="C174" s="7">
        <v>4</v>
      </c>
      <c r="D174" s="21">
        <f ca="1">IFERROR(__xludf.DUMMYFUNCTION("""COMPUTED_VALUE"""),401)</f>
        <v>401</v>
      </c>
      <c r="E174" s="6" t="str">
        <f ca="1">IFERROR(__xludf.DUMMYFUNCTION("""COMPUTED_VALUE"""),"UN")</f>
        <v>UN</v>
      </c>
      <c r="F174" s="6" t="str">
        <f ca="1">IFERROR(__xludf.DUMMYFUNCTION("""COMPUTED_VALUE"""),"Productos Elaborados")</f>
        <v>Productos Elaborados</v>
      </c>
      <c r="G174" s="120">
        <f t="shared" ca="1" si="0"/>
        <v>1604</v>
      </c>
      <c r="H174" s="121">
        <f t="shared" ca="1" si="1"/>
        <v>304.76</v>
      </c>
      <c r="I174" s="122">
        <f t="shared" ca="1" si="2"/>
        <v>1908.76</v>
      </c>
      <c r="J174" s="15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>
      <c r="A175" s="7" t="str">
        <f ca="1">IFERROR(__xludf.DUMMYFUNCTION("""COMPUTED_VALUE"""),"ti-ing-531221ec-8449-43d9-85d3-f60db8f742ae")</f>
        <v>ti-ing-531221ec-8449-43d9-85d3-f60db8f742ae</v>
      </c>
      <c r="B175" s="7" t="str">
        <f ca="1">IFERROR(__xludf.DUMMYFUNCTION("""COMPUTED_VALUE"""),"Kutchen nuez")</f>
        <v>Kutchen nuez</v>
      </c>
      <c r="C175" s="7">
        <v>0</v>
      </c>
      <c r="D175" s="21">
        <f ca="1">IFERROR(__xludf.DUMMYFUNCTION("""COMPUTED_VALUE"""),591)</f>
        <v>591</v>
      </c>
      <c r="E175" s="6" t="str">
        <f ca="1">IFERROR(__xludf.DUMMYFUNCTION("""COMPUTED_VALUE"""),"un")</f>
        <v>un</v>
      </c>
      <c r="F175" s="6" t="str">
        <f ca="1">IFERROR(__xludf.DUMMYFUNCTION("""COMPUTED_VALUE"""),"Productos Elaborados")</f>
        <v>Productos Elaborados</v>
      </c>
      <c r="G175" s="120">
        <f t="shared" ca="1" si="0"/>
        <v>0</v>
      </c>
      <c r="H175" s="121">
        <f t="shared" ca="1" si="1"/>
        <v>0</v>
      </c>
      <c r="I175" s="122">
        <f t="shared" ca="1" si="2"/>
        <v>0</v>
      </c>
      <c r="J175" s="15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>
      <c r="A176" s="7" t="str">
        <f ca="1">IFERROR(__xludf.DUMMYFUNCTION("""COMPUTED_VALUE"""),"ti-ing-f9863271-84fc-4bd2-90dc-9aca725b5cfd")</f>
        <v>ti-ing-f9863271-84fc-4bd2-90dc-9aca725b5cfd</v>
      </c>
      <c r="B176" s="7" t="str">
        <f ca="1">IFERROR(__xludf.DUMMYFUNCTION("""COMPUTED_VALUE"""),"Lemon pie")</f>
        <v>Lemon pie</v>
      </c>
      <c r="C176" s="7">
        <v>1</v>
      </c>
      <c r="D176" s="21">
        <f ca="1">IFERROR(__xludf.DUMMYFUNCTION("""COMPUTED_VALUE"""),700)</f>
        <v>700</v>
      </c>
      <c r="E176" s="6" t="str">
        <f ca="1">IFERROR(__xludf.DUMMYFUNCTION("""COMPUTED_VALUE"""),"UN")</f>
        <v>UN</v>
      </c>
      <c r="F176" s="6" t="str">
        <f ca="1">IFERROR(__xludf.DUMMYFUNCTION("""COMPUTED_VALUE"""),"Productos Elaborados")</f>
        <v>Productos Elaborados</v>
      </c>
      <c r="G176" s="120">
        <f t="shared" ca="1" si="0"/>
        <v>700</v>
      </c>
      <c r="H176" s="121">
        <f t="shared" ca="1" si="1"/>
        <v>133</v>
      </c>
      <c r="I176" s="122">
        <f t="shared" ca="1" si="2"/>
        <v>833</v>
      </c>
      <c r="J176" s="15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>
      <c r="A177" s="7" t="str">
        <f ca="1">IFERROR(__xludf.DUMMYFUNCTION("""COMPUTED_VALUE"""),"ti-ing-e6882acf-8e46-490d-afd5-154094210f97")</f>
        <v>ti-ing-e6882acf-8e46-490d-afd5-154094210f97</v>
      </c>
      <c r="B177" s="7" t="str">
        <f ca="1">IFERROR(__xludf.DUMMYFUNCTION("""COMPUTED_VALUE"""),"Manzana procesada kg")</f>
        <v>Manzana procesada kg</v>
      </c>
      <c r="C177" s="7">
        <v>0</v>
      </c>
      <c r="D177" s="21">
        <f ca="1">IFERROR(__xludf.DUMMYFUNCTION("""COMPUTED_VALUE"""),1500)</f>
        <v>1500</v>
      </c>
      <c r="E177" s="6" t="str">
        <f ca="1">IFERROR(__xludf.DUMMYFUNCTION("""COMPUTED_VALUE"""),"kg")</f>
        <v>kg</v>
      </c>
      <c r="F177" s="6" t="str">
        <f ca="1">IFERROR(__xludf.DUMMYFUNCTION("""COMPUTED_VALUE"""),"Productos Elaborados")</f>
        <v>Productos Elaborados</v>
      </c>
      <c r="G177" s="120">
        <f t="shared" ca="1" si="0"/>
        <v>0</v>
      </c>
      <c r="H177" s="121">
        <f t="shared" ca="1" si="1"/>
        <v>0</v>
      </c>
      <c r="I177" s="122">
        <f t="shared" ca="1" si="2"/>
        <v>0</v>
      </c>
      <c r="J177" s="15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>
      <c r="A178" s="7" t="str">
        <f ca="1">IFERROR(__xludf.DUMMYFUNCTION("""COMPUTED_VALUE"""),"ti-ing-cfc3b013-4f57-457d-98f3-0c4f272a7030")</f>
        <v>ti-ing-cfc3b013-4f57-457d-98f3-0c4f272a7030</v>
      </c>
      <c r="B178" s="7" t="str">
        <f ca="1">IFERROR(__xludf.DUMMYFUNCTION("""COMPUTED_VALUE"""),"Masa alfajor kg")</f>
        <v>Masa alfajor kg</v>
      </c>
      <c r="C178" s="7">
        <v>0</v>
      </c>
      <c r="D178" s="21">
        <f ca="1">IFERROR(__xludf.DUMMYFUNCTION("""COMPUTED_VALUE"""),3000)</f>
        <v>3000</v>
      </c>
      <c r="E178" s="6" t="str">
        <f ca="1">IFERROR(__xludf.DUMMYFUNCTION("""COMPUTED_VALUE"""),"KG")</f>
        <v>KG</v>
      </c>
      <c r="F178" s="6" t="str">
        <f ca="1">IFERROR(__xludf.DUMMYFUNCTION("""COMPUTED_VALUE"""),"Productos Elaborados")</f>
        <v>Productos Elaborados</v>
      </c>
      <c r="G178" s="120">
        <f t="shared" ca="1" si="0"/>
        <v>0</v>
      </c>
      <c r="H178" s="121">
        <f t="shared" ca="1" si="1"/>
        <v>0</v>
      </c>
      <c r="I178" s="122">
        <f t="shared" ca="1" si="2"/>
        <v>0</v>
      </c>
      <c r="J178" s="15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>
      <c r="A179" s="7" t="str">
        <f ca="1">IFERROR(__xludf.DUMMYFUNCTION("""COMPUTED_VALUE"""),"ti-ing-299b2e95-d414-46ee-b1a3-112ddb239bdc")</f>
        <v>ti-ing-299b2e95-d414-46ee-b1a3-112ddb239bdc</v>
      </c>
      <c r="B179" s="7" t="str">
        <f ca="1">IFERROR(__xludf.DUMMYFUNCTION("""COMPUTED_VALUE"""),"Masa base kuchen y pie kg")</f>
        <v>Masa base kuchen y pie kg</v>
      </c>
      <c r="C179" s="7">
        <v>3.2839999999999998</v>
      </c>
      <c r="D179" s="21">
        <f ca="1">IFERROR(__xludf.DUMMYFUNCTION("""COMPUTED_VALUE"""),2000)</f>
        <v>2000</v>
      </c>
      <c r="E179" s="6" t="str">
        <f ca="1">IFERROR(__xludf.DUMMYFUNCTION("""COMPUTED_VALUE"""),"kg")</f>
        <v>kg</v>
      </c>
      <c r="F179" s="6" t="str">
        <f ca="1">IFERROR(__xludf.DUMMYFUNCTION("""COMPUTED_VALUE"""),"Productos Elaborados")</f>
        <v>Productos Elaborados</v>
      </c>
      <c r="G179" s="120">
        <f t="shared" ca="1" si="0"/>
        <v>6568</v>
      </c>
      <c r="H179" s="121">
        <f t="shared" ca="1" si="1"/>
        <v>1247.92</v>
      </c>
      <c r="I179" s="122">
        <f t="shared" ca="1" si="2"/>
        <v>7815.92</v>
      </c>
      <c r="J179" s="15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>
      <c r="A180" s="7" t="str">
        <f ca="1">IFERROR(__xludf.DUMMYFUNCTION("""COMPUTED_VALUE"""),"ti-ing-384825ef-f068-4c6e-aa67-547342817d33")</f>
        <v>ti-ing-384825ef-f068-4c6e-aa67-547342817d33</v>
      </c>
      <c r="B180" s="7" t="str">
        <f ca="1">IFERROR(__xludf.DUMMYFUNCTION("""COMPUTED_VALUE"""),"Masa galletas kg")</f>
        <v>Masa galletas kg</v>
      </c>
      <c r="C180" s="7">
        <v>0</v>
      </c>
      <c r="D180" s="21">
        <f ca="1">IFERROR(__xludf.DUMMYFUNCTION("""COMPUTED_VALUE"""),3000)</f>
        <v>3000</v>
      </c>
      <c r="E180" s="6" t="str">
        <f ca="1">IFERROR(__xludf.DUMMYFUNCTION("""COMPUTED_VALUE"""),"KG")</f>
        <v>KG</v>
      </c>
      <c r="F180" s="6" t="str">
        <f ca="1">IFERROR(__xludf.DUMMYFUNCTION("""COMPUTED_VALUE"""),"Productos Elaborados")</f>
        <v>Productos Elaborados</v>
      </c>
      <c r="G180" s="120">
        <f t="shared" ca="1" si="0"/>
        <v>0</v>
      </c>
      <c r="H180" s="121">
        <f t="shared" ca="1" si="1"/>
        <v>0</v>
      </c>
      <c r="I180" s="122">
        <f t="shared" ca="1" si="2"/>
        <v>0</v>
      </c>
      <c r="J180" s="15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>
      <c r="A181" s="7" t="str">
        <f ca="1">IFERROR(__xludf.DUMMYFUNCTION("""COMPUTED_VALUE"""),"ti-ing-2bba897a-7dba-4920-9618-ae7fedb2cab0")</f>
        <v>ti-ing-2bba897a-7dba-4920-9618-ae7fedb2cab0</v>
      </c>
      <c r="B181" s="7" t="str">
        <f ca="1">IFERROR(__xludf.DUMMYFUNCTION("""COMPUTED_VALUE"""),"Masa trufa")</f>
        <v>Masa trufa</v>
      </c>
      <c r="C181" s="7">
        <v>14.35</v>
      </c>
      <c r="D181" s="21">
        <f ca="1">IFERROR(__xludf.DUMMYFUNCTION("""COMPUTED_VALUE"""),2500)</f>
        <v>2500</v>
      </c>
      <c r="E181" s="6" t="str">
        <f ca="1">IFERROR(__xludf.DUMMYFUNCTION("""COMPUTED_VALUE"""),"Kg")</f>
        <v>Kg</v>
      </c>
      <c r="F181" s="6" t="str">
        <f ca="1">IFERROR(__xludf.DUMMYFUNCTION("""COMPUTED_VALUE"""),"Productos Elaborados")</f>
        <v>Productos Elaborados</v>
      </c>
      <c r="G181" s="120">
        <f t="shared" ca="1" si="0"/>
        <v>35875</v>
      </c>
      <c r="H181" s="121">
        <f t="shared" ca="1" si="1"/>
        <v>6816.25</v>
      </c>
      <c r="I181" s="122">
        <f t="shared" ca="1" si="2"/>
        <v>42691.25</v>
      </c>
      <c r="J181" s="15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>
      <c r="A182" s="7" t="str">
        <f ca="1">IFERROR(__xludf.DUMMYFUNCTION("""COMPUTED_VALUE"""),"ti-ing-47e7fe54-1e3f-49f0-ba92-dd8c17a3562a")</f>
        <v>ti-ing-47e7fe54-1e3f-49f0-ba92-dd8c17a3562a</v>
      </c>
      <c r="B182" s="7" t="str">
        <f ca="1">IFERROR(__xludf.DUMMYFUNCTION("""COMPUTED_VALUE"""),"Merenguitos")</f>
        <v>Merenguitos</v>
      </c>
      <c r="C182" s="7">
        <v>0</v>
      </c>
      <c r="D182" s="21">
        <f ca="1">IFERROR(__xludf.DUMMYFUNCTION("""COMPUTED_VALUE"""),372.5)</f>
        <v>372.5</v>
      </c>
      <c r="E182" s="6" t="str">
        <f ca="1">IFERROR(__xludf.DUMMYFUNCTION("""COMPUTED_VALUE"""),"UN")</f>
        <v>UN</v>
      </c>
      <c r="F182" s="6" t="str">
        <f ca="1">IFERROR(__xludf.DUMMYFUNCTION("""COMPUTED_VALUE"""),"Productos Elaborados")</f>
        <v>Productos Elaborados</v>
      </c>
      <c r="G182" s="120">
        <f t="shared" ca="1" si="0"/>
        <v>0</v>
      </c>
      <c r="H182" s="121">
        <f t="shared" ca="1" si="1"/>
        <v>0</v>
      </c>
      <c r="I182" s="122">
        <f t="shared" ca="1" si="2"/>
        <v>0</v>
      </c>
      <c r="J182" s="15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>
      <c r="A183" s="7"/>
      <c r="B183" s="7" t="str">
        <f ca="1">IFERROR(__xludf.DUMMYFUNCTION("""COMPUTED_VALUE"""),"Molde brownie ")</f>
        <v xml:space="preserve">Molde brownie </v>
      </c>
      <c r="C183" s="7">
        <v>2</v>
      </c>
      <c r="D183" s="73">
        <f ca="1">IFERROR(__xludf.DUMMYFUNCTION("""COMPUTED_VALUE"""),4500)</f>
        <v>4500</v>
      </c>
      <c r="E183" s="6" t="str">
        <f ca="1">IFERROR(__xludf.DUMMYFUNCTION("""COMPUTED_VALUE"""),"UN")</f>
        <v>UN</v>
      </c>
      <c r="F183" s="6" t="str">
        <f ca="1">IFERROR(__xludf.DUMMYFUNCTION("""COMPUTED_VALUE"""),"Productos Elaborados")</f>
        <v>Productos Elaborados</v>
      </c>
      <c r="G183" s="120">
        <f t="shared" ca="1" si="0"/>
        <v>9000</v>
      </c>
      <c r="H183" s="121">
        <f t="shared" ca="1" si="1"/>
        <v>1710</v>
      </c>
      <c r="I183" s="122">
        <f t="shared" ca="1" si="2"/>
        <v>10710</v>
      </c>
      <c r="J183" s="15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>
      <c r="A184" s="7" t="str">
        <f ca="1">IFERROR(__xludf.DUMMYFUNCTION("""COMPUTED_VALUE"""),"ti-ing-d277b2e0-454f-42ff-ad95-84fdaab9d3ac")</f>
        <v>ti-ing-d277b2e0-454f-42ff-ad95-84fdaab9d3ac</v>
      </c>
      <c r="B184" s="7" t="str">
        <f ca="1">IFERROR(__xludf.DUMMYFUNCTION("""COMPUTED_VALUE"""),"Molde cheesecake un")</f>
        <v>Molde cheesecake un</v>
      </c>
      <c r="C184" s="7">
        <v>3</v>
      </c>
      <c r="D184" s="21">
        <f ca="1">IFERROR(__xludf.DUMMYFUNCTION("""COMPUTED_VALUE"""),900)</f>
        <v>900</v>
      </c>
      <c r="E184" s="6" t="str">
        <f ca="1">IFERROR(__xludf.DUMMYFUNCTION("""COMPUTED_VALUE"""),"UN")</f>
        <v>UN</v>
      </c>
      <c r="F184" s="6" t="str">
        <f ca="1">IFERROR(__xludf.DUMMYFUNCTION("""COMPUTED_VALUE"""),"Productos Elaborados")</f>
        <v>Productos Elaborados</v>
      </c>
      <c r="G184" s="120">
        <f t="shared" ca="1" si="0"/>
        <v>2700</v>
      </c>
      <c r="H184" s="121">
        <f t="shared" ca="1" si="1"/>
        <v>513</v>
      </c>
      <c r="I184" s="122">
        <f t="shared" ca="1" si="2"/>
        <v>3213</v>
      </c>
      <c r="J184" s="15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>
      <c r="A185" s="7"/>
      <c r="B185" s="7" t="str">
        <f ca="1">IFERROR(__xludf.DUMMYFUNCTION("""COMPUTED_VALUE"""),"Molde torta carrot cake")</f>
        <v>Molde torta carrot cake</v>
      </c>
      <c r="C185" s="7">
        <v>0</v>
      </c>
      <c r="D185" s="21">
        <f ca="1">IFERROR(__xludf.DUMMYFUNCTION("""COMPUTED_VALUE"""),25123)</f>
        <v>25123</v>
      </c>
      <c r="E185" s="6" t="str">
        <f ca="1">IFERROR(__xludf.DUMMYFUNCTION("""COMPUTED_VALUE"""),"UN")</f>
        <v>UN</v>
      </c>
      <c r="F185" s="6" t="str">
        <f ca="1">IFERROR(__xludf.DUMMYFUNCTION("""COMPUTED_VALUE"""),"Productos Elaborados")</f>
        <v>Productos Elaborados</v>
      </c>
      <c r="G185" s="120">
        <f t="shared" ca="1" si="0"/>
        <v>0</v>
      </c>
      <c r="H185" s="121">
        <f t="shared" ca="1" si="1"/>
        <v>0</v>
      </c>
      <c r="I185" s="122">
        <f t="shared" ca="1" si="2"/>
        <v>0</v>
      </c>
      <c r="J185" s="15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>
      <c r="A186" s="7"/>
      <c r="B186" s="7" t="str">
        <f ca="1">IFERROR(__xludf.DUMMYFUNCTION("""COMPUTED_VALUE"""),"Molde torta chocolate")</f>
        <v>Molde torta chocolate</v>
      </c>
      <c r="C186" s="7">
        <v>4</v>
      </c>
      <c r="D186" s="21">
        <f ca="1">IFERROR(__xludf.DUMMYFUNCTION("""COMPUTED_VALUE"""),20664.81)</f>
        <v>20664.810000000001</v>
      </c>
      <c r="E186" s="6" t="str">
        <f ca="1">IFERROR(__xludf.DUMMYFUNCTION("""COMPUTED_VALUE"""),"UN")</f>
        <v>UN</v>
      </c>
      <c r="F186" s="6" t="str">
        <f ca="1">IFERROR(__xludf.DUMMYFUNCTION("""COMPUTED_VALUE"""),"Productos Elaborados")</f>
        <v>Productos Elaborados</v>
      </c>
      <c r="G186" s="120">
        <f t="shared" ca="1" si="0"/>
        <v>82659.240000000005</v>
      </c>
      <c r="H186" s="121">
        <f t="shared" ca="1" si="1"/>
        <v>15705.2556</v>
      </c>
      <c r="I186" s="122">
        <f t="shared" ca="1" si="2"/>
        <v>98364.495600000009</v>
      </c>
      <c r="J186" s="15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>
      <c r="A187" s="7"/>
      <c r="B187" s="7" t="str">
        <f ca="1">IFERROR(__xludf.DUMMYFUNCTION("""COMPUTED_VALUE"""),"Molde torta manjar nuez")</f>
        <v>Molde torta manjar nuez</v>
      </c>
      <c r="C187" s="7">
        <v>1</v>
      </c>
      <c r="D187" s="21">
        <f ca="1">IFERROR(__xludf.DUMMYFUNCTION("""COMPUTED_VALUE"""),39448)</f>
        <v>39448</v>
      </c>
      <c r="E187" s="6" t="str">
        <f ca="1">IFERROR(__xludf.DUMMYFUNCTION("""COMPUTED_VALUE"""),"UN")</f>
        <v>UN</v>
      </c>
      <c r="F187" s="6" t="str">
        <f ca="1">IFERROR(__xludf.DUMMYFUNCTION("""COMPUTED_VALUE"""),"Productos Elaborados")</f>
        <v>Productos Elaborados</v>
      </c>
      <c r="G187" s="120">
        <f t="shared" ca="1" si="0"/>
        <v>39448</v>
      </c>
      <c r="H187" s="121">
        <f t="shared" ca="1" si="1"/>
        <v>7495.12</v>
      </c>
      <c r="I187" s="122">
        <f t="shared" ca="1" si="2"/>
        <v>46943.12</v>
      </c>
      <c r="J187" s="15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>
      <c r="A188" s="7"/>
      <c r="B188" s="7" t="str">
        <f ca="1">IFERROR(__xludf.DUMMYFUNCTION("""COMPUTED_VALUE"""),"Molde torta pasión de chocolate")</f>
        <v>Molde torta pasión de chocolate</v>
      </c>
      <c r="C188" s="7">
        <v>5</v>
      </c>
      <c r="D188" s="21">
        <f ca="1">IFERROR(__xludf.DUMMYFUNCTION("""COMPUTED_VALUE"""),24625)</f>
        <v>24625</v>
      </c>
      <c r="E188" s="6" t="str">
        <f ca="1">IFERROR(__xludf.DUMMYFUNCTION("""COMPUTED_VALUE"""),"UN")</f>
        <v>UN</v>
      </c>
      <c r="F188" s="6" t="str">
        <f ca="1">IFERROR(__xludf.DUMMYFUNCTION("""COMPUTED_VALUE"""),"Productos Elaborados")</f>
        <v>Productos Elaborados</v>
      </c>
      <c r="G188" s="120">
        <f t="shared" ca="1" si="0"/>
        <v>123125</v>
      </c>
      <c r="H188" s="121">
        <f t="shared" ca="1" si="1"/>
        <v>23393.75</v>
      </c>
      <c r="I188" s="122">
        <f t="shared" ca="1" si="2"/>
        <v>146518.75</v>
      </c>
      <c r="J188" s="15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>
      <c r="A189" s="7"/>
      <c r="B189" s="7" t="str">
        <f ca="1">IFERROR(__xludf.DUMMYFUNCTION("""COMPUTED_VALUE"""),"Molde torta pistacho")</f>
        <v>Molde torta pistacho</v>
      </c>
      <c r="C189" s="7">
        <v>6</v>
      </c>
      <c r="D189" s="21">
        <f ca="1">IFERROR(__xludf.DUMMYFUNCTION("""COMPUTED_VALUE"""),41244.69)</f>
        <v>41244.69</v>
      </c>
      <c r="E189" s="6" t="str">
        <f ca="1">IFERROR(__xludf.DUMMYFUNCTION("""COMPUTED_VALUE"""),"UN")</f>
        <v>UN</v>
      </c>
      <c r="F189" s="6" t="str">
        <f ca="1">IFERROR(__xludf.DUMMYFUNCTION("""COMPUTED_VALUE"""),"Productos Elaborados")</f>
        <v>Productos Elaborados</v>
      </c>
      <c r="G189" s="120">
        <f t="shared" ca="1" si="0"/>
        <v>247468.14</v>
      </c>
      <c r="H189" s="121">
        <f t="shared" ca="1" si="1"/>
        <v>47018.946600000003</v>
      </c>
      <c r="I189" s="122">
        <f t="shared" ca="1" si="2"/>
        <v>294487.08660000004</v>
      </c>
      <c r="J189" s="15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>
      <c r="A190" s="7"/>
      <c r="B190" s="7" t="str">
        <f ca="1">IFERROR(__xludf.DUMMYFUNCTION("""COMPUTED_VALUE"""),"Molde torta redvelvet")</f>
        <v>Molde torta redvelvet</v>
      </c>
      <c r="C190" s="7">
        <v>3</v>
      </c>
      <c r="D190" s="21">
        <f ca="1">IFERROR(__xludf.DUMMYFUNCTION("""COMPUTED_VALUE"""),28764.45)</f>
        <v>28764.45</v>
      </c>
      <c r="E190" s="6" t="str">
        <f ca="1">IFERROR(__xludf.DUMMYFUNCTION("""COMPUTED_VALUE"""),"UN")</f>
        <v>UN</v>
      </c>
      <c r="F190" s="6" t="str">
        <f ca="1">IFERROR(__xludf.DUMMYFUNCTION("""COMPUTED_VALUE"""),"Productos Elaborados")</f>
        <v>Productos Elaborados</v>
      </c>
      <c r="G190" s="120">
        <f t="shared" ca="1" si="0"/>
        <v>86293.35</v>
      </c>
      <c r="H190" s="121">
        <f t="shared" ca="1" si="1"/>
        <v>16395.736500000003</v>
      </c>
      <c r="I190" s="122">
        <f t="shared" ca="1" si="2"/>
        <v>102689.0865</v>
      </c>
      <c r="J190" s="15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>
      <c r="A191" s="7"/>
      <c r="B191" s="7" t="str">
        <f ca="1">IFERROR(__xludf.DUMMYFUNCTION("""COMPUTED_VALUE"""),"Molde torta tiramisu")</f>
        <v>Molde torta tiramisu</v>
      </c>
      <c r="C191" s="7">
        <v>2</v>
      </c>
      <c r="D191" s="21">
        <f ca="1">IFERROR(__xludf.DUMMYFUNCTION("""COMPUTED_VALUE"""),27119.4899999999)</f>
        <v>27119.4899999999</v>
      </c>
      <c r="E191" s="6" t="str">
        <f ca="1">IFERROR(__xludf.DUMMYFUNCTION("""COMPUTED_VALUE"""),"UN")</f>
        <v>UN</v>
      </c>
      <c r="F191" s="6" t="str">
        <f ca="1">IFERROR(__xludf.DUMMYFUNCTION("""COMPUTED_VALUE"""),"Productos Elaborados")</f>
        <v>Productos Elaborados</v>
      </c>
      <c r="G191" s="120">
        <f t="shared" ca="1" si="0"/>
        <v>54238.979999999799</v>
      </c>
      <c r="H191" s="121">
        <f t="shared" ca="1" si="1"/>
        <v>10305.406199999961</v>
      </c>
      <c r="I191" s="122">
        <f t="shared" ca="1" si="2"/>
        <v>64544.386199999761</v>
      </c>
      <c r="J191" s="15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>
      <c r="A192" s="7"/>
      <c r="B192" s="7" t="str">
        <f ca="1">IFERROR(__xludf.DUMMYFUNCTION("""COMPUTED_VALUE"""),"Molde torta tres leches")</f>
        <v>Molde torta tres leches</v>
      </c>
      <c r="C192" s="7">
        <v>2</v>
      </c>
      <c r="D192" s="21">
        <f ca="1">IFERROR(__xludf.DUMMYFUNCTION("""COMPUTED_VALUE"""),15670.33)</f>
        <v>15670.33</v>
      </c>
      <c r="E192" s="6" t="str">
        <f ca="1">IFERROR(__xludf.DUMMYFUNCTION("""COMPUTED_VALUE"""),"UN")</f>
        <v>UN</v>
      </c>
      <c r="F192" s="6" t="str">
        <f ca="1">IFERROR(__xludf.DUMMYFUNCTION("""COMPUTED_VALUE"""),"Productos Elaborados")</f>
        <v>Productos Elaborados</v>
      </c>
      <c r="G192" s="120">
        <f t="shared" ca="1" si="0"/>
        <v>31340.66</v>
      </c>
      <c r="H192" s="121">
        <f t="shared" ca="1" si="1"/>
        <v>5954.7254000000003</v>
      </c>
      <c r="I192" s="122">
        <f t="shared" ca="1" si="2"/>
        <v>37295.385399999999</v>
      </c>
      <c r="J192" s="156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>
      <c r="A193" s="7" t="str">
        <f ca="1">IFERROR(__xludf.DUMMYFUNCTION("""COMPUTED_VALUE"""),"ti-ing-95223e04-05e2-45bd-b8a7-9084d4c12b13")</f>
        <v>ti-ing-95223e04-05e2-45bd-b8a7-9084d4c12b13</v>
      </c>
      <c r="B193" s="7" t="str">
        <f ca="1">IFERROR(__xludf.DUMMYFUNCTION("""COMPUTED_VALUE"""),"Nata de Chocolate batida kg")</f>
        <v>Nata de Chocolate batida kg</v>
      </c>
      <c r="C193" s="7">
        <v>1.806</v>
      </c>
      <c r="D193" s="21">
        <f ca="1">IFERROR(__xludf.DUMMYFUNCTION("""COMPUTED_VALUE"""),3000)</f>
        <v>3000</v>
      </c>
      <c r="E193" s="6" t="str">
        <f ca="1">IFERROR(__xludf.DUMMYFUNCTION("""COMPUTED_VALUE"""),"KG")</f>
        <v>KG</v>
      </c>
      <c r="F193" s="6" t="str">
        <f ca="1">IFERROR(__xludf.DUMMYFUNCTION("""COMPUTED_VALUE"""),"Productos Elaborados")</f>
        <v>Productos Elaborados</v>
      </c>
      <c r="G193" s="120">
        <f t="shared" ca="1" si="0"/>
        <v>5418</v>
      </c>
      <c r="H193" s="121">
        <f t="shared" ca="1" si="1"/>
        <v>1029.42</v>
      </c>
      <c r="I193" s="122">
        <f t="shared" ca="1" si="2"/>
        <v>6447.42</v>
      </c>
      <c r="J193" s="156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>
      <c r="A194" s="7" t="str">
        <f ca="1">IFERROR(__xludf.DUMMYFUNCTION("""COMPUTED_VALUE"""),"ti-ing-16d16f26-1356-4371-9c04-64852a68f7ed")</f>
        <v>ti-ing-16d16f26-1356-4371-9c04-64852a68f7ed</v>
      </c>
      <c r="B194" s="7" t="str">
        <f ca="1">IFERROR(__xludf.DUMMYFUNCTION("""COMPUTED_VALUE"""),"Nuez procesada kg")</f>
        <v>Nuez procesada kg</v>
      </c>
      <c r="C194" s="7">
        <v>5</v>
      </c>
      <c r="D194" s="21">
        <f ca="1">IFERROR(__xludf.DUMMYFUNCTION("""COMPUTED_VALUE"""),6674)</f>
        <v>6674</v>
      </c>
      <c r="E194" s="6" t="str">
        <f ca="1">IFERROR(__xludf.DUMMYFUNCTION("""COMPUTED_VALUE"""),"Kg")</f>
        <v>Kg</v>
      </c>
      <c r="F194" s="6" t="str">
        <f ca="1">IFERROR(__xludf.DUMMYFUNCTION("""COMPUTED_VALUE"""),"Productos Elaborados")</f>
        <v>Productos Elaborados</v>
      </c>
      <c r="G194" s="120">
        <f t="shared" ca="1" si="0"/>
        <v>33370</v>
      </c>
      <c r="H194" s="121">
        <f t="shared" ca="1" si="1"/>
        <v>6340.3</v>
      </c>
      <c r="I194" s="122">
        <f t="shared" ca="1" si="2"/>
        <v>39710.300000000003</v>
      </c>
      <c r="J194" s="15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>
      <c r="A195" s="7" t="str">
        <f ca="1">IFERROR(__xludf.DUMMYFUNCTION("""COMPUTED_VALUE"""),"ti-ing-0382d2ed-3685-4f55-9162-c28c17ca3cbc")</f>
        <v>ti-ing-0382d2ed-3685-4f55-9162-c28c17ca3cbc</v>
      </c>
      <c r="B195" s="7" t="str">
        <f ca="1">IFERROR(__xludf.DUMMYFUNCTION("""COMPUTED_VALUE"""),"Pie de limon")</f>
        <v>Pie de limon</v>
      </c>
      <c r="C195" s="7">
        <v>9</v>
      </c>
      <c r="D195" s="21">
        <f ca="1">IFERROR(__xludf.DUMMYFUNCTION("""COMPUTED_VALUE"""),688)</f>
        <v>688</v>
      </c>
      <c r="E195" s="6" t="str">
        <f ca="1">IFERROR(__xludf.DUMMYFUNCTION("""COMPUTED_VALUE"""),"UN")</f>
        <v>UN</v>
      </c>
      <c r="F195" s="6" t="str">
        <f ca="1">IFERROR(__xludf.DUMMYFUNCTION("""COMPUTED_VALUE"""),"Productos Elaborados")</f>
        <v>Productos Elaborados</v>
      </c>
      <c r="G195" s="120">
        <f t="shared" ca="1" si="0"/>
        <v>6192</v>
      </c>
      <c r="H195" s="121">
        <f t="shared" ca="1" si="1"/>
        <v>1176.48</v>
      </c>
      <c r="I195" s="122">
        <f t="shared" ca="1" si="2"/>
        <v>7368.48</v>
      </c>
      <c r="J195" s="15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>
      <c r="A196" s="7" t="str">
        <f ca="1">IFERROR(__xludf.DUMMYFUNCTION("""COMPUTED_VALUE"""),"ti-ing-7e201824-2d59-4cd5-a01d-5f74bb36deab")</f>
        <v>ti-ing-7e201824-2d59-4cd5-a01d-5f74bb36deab</v>
      </c>
      <c r="B196" s="7" t="str">
        <f ca="1">IFERROR(__xludf.DUMMYFUNCTION("""COMPUTED_VALUE"""),"Pie de maracuya")</f>
        <v>Pie de maracuya</v>
      </c>
      <c r="C196" s="7">
        <v>2</v>
      </c>
      <c r="D196" s="21">
        <f ca="1">IFERROR(__xludf.DUMMYFUNCTION("""COMPUTED_VALUE"""),700)</f>
        <v>700</v>
      </c>
      <c r="E196" s="6" t="str">
        <f ca="1">IFERROR(__xludf.DUMMYFUNCTION("""COMPUTED_VALUE"""),"UN")</f>
        <v>UN</v>
      </c>
      <c r="F196" s="6" t="str">
        <f ca="1">IFERROR(__xludf.DUMMYFUNCTION("""COMPUTED_VALUE"""),"Productos Elaborados")</f>
        <v>Productos Elaborados</v>
      </c>
      <c r="G196" s="120">
        <f t="shared" ca="1" si="0"/>
        <v>1400</v>
      </c>
      <c r="H196" s="121">
        <f t="shared" ca="1" si="1"/>
        <v>266</v>
      </c>
      <c r="I196" s="122">
        <f t="shared" ca="1" si="2"/>
        <v>1666</v>
      </c>
      <c r="J196" s="15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>
      <c r="A197" s="7" t="str">
        <f ca="1">IFERROR(__xludf.DUMMYFUNCTION("""COMPUTED_VALUE"""),"ti-ing-c03f22a1-22b0-42ca-b635-941a645c0cee")</f>
        <v>ti-ing-c03f22a1-22b0-42ca-b635-941a645c0cee</v>
      </c>
      <c r="B197" s="7" t="str">
        <f ca="1">IFERROR(__xludf.DUMMYFUNCTION("""COMPUTED_VALUE"""),"Profiterol Cheescake")</f>
        <v>Profiterol Cheescake</v>
      </c>
      <c r="C197" s="7">
        <v>9</v>
      </c>
      <c r="D197" s="21">
        <f ca="1">IFERROR(__xludf.DUMMYFUNCTION("""COMPUTED_VALUE"""),607)</f>
        <v>607</v>
      </c>
      <c r="E197" s="6" t="str">
        <f ca="1">IFERROR(__xludf.DUMMYFUNCTION("""COMPUTED_VALUE"""),"UN")</f>
        <v>UN</v>
      </c>
      <c r="F197" s="6" t="str">
        <f ca="1">IFERROR(__xludf.DUMMYFUNCTION("""COMPUTED_VALUE"""),"Productos Elaborados")</f>
        <v>Productos Elaborados</v>
      </c>
      <c r="G197" s="120">
        <f t="shared" ca="1" si="0"/>
        <v>5463</v>
      </c>
      <c r="H197" s="121">
        <f t="shared" ca="1" si="1"/>
        <v>1037.97</v>
      </c>
      <c r="I197" s="122">
        <f t="shared" ca="1" si="2"/>
        <v>6500.97</v>
      </c>
      <c r="J197" s="15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>
      <c r="A198" s="7" t="str">
        <f ca="1">IFERROR(__xludf.DUMMYFUNCTION("""COMPUTED_VALUE"""),"ti-ing-8a066170-e082-475e-9015-b6f56c04c705")</f>
        <v>ti-ing-8a066170-e082-475e-9015-b6f56c04c705</v>
      </c>
      <c r="B198" s="7" t="str">
        <f ca="1">IFERROR(__xludf.DUMMYFUNCTION("""COMPUTED_VALUE"""),"Profiterol clasico")</f>
        <v>Profiterol clasico</v>
      </c>
      <c r="C198" s="7">
        <v>10</v>
      </c>
      <c r="D198" s="21">
        <f ca="1">IFERROR(__xludf.DUMMYFUNCTION("""COMPUTED_VALUE"""),300)</f>
        <v>300</v>
      </c>
      <c r="E198" s="6" t="str">
        <f ca="1">IFERROR(__xludf.DUMMYFUNCTION("""COMPUTED_VALUE"""),"UN")</f>
        <v>UN</v>
      </c>
      <c r="F198" s="6" t="str">
        <f ca="1">IFERROR(__xludf.DUMMYFUNCTION("""COMPUTED_VALUE"""),"Productos Elaborados")</f>
        <v>Productos Elaborados</v>
      </c>
      <c r="G198" s="120">
        <f t="shared" ca="1" si="0"/>
        <v>3000</v>
      </c>
      <c r="H198" s="121">
        <f t="shared" ca="1" si="1"/>
        <v>570</v>
      </c>
      <c r="I198" s="122">
        <f t="shared" ca="1" si="2"/>
        <v>3570</v>
      </c>
      <c r="J198" s="156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>
      <c r="A199" s="7" t="str">
        <f ca="1">IFERROR(__xludf.DUMMYFUNCTION("""COMPUTED_VALUE"""),"ti-ing-23bbe913-4626-48ae-8f3a-d5ee05a0aaa8")</f>
        <v>ti-ing-23bbe913-4626-48ae-8f3a-d5ee05a0aaa8</v>
      </c>
      <c r="B199" s="7" t="str">
        <f ca="1">IFERROR(__xludf.DUMMYFUNCTION("""COMPUTED_VALUE"""),"Profiterol horneado un")</f>
        <v>Profiterol horneado un</v>
      </c>
      <c r="C199" s="7">
        <v>46</v>
      </c>
      <c r="D199" s="21">
        <f ca="1">IFERROR(__xludf.DUMMYFUNCTION("""COMPUTED_VALUE"""),150)</f>
        <v>150</v>
      </c>
      <c r="E199" s="6" t="str">
        <f ca="1">IFERROR(__xludf.DUMMYFUNCTION("""COMPUTED_VALUE"""),"UN")</f>
        <v>UN</v>
      </c>
      <c r="F199" s="6" t="str">
        <f ca="1">IFERROR(__xludf.DUMMYFUNCTION("""COMPUTED_VALUE"""),"Productos Elaborados")</f>
        <v>Productos Elaborados</v>
      </c>
      <c r="G199" s="120">
        <f t="shared" ca="1" si="0"/>
        <v>6900</v>
      </c>
      <c r="H199" s="121">
        <f t="shared" ca="1" si="1"/>
        <v>1311</v>
      </c>
      <c r="I199" s="122">
        <f t="shared" ca="1" si="2"/>
        <v>8211</v>
      </c>
      <c r="J199" s="15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>
      <c r="A200" s="7" t="str">
        <f ca="1">IFERROR(__xludf.DUMMYFUNCTION("""COMPUTED_VALUE"""),"ti-ing-c34778df-7bbb-4aad-955e-55aee926eee7")</f>
        <v>ti-ing-c34778df-7bbb-4aad-955e-55aee926eee7</v>
      </c>
      <c r="B200" s="7" t="str">
        <f ca="1">IFERROR(__xludf.DUMMYFUNCTION("""COMPUTED_VALUE"""),"Profiterol Mango")</f>
        <v>Profiterol Mango</v>
      </c>
      <c r="C200" s="7">
        <v>2</v>
      </c>
      <c r="D200" s="21">
        <f ca="1">IFERROR(__xludf.DUMMYFUNCTION("""COMPUTED_VALUE"""),387)</f>
        <v>387</v>
      </c>
      <c r="E200" s="6" t="str">
        <f ca="1">IFERROR(__xludf.DUMMYFUNCTION("""COMPUTED_VALUE"""),"UN")</f>
        <v>UN</v>
      </c>
      <c r="F200" s="6" t="str">
        <f ca="1">IFERROR(__xludf.DUMMYFUNCTION("""COMPUTED_VALUE"""),"Productos Elaborados")</f>
        <v>Productos Elaborados</v>
      </c>
      <c r="G200" s="120">
        <f t="shared" ca="1" si="0"/>
        <v>774</v>
      </c>
      <c r="H200" s="121">
        <f t="shared" ca="1" si="1"/>
        <v>147.06</v>
      </c>
      <c r="I200" s="122">
        <f t="shared" ca="1" si="2"/>
        <v>921.06</v>
      </c>
      <c r="J200" s="15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>
      <c r="A201" s="7" t="str">
        <f ca="1">IFERROR(__xludf.DUMMYFUNCTION("""COMPUTED_VALUE"""),"ti-ing-f9453031-afba-4047-ada6-c4bc5feb1117")</f>
        <v>ti-ing-f9453031-afba-4047-ada6-c4bc5feb1117</v>
      </c>
      <c r="B201" s="7" t="str">
        <f ca="1">IFERROR(__xludf.DUMMYFUNCTION("""COMPUTED_VALUE"""),"Queque chocolate")</f>
        <v>Queque chocolate</v>
      </c>
      <c r="C201" s="7">
        <v>0</v>
      </c>
      <c r="D201" s="21">
        <f ca="1">IFERROR(__xludf.DUMMYFUNCTION("""COMPUTED_VALUE"""),250)</f>
        <v>250</v>
      </c>
      <c r="E201" s="6" t="str">
        <f ca="1">IFERROR(__xludf.DUMMYFUNCTION("""COMPUTED_VALUE"""),"UN")</f>
        <v>UN</v>
      </c>
      <c r="F201" s="6" t="str">
        <f ca="1">IFERROR(__xludf.DUMMYFUNCTION("""COMPUTED_VALUE"""),"Productos Elaborados")</f>
        <v>Productos Elaborados</v>
      </c>
      <c r="G201" s="120">
        <f t="shared" ca="1" si="0"/>
        <v>0</v>
      </c>
      <c r="H201" s="121">
        <f t="shared" ca="1" si="1"/>
        <v>0</v>
      </c>
      <c r="I201" s="122">
        <f t="shared" ca="1" si="2"/>
        <v>0</v>
      </c>
      <c r="J201" s="156"/>
    </row>
    <row r="202" spans="1:30" ht="15.75">
      <c r="A202" s="7" t="str">
        <f ca="1">IFERROR(__xludf.DUMMYFUNCTION("""COMPUTED_VALUE"""),"ti-ing-76d234c9-12b5-42ea-a919-f8b837e54786")</f>
        <v>ti-ing-76d234c9-12b5-42ea-a919-f8b837e54786</v>
      </c>
      <c r="B202" s="7" t="str">
        <f ca="1">IFERROR(__xludf.DUMMYFUNCTION("""COMPUTED_VALUE"""),"Queque individual")</f>
        <v>Queque individual</v>
      </c>
      <c r="C202" s="7">
        <v>21</v>
      </c>
      <c r="D202" s="21">
        <f ca="1">IFERROR(__xludf.DUMMYFUNCTION("""COMPUTED_VALUE"""),250)</f>
        <v>250</v>
      </c>
      <c r="E202" s="6" t="str">
        <f ca="1">IFERROR(__xludf.DUMMYFUNCTION("""COMPUTED_VALUE"""),"UN")</f>
        <v>UN</v>
      </c>
      <c r="F202" s="6" t="str">
        <f ca="1">IFERROR(__xludf.DUMMYFUNCTION("""COMPUTED_VALUE"""),"Productos Elaborados")</f>
        <v>Productos Elaborados</v>
      </c>
      <c r="G202" s="120">
        <f t="shared" ca="1" si="0"/>
        <v>5250</v>
      </c>
      <c r="H202" s="121">
        <f t="shared" ca="1" si="1"/>
        <v>997.5</v>
      </c>
      <c r="I202" s="122">
        <f t="shared" ca="1" si="2"/>
        <v>6247.5</v>
      </c>
      <c r="J202" s="156"/>
    </row>
    <row r="203" spans="1:30" ht="15.75">
      <c r="A203" s="7" t="str">
        <f ca="1">IFERROR(__xludf.DUMMYFUNCTION("""COMPUTED_VALUE"""),"ti-ing-017262ab-0031-4581-8490-bfb2412c6eec")</f>
        <v>ti-ing-017262ab-0031-4581-8490-bfb2412c6eec</v>
      </c>
      <c r="B203" s="7" t="str">
        <f ca="1">IFERROR(__xludf.DUMMYFUNCTION("""COMPUTED_VALUE"""),"Queque marmoleado")</f>
        <v>Queque marmoleado</v>
      </c>
      <c r="C203" s="7">
        <v>0</v>
      </c>
      <c r="D203" s="21">
        <f ca="1">IFERROR(__xludf.DUMMYFUNCTION("""COMPUTED_VALUE"""),250)</f>
        <v>250</v>
      </c>
      <c r="E203" s="6" t="str">
        <f ca="1">IFERROR(__xludf.DUMMYFUNCTION("""COMPUTED_VALUE"""),"UN")</f>
        <v>UN</v>
      </c>
      <c r="F203" s="6" t="str">
        <f ca="1">IFERROR(__xludf.DUMMYFUNCTION("""COMPUTED_VALUE"""),"Productos Elaborados")</f>
        <v>Productos Elaborados</v>
      </c>
      <c r="G203" s="120">
        <f t="shared" ca="1" si="0"/>
        <v>0</v>
      </c>
      <c r="H203" s="121">
        <f t="shared" ca="1" si="1"/>
        <v>0</v>
      </c>
      <c r="I203" s="122">
        <f t="shared" ca="1" si="2"/>
        <v>0</v>
      </c>
      <c r="J203" s="156"/>
    </row>
    <row r="204" spans="1:30" ht="15.75">
      <c r="A204" s="7" t="str">
        <f ca="1">IFERROR(__xludf.DUMMYFUNCTION("""COMPUTED_VALUE"""),"ti-ing-4132b1f2-afea-40c2-bb1b-aa02d489bcc3")</f>
        <v>ti-ing-4132b1f2-afea-40c2-bb1b-aa02d489bcc3</v>
      </c>
      <c r="B204" s="7" t="str">
        <f ca="1">IFERROR(__xludf.DUMMYFUNCTION("""COMPUTED_VALUE"""),"Queque vainilla")</f>
        <v>Queque vainilla</v>
      </c>
      <c r="C204" s="18">
        <v>0</v>
      </c>
      <c r="D204" s="21">
        <f ca="1">IFERROR(__xludf.DUMMYFUNCTION("""COMPUTED_VALUE"""),250)</f>
        <v>250</v>
      </c>
      <c r="E204" s="6" t="str">
        <f ca="1">IFERROR(__xludf.DUMMYFUNCTION("""COMPUTED_VALUE"""),"UN")</f>
        <v>UN</v>
      </c>
      <c r="F204" s="6" t="str">
        <f ca="1">IFERROR(__xludf.DUMMYFUNCTION("""COMPUTED_VALUE"""),"Productos Elaborados")</f>
        <v>Productos Elaborados</v>
      </c>
      <c r="G204" s="120">
        <f t="shared" ca="1" si="0"/>
        <v>0</v>
      </c>
      <c r="H204" s="121">
        <f t="shared" ca="1" si="1"/>
        <v>0</v>
      </c>
      <c r="I204" s="122">
        <f t="shared" ca="1" si="2"/>
        <v>0</v>
      </c>
      <c r="J204" s="156"/>
    </row>
    <row r="205" spans="1:30" ht="15.75">
      <c r="A205" s="7" t="str">
        <f ca="1">IFERROR(__xludf.DUMMYFUNCTION("""COMPUTED_VALUE"""),"ti-ing-c82c022c-6bc0-493a-b9cd-a8ec612dfc16")</f>
        <v>ti-ing-c82c022c-6bc0-493a-b9cd-a8ec612dfc16</v>
      </c>
      <c r="B205" s="7" t="str">
        <f ca="1">IFERROR(__xludf.DUMMYFUNCTION("""COMPUTED_VALUE"""),"Relleno cheesecake croissant kg")</f>
        <v>Relleno cheesecake croissant kg</v>
      </c>
      <c r="C205" s="7">
        <v>14.4</v>
      </c>
      <c r="D205" s="21">
        <f ca="1">IFERROR(__xludf.DUMMYFUNCTION("""COMPUTED_VALUE"""),3500)</f>
        <v>3500</v>
      </c>
      <c r="E205" s="6" t="str">
        <f ca="1">IFERROR(__xludf.DUMMYFUNCTION("""COMPUTED_VALUE"""),"KG")</f>
        <v>KG</v>
      </c>
      <c r="F205" s="6" t="str">
        <f ca="1">IFERROR(__xludf.DUMMYFUNCTION("""COMPUTED_VALUE"""),"Productos Elaborados")</f>
        <v>Productos Elaborados</v>
      </c>
      <c r="G205" s="120">
        <f t="shared" ca="1" si="0"/>
        <v>50400</v>
      </c>
      <c r="H205" s="121">
        <f t="shared" ca="1" si="1"/>
        <v>9576</v>
      </c>
      <c r="I205" s="122">
        <f t="shared" ca="1" si="2"/>
        <v>59976</v>
      </c>
      <c r="J205" s="156"/>
    </row>
    <row r="206" spans="1:30" ht="15.75">
      <c r="A206" s="7" t="str">
        <f ca="1">IFERROR(__xludf.DUMMYFUNCTION("""COMPUTED_VALUE"""),"ti-ing-93616b09-1a91-4af6-9ef5-fc5138c3826c")</f>
        <v>ti-ing-93616b09-1a91-4af6-9ef5-fc5138c3826c</v>
      </c>
      <c r="B206" s="7" t="str">
        <f ca="1">IFERROR(__xludf.DUMMYFUNCTION("""COMPUTED_VALUE"""),"Relleno frutos rojos croissant kg")</f>
        <v>Relleno frutos rojos croissant kg</v>
      </c>
      <c r="C206" s="7">
        <v>1.782</v>
      </c>
      <c r="D206" s="21">
        <f ca="1">IFERROR(__xludf.DUMMYFUNCTION("""COMPUTED_VALUE"""),3500)</f>
        <v>3500</v>
      </c>
      <c r="E206" s="6" t="str">
        <f ca="1">IFERROR(__xludf.DUMMYFUNCTION("""COMPUTED_VALUE"""),"KG")</f>
        <v>KG</v>
      </c>
      <c r="F206" s="6" t="str">
        <f ca="1">IFERROR(__xludf.DUMMYFUNCTION("""COMPUTED_VALUE"""),"Productos Elaborados")</f>
        <v>Productos Elaborados</v>
      </c>
      <c r="G206" s="120">
        <f t="shared" ca="1" si="0"/>
        <v>6237</v>
      </c>
      <c r="H206" s="121">
        <f t="shared" ca="1" si="1"/>
        <v>1185.03</v>
      </c>
      <c r="I206" s="122">
        <f t="shared" ca="1" si="2"/>
        <v>7422.03</v>
      </c>
      <c r="J206" s="156"/>
    </row>
    <row r="207" spans="1:30" ht="15.75">
      <c r="A207" s="7"/>
      <c r="B207" s="7" t="str">
        <f ca="1">IFERROR(__xludf.DUMMYFUNCTION("""COMPUTED_VALUE"""),"Relleno kuchen de manzana")</f>
        <v>Relleno kuchen de manzana</v>
      </c>
      <c r="C207" s="7">
        <v>4</v>
      </c>
      <c r="D207" s="73">
        <f ca="1">IFERROR(__xludf.DUMMYFUNCTION("""COMPUTED_VALUE"""),4500)</f>
        <v>4500</v>
      </c>
      <c r="E207" s="6" t="str">
        <f ca="1">IFERROR(__xludf.DUMMYFUNCTION("""COMPUTED_VALUE"""),"KG")</f>
        <v>KG</v>
      </c>
      <c r="F207" s="6" t="str">
        <f ca="1">IFERROR(__xludf.DUMMYFUNCTION("""COMPUTED_VALUE"""),"Productos Elaborados")</f>
        <v>Productos Elaborados</v>
      </c>
      <c r="G207" s="120">
        <f t="shared" ca="1" si="0"/>
        <v>18000</v>
      </c>
      <c r="H207" s="121">
        <f t="shared" ca="1" si="1"/>
        <v>3420</v>
      </c>
      <c r="I207" s="122">
        <f t="shared" ca="1" si="2"/>
        <v>21420</v>
      </c>
      <c r="J207" s="156"/>
    </row>
    <row r="208" spans="1:30" ht="15.75">
      <c r="A208" s="7"/>
      <c r="B208" s="7" t="str">
        <f ca="1">IFERROR(__xludf.DUMMYFUNCTION("""COMPUTED_VALUE"""),"Relleno lemon pie")</f>
        <v>Relleno lemon pie</v>
      </c>
      <c r="C208" s="7">
        <v>1.17</v>
      </c>
      <c r="D208" s="73">
        <f ca="1">IFERROR(__xludf.DUMMYFUNCTION("""COMPUTED_VALUE"""),4500)</f>
        <v>4500</v>
      </c>
      <c r="E208" s="6" t="str">
        <f ca="1">IFERROR(__xludf.DUMMYFUNCTION("""COMPUTED_VALUE"""),"KG")</f>
        <v>KG</v>
      </c>
      <c r="F208" s="6" t="str">
        <f ca="1">IFERROR(__xludf.DUMMYFUNCTION("""COMPUTED_VALUE"""),"Productos Elaborados")</f>
        <v>Productos Elaborados</v>
      </c>
      <c r="G208" s="120">
        <f t="shared" ca="1" si="0"/>
        <v>5265</v>
      </c>
      <c r="H208" s="121">
        <f t="shared" ca="1" si="1"/>
        <v>1000.35</v>
      </c>
      <c r="I208" s="122">
        <f t="shared" ca="1" si="2"/>
        <v>6265.35</v>
      </c>
      <c r="J208" s="156"/>
    </row>
    <row r="209" spans="1:10" ht="15.75">
      <c r="A209" s="7"/>
      <c r="B209" s="7" t="str">
        <f ca="1">IFERROR(__xludf.DUMMYFUNCTION("""COMPUTED_VALUE"""),"Pasta biscotto")</f>
        <v>Pasta biscotto</v>
      </c>
      <c r="C209" s="7">
        <v>2.8839999999999999</v>
      </c>
      <c r="D209" s="21">
        <f ca="1">IFERROR(__xludf.DUMMYFUNCTION("""COMPUTED_VALUE"""),19572)</f>
        <v>19572</v>
      </c>
      <c r="E209" s="6" t="str">
        <f ca="1">IFERROR(__xludf.DUMMYFUNCTION("""COMPUTED_VALUE"""),"KG")</f>
        <v>KG</v>
      </c>
      <c r="F209" s="6" t="str">
        <f ca="1">IFERROR(__xludf.DUMMYFUNCTION("""COMPUTED_VALUE"""),"Productos Elaborados")</f>
        <v>Productos Elaborados</v>
      </c>
      <c r="G209" s="120">
        <f t="shared" ca="1" si="0"/>
        <v>56445.648000000001</v>
      </c>
      <c r="H209" s="121">
        <f t="shared" ca="1" si="1"/>
        <v>10724.673119999999</v>
      </c>
      <c r="I209" s="122">
        <f t="shared" ca="1" si="2"/>
        <v>67170.321120000008</v>
      </c>
      <c r="J209" s="156"/>
    </row>
    <row r="210" spans="1:10" ht="15.75">
      <c r="A210" s="7"/>
      <c r="B210" s="7" t="str">
        <f ca="1">IFERROR(__xludf.DUMMYFUNCTION("""COMPUTED_VALUE"""),"Relleno manjar sin azucar")</f>
        <v>Relleno manjar sin azucar</v>
      </c>
      <c r="C210" s="7">
        <v>1.472</v>
      </c>
      <c r="D210" s="130">
        <f ca="1">IFERROR(__xludf.DUMMYFUNCTION("""COMPUTED_VALUE"""),1500)</f>
        <v>1500</v>
      </c>
      <c r="E210" s="7" t="str">
        <f ca="1">IFERROR(__xludf.DUMMYFUNCTION("""COMPUTED_VALUE"""),"KG")</f>
        <v>KG</v>
      </c>
      <c r="F210" s="7" t="str">
        <f ca="1">IFERROR(__xludf.DUMMYFUNCTION("""COMPUTED_VALUE"""),"Productos Elaborados")</f>
        <v>Productos Elaborados</v>
      </c>
      <c r="G210" s="120">
        <f t="shared" ca="1" si="0"/>
        <v>2208</v>
      </c>
      <c r="H210" s="121">
        <f t="shared" ca="1" si="1"/>
        <v>419.52</v>
      </c>
      <c r="I210" s="122">
        <f t="shared" ca="1" si="2"/>
        <v>2627.52</v>
      </c>
      <c r="J210" s="156"/>
    </row>
    <row r="211" spans="1:10" ht="15.75">
      <c r="A211" s="7" t="str">
        <f ca="1">IFERROR(__xludf.DUMMYFUNCTION("""COMPUTED_VALUE"""),"ti-ing-04b7aaa7-0c26-4518-b450-f495019b39b6")</f>
        <v>ti-ing-04b7aaa7-0c26-4518-b450-f495019b39b6</v>
      </c>
      <c r="B211" s="7" t="str">
        <f ca="1">IFERROR(__xludf.DUMMYFUNCTION("""COMPUTED_VALUE"""),"Relleno nata chocolate saludable kg")</f>
        <v>Relleno nata chocolate saludable kg</v>
      </c>
      <c r="C211" s="7">
        <v>0</v>
      </c>
      <c r="D211" s="52">
        <f ca="1">IFERROR(__xludf.DUMMYFUNCTION("""COMPUTED_VALUE"""),3500)</f>
        <v>3500</v>
      </c>
      <c r="E211" s="7" t="str">
        <f ca="1">IFERROR(__xludf.DUMMYFUNCTION("""COMPUTED_VALUE"""),"KG")</f>
        <v>KG</v>
      </c>
      <c r="F211" s="7" t="str">
        <f ca="1">IFERROR(__xludf.DUMMYFUNCTION("""COMPUTED_VALUE"""),"Productos Elaborados")</f>
        <v>Productos Elaborados</v>
      </c>
      <c r="G211" s="120">
        <f t="shared" ca="1" si="0"/>
        <v>0</v>
      </c>
      <c r="H211" s="121">
        <f t="shared" ca="1" si="1"/>
        <v>0</v>
      </c>
      <c r="I211" s="122">
        <f t="shared" ca="1" si="2"/>
        <v>0</v>
      </c>
      <c r="J211" s="156"/>
    </row>
    <row r="212" spans="1:10" ht="15.75">
      <c r="A212" s="7"/>
      <c r="B212" s="7" t="str">
        <f ca="1">IFERROR(__xludf.DUMMYFUNCTION("""COMPUTED_VALUE"""),"Relleno nata nutella")</f>
        <v>Relleno nata nutella</v>
      </c>
      <c r="C212" s="7">
        <v>1.66</v>
      </c>
      <c r="D212" s="130">
        <f ca="1">IFERROR(__xludf.DUMMYFUNCTION("""COMPUTED_VALUE"""),7500)</f>
        <v>7500</v>
      </c>
      <c r="E212" s="7" t="str">
        <f ca="1">IFERROR(__xludf.DUMMYFUNCTION("""COMPUTED_VALUE"""),"KG")</f>
        <v>KG</v>
      </c>
      <c r="F212" s="7" t="str">
        <f ca="1">IFERROR(__xludf.DUMMYFUNCTION("""COMPUTED_VALUE"""),"Productos Elaborados")</f>
        <v>Productos Elaborados</v>
      </c>
      <c r="G212" s="120">
        <f t="shared" ca="1" si="0"/>
        <v>12450</v>
      </c>
      <c r="H212" s="121">
        <f t="shared" ca="1" si="1"/>
        <v>2365.5</v>
      </c>
      <c r="I212" s="122">
        <f t="shared" ca="1" si="2"/>
        <v>14815.5</v>
      </c>
      <c r="J212" s="156"/>
    </row>
    <row r="213" spans="1:10" ht="15.75">
      <c r="A213" s="7"/>
      <c r="B213" s="7" t="str">
        <f ca="1">IFERROR(__xludf.DUMMYFUNCTION("""COMPUTED_VALUE"""),"Relleno Oreo")</f>
        <v>Relleno Oreo</v>
      </c>
      <c r="C213" s="7">
        <v>1.08</v>
      </c>
      <c r="D213" s="130">
        <f ca="1">IFERROR(__xludf.DUMMYFUNCTION("""COMPUTED_VALUE"""),4500)</f>
        <v>4500</v>
      </c>
      <c r="E213" s="7" t="str">
        <f ca="1">IFERROR(__xludf.DUMMYFUNCTION("""COMPUTED_VALUE"""),"KG")</f>
        <v>KG</v>
      </c>
      <c r="F213" s="7" t="str">
        <f ca="1">IFERROR(__xludf.DUMMYFUNCTION("""COMPUTED_VALUE"""),"Productos Elaborados")</f>
        <v>Productos Elaborados</v>
      </c>
      <c r="G213" s="120">
        <f t="shared" ca="1" si="0"/>
        <v>4860</v>
      </c>
      <c r="H213" s="121">
        <f t="shared" ca="1" si="1"/>
        <v>923.4</v>
      </c>
      <c r="I213" s="122">
        <f t="shared" ca="1" si="2"/>
        <v>5783.4</v>
      </c>
      <c r="J213" s="156"/>
    </row>
    <row r="214" spans="1:10" ht="15.75">
      <c r="A214" s="7" t="str">
        <f ca="1">IFERROR(__xludf.DUMMYFUNCTION("""COMPUTED_VALUE"""),"ti-ing-b4775208-43f1-433f-af45-557e50530fcd")</f>
        <v>ti-ing-b4775208-43f1-433f-af45-557e50530fcd</v>
      </c>
      <c r="B214" s="7" t="str">
        <f ca="1">IFERROR(__xludf.DUMMYFUNCTION("""COMPUTED_VALUE"""),"Relleno pie de limon croissant kg")</f>
        <v>Relleno pie de limon croissant kg</v>
      </c>
      <c r="C214" s="7">
        <v>0</v>
      </c>
      <c r="D214" s="52">
        <f ca="1">IFERROR(__xludf.DUMMYFUNCTION("""COMPUTED_VALUE"""),3500)</f>
        <v>3500</v>
      </c>
      <c r="E214" s="7" t="str">
        <f ca="1">IFERROR(__xludf.DUMMYFUNCTION("""COMPUTED_VALUE"""),"KG")</f>
        <v>KG</v>
      </c>
      <c r="F214" s="7" t="str">
        <f ca="1">IFERROR(__xludf.DUMMYFUNCTION("""COMPUTED_VALUE"""),"Productos Elaborados")</f>
        <v>Productos Elaborados</v>
      </c>
      <c r="G214" s="120">
        <f t="shared" ca="1" si="0"/>
        <v>0</v>
      </c>
      <c r="H214" s="121">
        <f t="shared" ca="1" si="1"/>
        <v>0</v>
      </c>
      <c r="I214" s="122">
        <f t="shared" ca="1" si="2"/>
        <v>0</v>
      </c>
      <c r="J214" s="156"/>
    </row>
    <row r="215" spans="1:10" ht="15.75">
      <c r="A215" s="7" t="str">
        <f ca="1">IFERROR(__xludf.DUMMYFUNCTION("""COMPUTED_VALUE"""),"ti-ing-2f16f6cc-80fa-48d9-a501-6cf1bb11154b")</f>
        <v>ti-ing-2f16f6cc-80fa-48d9-a501-6cf1bb11154b</v>
      </c>
      <c r="B215" s="7" t="str">
        <f ca="1">IFERROR(__xludf.DUMMYFUNCTION("""COMPUTED_VALUE"""),"Relleno Pie de limon kg")</f>
        <v>Relleno Pie de limon kg</v>
      </c>
      <c r="C215" s="7">
        <v>2.1480000000000001</v>
      </c>
      <c r="D215" s="52">
        <f ca="1">IFERROR(__xludf.DUMMYFUNCTION("""COMPUTED_VALUE"""),3500)</f>
        <v>3500</v>
      </c>
      <c r="E215" s="7" t="str">
        <f ca="1">IFERROR(__xludf.DUMMYFUNCTION("""COMPUTED_VALUE"""),"Kg")</f>
        <v>Kg</v>
      </c>
      <c r="F215" s="7" t="str">
        <f ca="1">IFERROR(__xludf.DUMMYFUNCTION("""COMPUTED_VALUE"""),"Productos Elaborados")</f>
        <v>Productos Elaborados</v>
      </c>
      <c r="G215" s="120">
        <f t="shared" ca="1" si="0"/>
        <v>7518.0000000000009</v>
      </c>
      <c r="H215" s="121">
        <f t="shared" ca="1" si="1"/>
        <v>1428.4200000000003</v>
      </c>
      <c r="I215" s="122">
        <f t="shared" ca="1" si="2"/>
        <v>8946.4200000000019</v>
      </c>
      <c r="J215" s="156"/>
    </row>
    <row r="216" spans="1:10" ht="15.75">
      <c r="A216" s="7"/>
      <c r="B216" s="7" t="str">
        <f ca="1">IFERROR(__xludf.DUMMYFUNCTION("""COMPUTED_VALUE"""),"Relleno pie de maracuya")</f>
        <v>Relleno pie de maracuya</v>
      </c>
      <c r="C216" s="7">
        <v>1.484</v>
      </c>
      <c r="D216" s="130">
        <f ca="1">IFERROR(__xludf.DUMMYFUNCTION("""COMPUTED_VALUE"""),6000)</f>
        <v>6000</v>
      </c>
      <c r="E216" s="7" t="str">
        <f ca="1">IFERROR(__xludf.DUMMYFUNCTION("""COMPUTED_VALUE"""),"KG")</f>
        <v>KG</v>
      </c>
      <c r="F216" s="7" t="str">
        <f ca="1">IFERROR(__xludf.DUMMYFUNCTION("""COMPUTED_VALUE"""),"Productos Elaborados")</f>
        <v>Productos Elaborados</v>
      </c>
      <c r="G216" s="120">
        <f t="shared" ca="1" si="0"/>
        <v>8904</v>
      </c>
      <c r="H216" s="121">
        <f t="shared" ca="1" si="1"/>
        <v>1691.76</v>
      </c>
      <c r="I216" s="122">
        <f t="shared" ca="1" si="2"/>
        <v>10595.76</v>
      </c>
      <c r="J216" s="156"/>
    </row>
    <row r="217" spans="1:10" ht="15.75">
      <c r="A217" s="7" t="str">
        <f ca="1">IFERROR(__xludf.DUMMYFUNCTION("""COMPUTED_VALUE"""),"ti-ing-0c1712a2-763a-410a-b533-852445749d82")</f>
        <v>ti-ing-0c1712a2-763a-410a-b533-852445749d82</v>
      </c>
      <c r="B217" s="7" t="str">
        <f ca="1">IFERROR(__xludf.DUMMYFUNCTION("""COMPUTED_VALUE"""),"Relleno pistacho + nata croissant kg")</f>
        <v>Relleno pistacho + nata croissant kg</v>
      </c>
      <c r="C217" s="7">
        <v>3.3279999999999998</v>
      </c>
      <c r="D217" s="52">
        <f ca="1">IFERROR(__xludf.DUMMYFUNCTION("""COMPUTED_VALUE"""),3500)</f>
        <v>3500</v>
      </c>
      <c r="E217" s="7" t="str">
        <f ca="1">IFERROR(__xludf.DUMMYFUNCTION("""COMPUTED_VALUE"""),"kg")</f>
        <v>kg</v>
      </c>
      <c r="F217" s="7" t="str">
        <f ca="1">IFERROR(__xludf.DUMMYFUNCTION("""COMPUTED_VALUE"""),"Productos Elaborados")</f>
        <v>Productos Elaborados</v>
      </c>
      <c r="G217" s="120">
        <f t="shared" ca="1" si="0"/>
        <v>11648</v>
      </c>
      <c r="H217" s="121">
        <f t="shared" ca="1" si="1"/>
        <v>2213.12</v>
      </c>
      <c r="I217" s="122">
        <f t="shared" ca="1" si="2"/>
        <v>13861.119999999999</v>
      </c>
      <c r="J217" s="156"/>
    </row>
    <row r="218" spans="1:10" ht="15.75">
      <c r="A218" s="29" t="str">
        <f ca="1">IFERROR(__xludf.DUMMYFUNCTION("""COMPUTED_VALUE"""),"ti-ing-84346c74-056b-4319-a565-0467791e4537")</f>
        <v>ti-ing-84346c74-056b-4319-a565-0467791e4537</v>
      </c>
      <c r="B218" s="29" t="str">
        <f ca="1">IFERROR(__xludf.DUMMYFUNCTION("""COMPUTED_VALUE"""),"Relleno suspiro limeños croissant kg")</f>
        <v>Relleno suspiro limeños croissant kg</v>
      </c>
      <c r="C218" s="7">
        <v>0</v>
      </c>
      <c r="D218" s="131">
        <f ca="1">IFERROR(__xludf.DUMMYFUNCTION("""COMPUTED_VALUE"""),3500)</f>
        <v>3500</v>
      </c>
      <c r="E218" s="29" t="str">
        <f ca="1">IFERROR(__xludf.DUMMYFUNCTION("""COMPUTED_VALUE"""),"Kg")</f>
        <v>Kg</v>
      </c>
      <c r="F218" s="29" t="str">
        <f ca="1">IFERROR(__xludf.DUMMYFUNCTION("""COMPUTED_VALUE"""),"Productos Elaborados")</f>
        <v>Productos Elaborados</v>
      </c>
      <c r="G218" s="120">
        <f t="shared" ca="1" si="0"/>
        <v>0</v>
      </c>
      <c r="H218" s="121">
        <f t="shared" ca="1" si="1"/>
        <v>0</v>
      </c>
      <c r="I218" s="122">
        <f t="shared" ca="1" si="2"/>
        <v>0</v>
      </c>
      <c r="J218" s="156"/>
    </row>
    <row r="219" spans="1:10" ht="15.75">
      <c r="A219" s="7"/>
      <c r="B219" s="7" t="str">
        <f ca="1">IFERROR(__xludf.DUMMYFUNCTION("""COMPUTED_VALUE"""),"Relleno tiramisú")</f>
        <v>Relleno tiramisú</v>
      </c>
      <c r="C219" s="7">
        <v>2.9180000000000001</v>
      </c>
      <c r="D219" s="130">
        <f ca="1">IFERROR(__xludf.DUMMYFUNCTION("""COMPUTED_VALUE"""),4500)</f>
        <v>4500</v>
      </c>
      <c r="E219" s="7" t="str">
        <f ca="1">IFERROR(__xludf.DUMMYFUNCTION("""COMPUTED_VALUE"""),"KG")</f>
        <v>KG</v>
      </c>
      <c r="F219" s="7" t="str">
        <f ca="1">IFERROR(__xludf.DUMMYFUNCTION("""COMPUTED_VALUE"""),"Productos Elaborados")</f>
        <v>Productos Elaborados</v>
      </c>
      <c r="G219" s="120">
        <f t="shared" ca="1" si="0"/>
        <v>13131</v>
      </c>
      <c r="H219" s="121">
        <f t="shared" ca="1" si="1"/>
        <v>2494.89</v>
      </c>
      <c r="I219" s="122">
        <f t="shared" ca="1" si="2"/>
        <v>15625.89</v>
      </c>
      <c r="J219" s="156"/>
    </row>
    <row r="220" spans="1:10" ht="15.75">
      <c r="A220" s="7" t="str">
        <f ca="1">IFERROR(__xludf.DUMMYFUNCTION("""COMPUTED_VALUE"""),"ti-ing-ea10afcd-1a49-448b-a146-dbff50041ab5")</f>
        <v>ti-ing-ea10afcd-1a49-448b-a146-dbff50041ab5</v>
      </c>
      <c r="B220" s="7" t="str">
        <f ca="1">IFERROR(__xludf.DUMMYFUNCTION("""COMPUTED_VALUE"""),"Salsa frutos rojos kg")</f>
        <v>Salsa frutos rojos kg</v>
      </c>
      <c r="C220" s="7">
        <v>5.6319999999999997</v>
      </c>
      <c r="D220" s="52">
        <f ca="1">IFERROR(__xludf.DUMMYFUNCTION("""COMPUTED_VALUE"""),3500)</f>
        <v>3500</v>
      </c>
      <c r="E220" s="7" t="str">
        <f ca="1">IFERROR(__xludf.DUMMYFUNCTION("""COMPUTED_VALUE"""),"KG")</f>
        <v>KG</v>
      </c>
      <c r="F220" s="132" t="str">
        <f ca="1">IFERROR(__xludf.DUMMYFUNCTION("""COMPUTED_VALUE"""),"Productos Elaborados")</f>
        <v>Productos Elaborados</v>
      </c>
      <c r="G220" s="49">
        <f t="shared" ca="1" si="0"/>
        <v>19712</v>
      </c>
      <c r="H220" s="49">
        <f t="shared" ca="1" si="1"/>
        <v>3745.28</v>
      </c>
      <c r="I220" s="49">
        <f t="shared" ca="1" si="2"/>
        <v>23457.279999999999</v>
      </c>
      <c r="J220" s="156"/>
    </row>
    <row r="221" spans="1:10" ht="15.75">
      <c r="A221" s="7" t="str">
        <f ca="1">IFERROR(__xludf.DUMMYFUNCTION("""COMPUTED_VALUE"""),"ti-ing-1b9689ee-83eb-415b-8654-d3ad538677dd")</f>
        <v>ti-ing-1b9689ee-83eb-415b-8654-d3ad538677dd</v>
      </c>
      <c r="B221" s="7" t="str">
        <f ca="1">IFERROR(__xludf.DUMMYFUNCTION("""COMPUTED_VALUE"""),"Salsa Maracuya kg")</f>
        <v>Salsa Maracuya kg</v>
      </c>
      <c r="C221" s="7">
        <v>14.122</v>
      </c>
      <c r="D221" s="52">
        <f ca="1">IFERROR(__xludf.DUMMYFUNCTION("""COMPUTED_VALUE"""),3500)</f>
        <v>3500</v>
      </c>
      <c r="E221" s="7" t="str">
        <f ca="1">IFERROR(__xludf.DUMMYFUNCTION("""COMPUTED_VALUE"""),"KG")</f>
        <v>KG</v>
      </c>
      <c r="F221" s="132" t="str">
        <f ca="1">IFERROR(__xludf.DUMMYFUNCTION("""COMPUTED_VALUE"""),"Productos Elaborados")</f>
        <v>Productos Elaborados</v>
      </c>
      <c r="G221" s="49">
        <f t="shared" ca="1" si="0"/>
        <v>49427</v>
      </c>
      <c r="H221" s="49">
        <f t="shared" ca="1" si="1"/>
        <v>9391.130000000001</v>
      </c>
      <c r="I221" s="49">
        <f t="shared" ca="1" si="2"/>
        <v>58818.130000000005</v>
      </c>
      <c r="J221" s="156"/>
    </row>
    <row r="222" spans="1:10" ht="15.75">
      <c r="A222" s="7" t="str">
        <f ca="1">IFERROR(__xludf.DUMMYFUNCTION("""COMPUTED_VALUE"""),"ti-ing-c2904e19-f6c7-4eeb-920e-b1356b58576d")</f>
        <v>ti-ing-c2904e19-f6c7-4eeb-920e-b1356b58576d</v>
      </c>
      <c r="B222" s="7" t="str">
        <f ca="1">IFERROR(__xludf.DUMMYFUNCTION("""COMPUTED_VALUE"""),"Torta Carrot cake")</f>
        <v>Torta Carrot cake</v>
      </c>
      <c r="C222" s="7">
        <v>25</v>
      </c>
      <c r="D222" s="52">
        <f ca="1">IFERROR(__xludf.DUMMYFUNCTION("""COMPUTED_VALUE"""),702)</f>
        <v>702</v>
      </c>
      <c r="E222" s="7" t="str">
        <f ca="1">IFERROR(__xludf.DUMMYFUNCTION("""COMPUTED_VALUE"""),"UN")</f>
        <v>UN</v>
      </c>
      <c r="F222" s="132" t="str">
        <f ca="1">IFERROR(__xludf.DUMMYFUNCTION("""COMPUTED_VALUE"""),"Productos Elaborados")</f>
        <v>Productos Elaborados</v>
      </c>
      <c r="G222" s="49">
        <f t="shared" ca="1" si="0"/>
        <v>17550</v>
      </c>
      <c r="H222" s="49">
        <f t="shared" ca="1" si="1"/>
        <v>3334.5</v>
      </c>
      <c r="I222" s="49">
        <f t="shared" ca="1" si="2"/>
        <v>20884.5</v>
      </c>
      <c r="J222" s="156"/>
    </row>
    <row r="223" spans="1:10" ht="15.75">
      <c r="A223" s="7" t="str">
        <f ca="1">IFERROR(__xludf.DUMMYFUNCTION("""COMPUTED_VALUE"""),"ti-ing-e1fa937d-21d6-4749-b512-b8d5641ac453")</f>
        <v>ti-ing-e1fa937d-21d6-4749-b512-b8d5641ac453</v>
      </c>
      <c r="B223" s="7" t="str">
        <f ca="1">IFERROR(__xludf.DUMMYFUNCTION("""COMPUTED_VALUE"""),"Torta de chocolate")</f>
        <v>Torta de chocolate</v>
      </c>
      <c r="C223" s="7">
        <v>13</v>
      </c>
      <c r="D223" s="52">
        <f ca="1">IFERROR(__xludf.DUMMYFUNCTION("""COMPUTED_VALUE"""),578)</f>
        <v>578</v>
      </c>
      <c r="E223" s="7" t="str">
        <f ca="1">IFERROR(__xludf.DUMMYFUNCTION("""COMPUTED_VALUE"""),"UN")</f>
        <v>UN</v>
      </c>
      <c r="F223" s="132" t="str">
        <f ca="1">IFERROR(__xludf.DUMMYFUNCTION("""COMPUTED_VALUE"""),"Productos Elaborados")</f>
        <v>Productos Elaborados</v>
      </c>
      <c r="G223" s="49">
        <f t="shared" ca="1" si="0"/>
        <v>7514</v>
      </c>
      <c r="H223" s="49">
        <f t="shared" ca="1" si="1"/>
        <v>1427.66</v>
      </c>
      <c r="I223" s="49">
        <f t="shared" ca="1" si="2"/>
        <v>8941.66</v>
      </c>
      <c r="J223" s="156"/>
    </row>
    <row r="224" spans="1:10" ht="15.75">
      <c r="A224" s="7" t="str">
        <f ca="1">IFERROR(__xludf.DUMMYFUNCTION("""COMPUTED_VALUE"""),"ti-ing-2a0c7b7a-110d-4012-8516-5be2ca1f5438")</f>
        <v>ti-ing-2a0c7b7a-110d-4012-8516-5be2ca1f5438</v>
      </c>
      <c r="B224" s="7" t="str">
        <f ca="1">IFERROR(__xludf.DUMMYFUNCTION("""COMPUTED_VALUE"""),"Torta de pistacho")</f>
        <v>Torta de pistacho</v>
      </c>
      <c r="C224" s="7">
        <v>10</v>
      </c>
      <c r="D224" s="52">
        <f ca="1">IFERROR(__xludf.DUMMYFUNCTION("""COMPUTED_VALUE"""),1153)</f>
        <v>1153</v>
      </c>
      <c r="E224" s="7" t="str">
        <f ca="1">IFERROR(__xludf.DUMMYFUNCTION("""COMPUTED_VALUE"""),"UN")</f>
        <v>UN</v>
      </c>
      <c r="F224" s="132" t="str">
        <f ca="1">IFERROR(__xludf.DUMMYFUNCTION("""COMPUTED_VALUE"""),"Productos Elaborados")</f>
        <v>Productos Elaborados</v>
      </c>
      <c r="G224" s="49">
        <f t="shared" ca="1" si="0"/>
        <v>11530</v>
      </c>
      <c r="H224" s="49">
        <f t="shared" ca="1" si="1"/>
        <v>2190.6999999999998</v>
      </c>
      <c r="I224" s="49">
        <f t="shared" ca="1" si="2"/>
        <v>13720.7</v>
      </c>
      <c r="J224" s="156"/>
    </row>
    <row r="225" spans="1:10" ht="15.75">
      <c r="A225" s="7" t="str">
        <f ca="1">IFERROR(__xludf.DUMMYFUNCTION("""COMPUTED_VALUE"""),"ti-ing-8ade022e-847c-4250-b3ed-8cc9b6128064")</f>
        <v>ti-ing-8ade022e-847c-4250-b3ed-8cc9b6128064</v>
      </c>
      <c r="B225" s="7" t="str">
        <f ca="1">IFERROR(__xludf.DUMMYFUNCTION("""COMPUTED_VALUE"""),"Torta grande Carrot Cake")</f>
        <v>Torta grande Carrot Cake</v>
      </c>
      <c r="C225" s="7">
        <v>0</v>
      </c>
      <c r="D225" s="52">
        <f ca="1">IFERROR(__xludf.DUMMYFUNCTION("""COMPUTED_VALUE"""),10000)</f>
        <v>10000</v>
      </c>
      <c r="E225" s="7" t="str">
        <f ca="1">IFERROR(__xludf.DUMMYFUNCTION("""COMPUTED_VALUE"""),"UN")</f>
        <v>UN</v>
      </c>
      <c r="F225" s="132" t="str">
        <f ca="1">IFERROR(__xludf.DUMMYFUNCTION("""COMPUTED_VALUE"""),"Productos Elaborados")</f>
        <v>Productos Elaborados</v>
      </c>
      <c r="G225" s="49">
        <f t="shared" ca="1" si="0"/>
        <v>0</v>
      </c>
      <c r="H225" s="49">
        <f t="shared" ca="1" si="1"/>
        <v>0</v>
      </c>
      <c r="I225" s="49">
        <f t="shared" ca="1" si="2"/>
        <v>0</v>
      </c>
      <c r="J225" s="156"/>
    </row>
    <row r="226" spans="1:10" ht="15.75">
      <c r="A226" s="7" t="str">
        <f ca="1">IFERROR(__xludf.DUMMYFUNCTION("""COMPUTED_VALUE"""),"ti-ing-da15de4a-5efa-41b7-88ca-7108e002ac2b")</f>
        <v>ti-ing-da15de4a-5efa-41b7-88ca-7108e002ac2b</v>
      </c>
      <c r="B226" s="7" t="str">
        <f ca="1">IFERROR(__xludf.DUMMYFUNCTION("""COMPUTED_VALUE"""),"Torta grande Chocolate")</f>
        <v>Torta grande Chocolate</v>
      </c>
      <c r="C226" s="7">
        <v>6</v>
      </c>
      <c r="D226" s="52">
        <f ca="1">IFERROR(__xludf.DUMMYFUNCTION("""COMPUTED_VALUE"""),10000)</f>
        <v>10000</v>
      </c>
      <c r="E226" s="7" t="str">
        <f ca="1">IFERROR(__xludf.DUMMYFUNCTION("""COMPUTED_VALUE"""),"UN")</f>
        <v>UN</v>
      </c>
      <c r="F226" s="132" t="str">
        <f ca="1">IFERROR(__xludf.DUMMYFUNCTION("""COMPUTED_VALUE"""),"Productos Elaborados")</f>
        <v>Productos Elaborados</v>
      </c>
      <c r="G226" s="49">
        <f t="shared" ca="1" si="0"/>
        <v>60000</v>
      </c>
      <c r="H226" s="49">
        <f t="shared" ca="1" si="1"/>
        <v>11400</v>
      </c>
      <c r="I226" s="49">
        <f t="shared" ca="1" si="2"/>
        <v>71400</v>
      </c>
      <c r="J226" s="156"/>
    </row>
    <row r="227" spans="1:10" ht="15.75">
      <c r="A227" s="7" t="str">
        <f ca="1">IFERROR(__xludf.DUMMYFUNCTION("""COMPUTED_VALUE"""),"ti-ing-e7faa8a1-66b5-4fb0-9f50-2f5a7c3388c0")</f>
        <v>ti-ing-e7faa8a1-66b5-4fb0-9f50-2f5a7c3388c0</v>
      </c>
      <c r="B227" s="7" t="str">
        <f ca="1">IFERROR(__xludf.DUMMYFUNCTION("""COMPUTED_VALUE"""),"Torta grande Red Velvet")</f>
        <v>Torta grande Red Velvet</v>
      </c>
      <c r="C227" s="7">
        <v>4</v>
      </c>
      <c r="D227" s="52">
        <f ca="1">IFERROR(__xludf.DUMMYFUNCTION("""COMPUTED_VALUE"""),10000)</f>
        <v>10000</v>
      </c>
      <c r="E227" s="7" t="str">
        <f ca="1">IFERROR(__xludf.DUMMYFUNCTION("""COMPUTED_VALUE"""),"UN")</f>
        <v>UN</v>
      </c>
      <c r="F227" s="132" t="str">
        <f ca="1">IFERROR(__xludf.DUMMYFUNCTION("""COMPUTED_VALUE"""),"Productos Elaborados")</f>
        <v>Productos Elaborados</v>
      </c>
      <c r="G227" s="49">
        <f t="shared" ca="1" si="0"/>
        <v>40000</v>
      </c>
      <c r="H227" s="49">
        <f t="shared" ca="1" si="1"/>
        <v>7600</v>
      </c>
      <c r="I227" s="49">
        <f t="shared" ca="1" si="2"/>
        <v>47600</v>
      </c>
      <c r="J227" s="156"/>
    </row>
    <row r="228" spans="1:10" ht="15.75">
      <c r="A228" s="7" t="str">
        <f ca="1">IFERROR(__xludf.DUMMYFUNCTION("""COMPUTED_VALUE"""),"ti-ing-9a5203c8-4f85-44b3-8960-fbfb084fc709")</f>
        <v>ti-ing-9a5203c8-4f85-44b3-8960-fbfb084fc709</v>
      </c>
      <c r="B228" s="7" t="str">
        <f ca="1">IFERROR(__xludf.DUMMYFUNCTION("""COMPUTED_VALUE"""),"Torta Grande Tiramisú")</f>
        <v>Torta Grande Tiramisú</v>
      </c>
      <c r="C228" s="7">
        <v>6</v>
      </c>
      <c r="D228" s="52">
        <f ca="1">IFERROR(__xludf.DUMMYFUNCTION("""COMPUTED_VALUE"""),10000)</f>
        <v>10000</v>
      </c>
      <c r="E228" s="7" t="str">
        <f ca="1">IFERROR(__xludf.DUMMYFUNCTION("""COMPUTED_VALUE"""),"un")</f>
        <v>un</v>
      </c>
      <c r="F228" s="132" t="str">
        <f ca="1">IFERROR(__xludf.DUMMYFUNCTION("""COMPUTED_VALUE"""),"Productos Elaborados")</f>
        <v>Productos Elaborados</v>
      </c>
      <c r="G228" s="49">
        <f t="shared" ca="1" si="0"/>
        <v>60000</v>
      </c>
      <c r="H228" s="49">
        <f t="shared" ca="1" si="1"/>
        <v>11400</v>
      </c>
      <c r="I228" s="49">
        <f t="shared" ca="1" si="2"/>
        <v>71400</v>
      </c>
      <c r="J228" s="156"/>
    </row>
    <row r="229" spans="1:10" ht="15.75">
      <c r="A229" s="7" t="str">
        <f ca="1">IFERROR(__xludf.DUMMYFUNCTION("""COMPUTED_VALUE"""),"ti-ing-63c0ad02-283c-40ad-82ff-2084d51e56f4")</f>
        <v>ti-ing-63c0ad02-283c-40ad-82ff-2084d51e56f4</v>
      </c>
      <c r="B229" s="7" t="str">
        <f ca="1">IFERROR(__xludf.DUMMYFUNCTION("""COMPUTED_VALUE"""),"Torta grande Tres Leches")</f>
        <v>Torta grande Tres Leches</v>
      </c>
      <c r="C229" s="7">
        <v>1</v>
      </c>
      <c r="D229" s="52">
        <f ca="1">IFERROR(__xludf.DUMMYFUNCTION("""COMPUTED_VALUE"""),10000)</f>
        <v>10000</v>
      </c>
      <c r="E229" s="7" t="str">
        <f ca="1">IFERROR(__xludf.DUMMYFUNCTION("""COMPUTED_VALUE"""),"UN")</f>
        <v>UN</v>
      </c>
      <c r="F229" s="132" t="str">
        <f ca="1">IFERROR(__xludf.DUMMYFUNCTION("""COMPUTED_VALUE"""),"Productos Elaborados")</f>
        <v>Productos Elaborados</v>
      </c>
      <c r="G229" s="49">
        <f t="shared" ca="1" si="0"/>
        <v>10000</v>
      </c>
      <c r="H229" s="49">
        <f t="shared" ca="1" si="1"/>
        <v>1900</v>
      </c>
      <c r="I229" s="49">
        <f t="shared" ca="1" si="2"/>
        <v>11900</v>
      </c>
      <c r="J229" s="156"/>
    </row>
    <row r="230" spans="1:10" ht="15.75">
      <c r="A230" s="7" t="str">
        <f ca="1">IFERROR(__xludf.DUMMYFUNCTION("""COMPUTED_VALUE"""),"ti-ing-eb1667ba-d42f-482b-b42e-0a4c9806ac59")</f>
        <v>ti-ing-eb1667ba-d42f-482b-b42e-0a4c9806ac59</v>
      </c>
      <c r="B230" s="7" t="str">
        <f ca="1">IFERROR(__xludf.DUMMYFUNCTION("""COMPUTED_VALUE"""),"Torta Manjar nuez")</f>
        <v>Torta Manjar nuez</v>
      </c>
      <c r="C230" s="7">
        <v>26</v>
      </c>
      <c r="D230" s="52">
        <f ca="1">IFERROR(__xludf.DUMMYFUNCTION("""COMPUTED_VALUE"""),1103)</f>
        <v>1103</v>
      </c>
      <c r="E230" s="7" t="str">
        <f ca="1">IFERROR(__xludf.DUMMYFUNCTION("""COMPUTED_VALUE"""),"UN")</f>
        <v>UN</v>
      </c>
      <c r="F230" s="132" t="str">
        <f ca="1">IFERROR(__xludf.DUMMYFUNCTION("""COMPUTED_VALUE"""),"Productos Elaborados")</f>
        <v>Productos Elaborados</v>
      </c>
      <c r="G230" s="49">
        <f t="shared" ca="1" si="0"/>
        <v>28678</v>
      </c>
      <c r="H230" s="49">
        <f t="shared" ca="1" si="1"/>
        <v>5448.82</v>
      </c>
      <c r="I230" s="49">
        <f t="shared" ca="1" si="2"/>
        <v>34126.82</v>
      </c>
      <c r="J230" s="156"/>
    </row>
    <row r="231" spans="1:10" ht="15.75">
      <c r="A231" s="7" t="str">
        <f ca="1">IFERROR(__xludf.DUMMYFUNCTION("""COMPUTED_VALUE"""),"ti-ing-4dac4d03-1043-4a27-a1e1-ed68340239cb")</f>
        <v>ti-ing-4dac4d03-1043-4a27-a1e1-ed68340239cb</v>
      </c>
      <c r="B231" s="7" t="str">
        <f ca="1">IFERROR(__xludf.DUMMYFUNCTION("""COMPUTED_VALUE"""),"Torta manjar nuez")</f>
        <v>Torta manjar nuez</v>
      </c>
      <c r="C231" s="7">
        <v>0</v>
      </c>
      <c r="D231" s="52">
        <f ca="1">IFERROR(__xludf.DUMMYFUNCTION("""COMPUTED_VALUE"""),1103)</f>
        <v>1103</v>
      </c>
      <c r="E231" s="7" t="str">
        <f ca="1">IFERROR(__xludf.DUMMYFUNCTION("""COMPUTED_VALUE"""),"UN")</f>
        <v>UN</v>
      </c>
      <c r="F231" s="132" t="str">
        <f ca="1">IFERROR(__xludf.DUMMYFUNCTION("""COMPUTED_VALUE"""),"Productos Elaborados")</f>
        <v>Productos Elaborados</v>
      </c>
      <c r="G231" s="49">
        <f t="shared" ca="1" si="0"/>
        <v>0</v>
      </c>
      <c r="H231" s="49">
        <f t="shared" ca="1" si="1"/>
        <v>0</v>
      </c>
      <c r="I231" s="49">
        <f t="shared" ca="1" si="2"/>
        <v>0</v>
      </c>
      <c r="J231" s="156"/>
    </row>
    <row r="232" spans="1:10" ht="15.75">
      <c r="A232" s="7" t="str">
        <f ca="1">IFERROR(__xludf.DUMMYFUNCTION("""COMPUTED_VALUE"""),"ti-ing-a2a39a11-b445-405c-b372-c03b9923fb01")</f>
        <v>ti-ing-a2a39a11-b445-405c-b372-c03b9923fb01</v>
      </c>
      <c r="B232" s="7" t="str">
        <f ca="1">IFERROR(__xludf.DUMMYFUNCTION("""COMPUTED_VALUE"""),"Torta Mediana 3 leches")</f>
        <v>Torta Mediana 3 leches</v>
      </c>
      <c r="C232" s="7">
        <v>0</v>
      </c>
      <c r="D232" s="52">
        <f ca="1">IFERROR(__xludf.DUMMYFUNCTION("""COMPUTED_VALUE"""),7000)</f>
        <v>7000</v>
      </c>
      <c r="E232" s="7" t="str">
        <f ca="1">IFERROR(__xludf.DUMMYFUNCTION("""COMPUTED_VALUE"""),"UN")</f>
        <v>UN</v>
      </c>
      <c r="F232" s="132" t="str">
        <f ca="1">IFERROR(__xludf.DUMMYFUNCTION("""COMPUTED_VALUE"""),"Productos Elaborados")</f>
        <v>Productos Elaborados</v>
      </c>
      <c r="G232" s="49">
        <f t="shared" ca="1" si="0"/>
        <v>0</v>
      </c>
      <c r="H232" s="49">
        <f t="shared" ca="1" si="1"/>
        <v>0</v>
      </c>
      <c r="I232" s="49">
        <f t="shared" ca="1" si="2"/>
        <v>0</v>
      </c>
      <c r="J232" s="156"/>
    </row>
    <row r="233" spans="1:10" ht="15.75">
      <c r="A233" s="7" t="str">
        <f ca="1">IFERROR(__xludf.DUMMYFUNCTION("""COMPUTED_VALUE"""),"ti-ing-0d93b2e9-dcc0-45c6-9725-1e1a0422ce64")</f>
        <v>ti-ing-0d93b2e9-dcc0-45c6-9725-1e1a0422ce64</v>
      </c>
      <c r="B233" s="7" t="str">
        <f ca="1">IFERROR(__xludf.DUMMYFUNCTION("""COMPUTED_VALUE"""),"Torta mediana Carrot Cake")</f>
        <v>Torta mediana Carrot Cake</v>
      </c>
      <c r="C233" s="7">
        <v>2</v>
      </c>
      <c r="D233" s="52">
        <f ca="1">IFERROR(__xludf.DUMMYFUNCTION("""COMPUTED_VALUE"""),7000)</f>
        <v>7000</v>
      </c>
      <c r="E233" s="7" t="str">
        <f ca="1">IFERROR(__xludf.DUMMYFUNCTION("""COMPUTED_VALUE"""),"UN")</f>
        <v>UN</v>
      </c>
      <c r="F233" s="132" t="str">
        <f ca="1">IFERROR(__xludf.DUMMYFUNCTION("""COMPUTED_VALUE"""),"Productos Elaborados")</f>
        <v>Productos Elaborados</v>
      </c>
      <c r="G233" s="49">
        <f t="shared" ca="1" si="0"/>
        <v>14000</v>
      </c>
      <c r="H233" s="49">
        <f t="shared" ca="1" si="1"/>
        <v>2660</v>
      </c>
      <c r="I233" s="49">
        <f t="shared" ca="1" si="2"/>
        <v>16660</v>
      </c>
      <c r="J233" s="156"/>
    </row>
    <row r="234" spans="1:10" ht="15.75">
      <c r="A234" s="7" t="str">
        <f ca="1">IFERROR(__xludf.DUMMYFUNCTION("""COMPUTED_VALUE"""),"ti-ing-c8bdf30a-e35c-4f89-9dea-284c5dc422cf")</f>
        <v>ti-ing-c8bdf30a-e35c-4f89-9dea-284c5dc422cf</v>
      </c>
      <c r="B234" s="7" t="str">
        <f ca="1">IFERROR(__xludf.DUMMYFUNCTION("""COMPUTED_VALUE"""),"Torta mediana Cheesecake Frutos Rojos")</f>
        <v>Torta mediana Cheesecake Frutos Rojos</v>
      </c>
      <c r="C234" s="7">
        <v>0</v>
      </c>
      <c r="D234" s="52">
        <f ca="1">IFERROR(__xludf.DUMMYFUNCTION("""COMPUTED_VALUE"""),7000)</f>
        <v>7000</v>
      </c>
      <c r="E234" s="7" t="str">
        <f ca="1">IFERROR(__xludf.DUMMYFUNCTION("""COMPUTED_VALUE"""),"UN")</f>
        <v>UN</v>
      </c>
      <c r="F234" s="132" t="str">
        <f ca="1">IFERROR(__xludf.DUMMYFUNCTION("""COMPUTED_VALUE"""),"Productos Elaborados")</f>
        <v>Productos Elaborados</v>
      </c>
      <c r="G234" s="49">
        <f t="shared" ca="1" si="0"/>
        <v>0</v>
      </c>
      <c r="H234" s="49">
        <f t="shared" ca="1" si="1"/>
        <v>0</v>
      </c>
      <c r="I234" s="49">
        <f t="shared" ca="1" si="2"/>
        <v>0</v>
      </c>
      <c r="J234" s="156"/>
    </row>
    <row r="235" spans="1:10" ht="15.75">
      <c r="A235" s="7" t="str">
        <f ca="1">IFERROR(__xludf.DUMMYFUNCTION("""COMPUTED_VALUE"""),"ti-ing-ed44a9a4-2391-4346-b9cd-a08a151b902a")</f>
        <v>ti-ing-ed44a9a4-2391-4346-b9cd-a08a151b902a</v>
      </c>
      <c r="B235" s="7" t="str">
        <f ca="1">IFERROR(__xludf.DUMMYFUNCTION("""COMPUTED_VALUE"""),"Torta mediana Cheesecake Maracuya")</f>
        <v>Torta mediana Cheesecake Maracuya</v>
      </c>
      <c r="C235" s="7">
        <v>0</v>
      </c>
      <c r="D235" s="52">
        <f ca="1">IFERROR(__xludf.DUMMYFUNCTION("""COMPUTED_VALUE"""),7000)</f>
        <v>7000</v>
      </c>
      <c r="E235" s="7" t="str">
        <f ca="1">IFERROR(__xludf.DUMMYFUNCTION("""COMPUTED_VALUE"""),"UN")</f>
        <v>UN</v>
      </c>
      <c r="F235" s="132" t="str">
        <f ca="1">IFERROR(__xludf.DUMMYFUNCTION("""COMPUTED_VALUE"""),"Productos Elaborados")</f>
        <v>Productos Elaborados</v>
      </c>
      <c r="G235" s="49">
        <f t="shared" ca="1" si="0"/>
        <v>0</v>
      </c>
      <c r="H235" s="49">
        <f t="shared" ca="1" si="1"/>
        <v>0</v>
      </c>
      <c r="I235" s="49">
        <f t="shared" ca="1" si="2"/>
        <v>0</v>
      </c>
      <c r="J235" s="156"/>
    </row>
    <row r="236" spans="1:10" ht="15.75">
      <c r="A236" s="7" t="str">
        <f ca="1">IFERROR(__xludf.DUMMYFUNCTION("""COMPUTED_VALUE"""),"ti-ing-e5631358-9915-4b24-9e75-21b827d25871")</f>
        <v>ti-ing-e5631358-9915-4b24-9e75-21b827d25871</v>
      </c>
      <c r="B236" s="7" t="str">
        <f ca="1">IFERROR(__xludf.DUMMYFUNCTION("""COMPUTED_VALUE"""),"Torta mediana Chocolate")</f>
        <v>Torta mediana Chocolate</v>
      </c>
      <c r="C236" s="7">
        <v>0</v>
      </c>
      <c r="D236" s="52">
        <f ca="1">IFERROR(__xludf.DUMMYFUNCTION("""COMPUTED_VALUE"""),7000)</f>
        <v>7000</v>
      </c>
      <c r="E236" s="7" t="str">
        <f ca="1">IFERROR(__xludf.DUMMYFUNCTION("""COMPUTED_VALUE"""),"UN")</f>
        <v>UN</v>
      </c>
      <c r="F236" s="132" t="str">
        <f ca="1">IFERROR(__xludf.DUMMYFUNCTION("""COMPUTED_VALUE"""),"Productos Elaborados")</f>
        <v>Productos Elaborados</v>
      </c>
      <c r="G236" s="49">
        <f t="shared" ca="1" si="0"/>
        <v>0</v>
      </c>
      <c r="H236" s="49">
        <f t="shared" ca="1" si="1"/>
        <v>0</v>
      </c>
      <c r="I236" s="49">
        <f t="shared" ca="1" si="2"/>
        <v>0</v>
      </c>
      <c r="J236" s="156"/>
    </row>
    <row r="237" spans="1:10" ht="15.75">
      <c r="A237" s="7" t="str">
        <f ca="1">IFERROR(__xludf.DUMMYFUNCTION("""COMPUTED_VALUE"""),"ti-ing-b81128f5-ab59-4b0f-8124-1854d9fd7907")</f>
        <v>ti-ing-b81128f5-ab59-4b0f-8124-1854d9fd7907</v>
      </c>
      <c r="B237" s="7" t="str">
        <f ca="1">IFERROR(__xludf.DUMMYFUNCTION("""COMPUTED_VALUE"""),"Torta mediana Red Velvet")</f>
        <v>Torta mediana Red Velvet</v>
      </c>
      <c r="C237" s="7">
        <v>0</v>
      </c>
      <c r="D237" s="52">
        <f ca="1">IFERROR(__xludf.DUMMYFUNCTION("""COMPUTED_VALUE"""),7000)</f>
        <v>7000</v>
      </c>
      <c r="E237" s="7" t="str">
        <f ca="1">IFERROR(__xludf.DUMMYFUNCTION("""COMPUTED_VALUE"""),"UN")</f>
        <v>UN</v>
      </c>
      <c r="F237" s="132" t="str">
        <f ca="1">IFERROR(__xludf.DUMMYFUNCTION("""COMPUTED_VALUE"""),"Productos Elaborados")</f>
        <v>Productos Elaborados</v>
      </c>
      <c r="G237" s="49">
        <f t="shared" ca="1" si="0"/>
        <v>0</v>
      </c>
      <c r="H237" s="49">
        <f t="shared" ca="1" si="1"/>
        <v>0</v>
      </c>
      <c r="I237" s="49">
        <f t="shared" ca="1" si="2"/>
        <v>0</v>
      </c>
      <c r="J237" s="156"/>
    </row>
    <row r="238" spans="1:10" ht="15.75">
      <c r="A238" s="7" t="str">
        <f ca="1">IFERROR(__xludf.DUMMYFUNCTION("""COMPUTED_VALUE"""),"ti-ing-9e239189-5837-4025-88ed-026c2793d414")</f>
        <v>ti-ing-9e239189-5837-4025-88ed-026c2793d414</v>
      </c>
      <c r="B238" s="7" t="str">
        <f ca="1">IFERROR(__xludf.DUMMYFUNCTION("""COMPUTED_VALUE"""),"Torta mediana Tiramisú")</f>
        <v>Torta mediana Tiramisú</v>
      </c>
      <c r="C238" s="7">
        <v>1</v>
      </c>
      <c r="D238" s="52">
        <f ca="1">IFERROR(__xludf.DUMMYFUNCTION("""COMPUTED_VALUE"""),7000)</f>
        <v>7000</v>
      </c>
      <c r="E238" s="7" t="str">
        <f ca="1">IFERROR(__xludf.DUMMYFUNCTION("""COMPUTED_VALUE"""),"UN")</f>
        <v>UN</v>
      </c>
      <c r="F238" s="132" t="str">
        <f ca="1">IFERROR(__xludf.DUMMYFUNCTION("""COMPUTED_VALUE"""),"Productos Elaborados")</f>
        <v>Productos Elaborados</v>
      </c>
      <c r="G238" s="49">
        <f t="shared" ca="1" si="0"/>
        <v>7000</v>
      </c>
      <c r="H238" s="49">
        <f t="shared" ca="1" si="1"/>
        <v>1330</v>
      </c>
      <c r="I238" s="49">
        <f t="shared" ca="1" si="2"/>
        <v>8330</v>
      </c>
      <c r="J238" s="156"/>
    </row>
    <row r="239" spans="1:10" ht="15.75">
      <c r="A239" s="7" t="str">
        <f ca="1">IFERROR(__xludf.DUMMYFUNCTION("""COMPUTED_VALUE"""),"ti-ing-001593d5-b416-422c-b179-650b247b7985")</f>
        <v>ti-ing-001593d5-b416-422c-b179-650b247b7985</v>
      </c>
      <c r="B239" s="7" t="str">
        <f ca="1">IFERROR(__xludf.DUMMYFUNCTION("""COMPUTED_VALUE"""),"Torta PASION DE CHOCOLATE")</f>
        <v>Torta PASION DE CHOCOLATE</v>
      </c>
      <c r="C239" s="7">
        <v>0</v>
      </c>
      <c r="D239" s="52">
        <f ca="1">IFERROR(__xludf.DUMMYFUNCTION("""COMPUTED_VALUE"""),689)</f>
        <v>689</v>
      </c>
      <c r="E239" s="7" t="str">
        <f ca="1">IFERROR(__xludf.DUMMYFUNCTION("""COMPUTED_VALUE"""),"UN")</f>
        <v>UN</v>
      </c>
      <c r="F239" s="132" t="str">
        <f ca="1">IFERROR(__xludf.DUMMYFUNCTION("""COMPUTED_VALUE"""),"Productos Elaborados")</f>
        <v>Productos Elaborados</v>
      </c>
      <c r="G239" s="49">
        <f t="shared" ca="1" si="0"/>
        <v>0</v>
      </c>
      <c r="H239" s="49">
        <f t="shared" ca="1" si="1"/>
        <v>0</v>
      </c>
      <c r="I239" s="49">
        <f t="shared" ca="1" si="2"/>
        <v>0</v>
      </c>
      <c r="J239" s="156"/>
    </row>
    <row r="240" spans="1:10" ht="15.75">
      <c r="A240" s="7" t="str">
        <f ca="1">IFERROR(__xludf.DUMMYFUNCTION("""COMPUTED_VALUE"""),"ti-ing-a8cd5c87-c9dc-4186-83a1-68beb8fb913b")</f>
        <v>ti-ing-a8cd5c87-c9dc-4186-83a1-68beb8fb913b</v>
      </c>
      <c r="B240" s="7" t="str">
        <f ca="1">IFERROR(__xludf.DUMMYFUNCTION("""COMPUTED_VALUE"""),"Torta Red Velvet")</f>
        <v>Torta Red Velvet</v>
      </c>
      <c r="C240" s="7">
        <v>15</v>
      </c>
      <c r="D240" s="52">
        <f ca="1">IFERROR(__xludf.DUMMYFUNCTION("""COMPUTED_VALUE"""),804)</f>
        <v>804</v>
      </c>
      <c r="E240" s="7" t="str">
        <f ca="1">IFERROR(__xludf.DUMMYFUNCTION("""COMPUTED_VALUE"""),"UN")</f>
        <v>UN</v>
      </c>
      <c r="F240" s="132" t="str">
        <f ca="1">IFERROR(__xludf.DUMMYFUNCTION("""COMPUTED_VALUE"""),"Productos Elaborados")</f>
        <v>Productos Elaborados</v>
      </c>
      <c r="G240" s="49">
        <f t="shared" ca="1" si="0"/>
        <v>12060</v>
      </c>
      <c r="H240" s="49">
        <f t="shared" ca="1" si="1"/>
        <v>2291.4</v>
      </c>
      <c r="I240" s="49">
        <f t="shared" ca="1" si="2"/>
        <v>14351.4</v>
      </c>
      <c r="J240" s="156"/>
    </row>
    <row r="241" spans="1:10" ht="15.75">
      <c r="A241" s="7" t="str">
        <f ca="1">IFERROR(__xludf.DUMMYFUNCTION("""COMPUTED_VALUE"""),"ti-ing-98bcab34-b5b9-449e-b17a-558a962b5e9e")</f>
        <v>ti-ing-98bcab34-b5b9-449e-b17a-558a962b5e9e</v>
      </c>
      <c r="B241" s="7" t="str">
        <f ca="1">IFERROR(__xludf.DUMMYFUNCTION("""COMPUTED_VALUE"""),"Torta tiramisu")</f>
        <v>Torta tiramisu</v>
      </c>
      <c r="C241" s="7">
        <v>7</v>
      </c>
      <c r="D241" s="52">
        <f ca="1">IFERROR(__xludf.DUMMYFUNCTION("""COMPUTED_VALUE"""),758)</f>
        <v>758</v>
      </c>
      <c r="E241" s="7" t="str">
        <f ca="1">IFERROR(__xludf.DUMMYFUNCTION("""COMPUTED_VALUE"""),"UN")</f>
        <v>UN</v>
      </c>
      <c r="F241" s="132" t="str">
        <f ca="1">IFERROR(__xludf.DUMMYFUNCTION("""COMPUTED_VALUE"""),"Productos Elaborados")</f>
        <v>Productos Elaborados</v>
      </c>
      <c r="G241" s="49">
        <f t="shared" ca="1" si="0"/>
        <v>5306</v>
      </c>
      <c r="H241" s="49">
        <f t="shared" ca="1" si="1"/>
        <v>1008.14</v>
      </c>
      <c r="I241" s="49">
        <f t="shared" ca="1" si="2"/>
        <v>6314.14</v>
      </c>
      <c r="J241" s="156"/>
    </row>
    <row r="242" spans="1:10" ht="15.75">
      <c r="A242" s="4" t="str">
        <f ca="1">IFERROR(__xludf.DUMMYFUNCTION("""COMPUTED_VALUE"""),"ti-ing-c4b94842-6ec7-4b1b-af11-31093c0aed01")</f>
        <v>ti-ing-c4b94842-6ec7-4b1b-af11-31093c0aed01</v>
      </c>
      <c r="B242" s="7" t="str">
        <f ca="1">IFERROR(__xludf.DUMMYFUNCTION("""COMPUTED_VALUE"""),"Torta tres leches")</f>
        <v>Torta tres leches</v>
      </c>
      <c r="C242" s="7">
        <v>0</v>
      </c>
      <c r="D242" s="52">
        <f ca="1">IFERROR(__xludf.DUMMYFUNCTION("""COMPUTED_VALUE"""),438)</f>
        <v>438</v>
      </c>
      <c r="E242" s="7" t="str">
        <f ca="1">IFERROR(__xludf.DUMMYFUNCTION("""COMPUTED_VALUE"""),"UN")</f>
        <v>UN</v>
      </c>
      <c r="F242" s="132" t="str">
        <f ca="1">IFERROR(__xludf.DUMMYFUNCTION("""COMPUTED_VALUE"""),"Productos Elaborados")</f>
        <v>Productos Elaborados</v>
      </c>
      <c r="G242" s="49">
        <f t="shared" ca="1" si="0"/>
        <v>0</v>
      </c>
      <c r="H242" s="49">
        <f t="shared" ca="1" si="1"/>
        <v>0</v>
      </c>
      <c r="I242" s="49">
        <f t="shared" ca="1" si="2"/>
        <v>0</v>
      </c>
      <c r="J242" s="156"/>
    </row>
    <row r="243" spans="1:10" ht="15.75">
      <c r="A243" s="4" t="str">
        <f ca="1">IFERROR(__xludf.DUMMYFUNCTION("""COMPUTED_VALUE"""),"ti-ing-9ea4554c-aab1-480e-8b51-2aa90b2e08e9")</f>
        <v>ti-ing-9ea4554c-aab1-480e-8b51-2aa90b2e08e9</v>
      </c>
      <c r="B243" s="7" t="str">
        <f ca="1">IFERROR(__xludf.DUMMYFUNCTION("""COMPUTED_VALUE"""),"Trufa")</f>
        <v>Trufa</v>
      </c>
      <c r="C243" s="7">
        <v>0</v>
      </c>
      <c r="D243" s="52">
        <f ca="1">IFERROR(__xludf.DUMMYFUNCTION("""COMPUTED_VALUE"""),500)</f>
        <v>500</v>
      </c>
      <c r="E243" s="7" t="str">
        <f ca="1">IFERROR(__xludf.DUMMYFUNCTION("""COMPUTED_VALUE"""),"UN")</f>
        <v>UN</v>
      </c>
      <c r="F243" s="132" t="str">
        <f ca="1">IFERROR(__xludf.DUMMYFUNCTION("""COMPUTED_VALUE"""),"Productos Elaborados")</f>
        <v>Productos Elaborados</v>
      </c>
      <c r="G243" s="49">
        <f t="shared" ca="1" si="0"/>
        <v>0</v>
      </c>
      <c r="H243" s="49">
        <f t="shared" ca="1" si="1"/>
        <v>0</v>
      </c>
      <c r="I243" s="49">
        <f t="shared" ca="1" si="2"/>
        <v>0</v>
      </c>
      <c r="J243" s="156"/>
    </row>
    <row r="244" spans="1:10" ht="15.75">
      <c r="A244" s="4"/>
      <c r="B244" s="7" t="s">
        <v>1266</v>
      </c>
      <c r="C244" s="7">
        <v>0</v>
      </c>
      <c r="D244" s="7">
        <v>500</v>
      </c>
      <c r="E244" s="7"/>
      <c r="F244" s="132"/>
      <c r="G244" s="49">
        <f t="shared" si="0"/>
        <v>0</v>
      </c>
      <c r="H244" s="49">
        <f t="shared" si="1"/>
        <v>0</v>
      </c>
      <c r="I244" s="49">
        <f t="shared" si="2"/>
        <v>0</v>
      </c>
      <c r="J244" s="156"/>
    </row>
    <row r="245" spans="1:10" ht="15.75">
      <c r="A245" s="4"/>
      <c r="B245" s="7" t="s">
        <v>1267</v>
      </c>
      <c r="C245" s="7">
        <v>6.3040000000000003</v>
      </c>
      <c r="D245" s="7">
        <v>500</v>
      </c>
      <c r="E245" s="7"/>
      <c r="F245" s="132"/>
      <c r="G245" s="49">
        <f t="shared" si="0"/>
        <v>3152</v>
      </c>
      <c r="H245" s="49">
        <f t="shared" si="1"/>
        <v>598.88</v>
      </c>
      <c r="I245" s="49">
        <f t="shared" si="2"/>
        <v>3750.88</v>
      </c>
      <c r="J245" s="156"/>
    </row>
    <row r="246" spans="1:10" ht="15.75">
      <c r="A246" s="4"/>
      <c r="B246" s="7" t="s">
        <v>1268</v>
      </c>
      <c r="C246" s="7">
        <v>0</v>
      </c>
      <c r="D246" s="7">
        <v>500</v>
      </c>
      <c r="E246" s="7"/>
      <c r="F246" s="132"/>
      <c r="G246" s="49">
        <f t="shared" si="0"/>
        <v>0</v>
      </c>
      <c r="H246" s="49">
        <f t="shared" si="1"/>
        <v>0</v>
      </c>
      <c r="I246" s="49">
        <f t="shared" si="2"/>
        <v>0</v>
      </c>
      <c r="J246" s="156"/>
    </row>
    <row r="247" spans="1:10" ht="15.75">
      <c r="A247" s="4"/>
      <c r="B247" s="7" t="s">
        <v>1269</v>
      </c>
      <c r="C247" s="7">
        <v>0.45</v>
      </c>
      <c r="D247" s="133">
        <v>50</v>
      </c>
      <c r="E247" s="7" t="s">
        <v>27</v>
      </c>
      <c r="F247" s="132"/>
      <c r="G247" s="49">
        <f t="shared" si="0"/>
        <v>22.5</v>
      </c>
      <c r="H247" s="49">
        <f t="shared" si="1"/>
        <v>4.2750000000000004</v>
      </c>
      <c r="I247" s="49">
        <f t="shared" si="2"/>
        <v>26.774999999999999</v>
      </c>
      <c r="J247" s="156"/>
    </row>
    <row r="248" spans="1:10" ht="15.75">
      <c r="A248" s="4"/>
      <c r="B248" s="7" t="s">
        <v>1270</v>
      </c>
      <c r="C248" s="7">
        <v>0</v>
      </c>
      <c r="D248" s="7">
        <v>500</v>
      </c>
      <c r="E248" s="7"/>
      <c r="F248" s="132"/>
      <c r="G248" s="49">
        <f t="shared" si="0"/>
        <v>0</v>
      </c>
      <c r="H248" s="49">
        <f t="shared" si="1"/>
        <v>0</v>
      </c>
      <c r="I248" s="49">
        <f t="shared" si="2"/>
        <v>0</v>
      </c>
      <c r="J248" s="156"/>
    </row>
    <row r="249" spans="1:10" ht="15.75">
      <c r="A249" s="4"/>
      <c r="B249" s="4"/>
      <c r="C249" s="4"/>
      <c r="D249" s="4"/>
      <c r="E249" s="4"/>
      <c r="G249" s="49">
        <f t="shared" si="0"/>
        <v>0</v>
      </c>
      <c r="H249" s="49">
        <f t="shared" si="1"/>
        <v>0</v>
      </c>
      <c r="I249" s="49">
        <f t="shared" si="2"/>
        <v>0</v>
      </c>
      <c r="J249" s="156"/>
    </row>
    <row r="250" spans="1:10" ht="15.75">
      <c r="A250" s="4"/>
      <c r="B250" s="4"/>
      <c r="C250" s="4"/>
      <c r="D250" s="4"/>
      <c r="E250" s="4"/>
      <c r="G250" s="49">
        <f t="shared" si="0"/>
        <v>0</v>
      </c>
      <c r="H250" s="49">
        <f t="shared" si="1"/>
        <v>0</v>
      </c>
      <c r="I250" s="49">
        <f t="shared" si="2"/>
        <v>0</v>
      </c>
      <c r="J250" s="156"/>
    </row>
    <row r="251" spans="1:10" ht="15.75">
      <c r="A251" s="4"/>
      <c r="B251" s="4"/>
      <c r="C251" s="4"/>
      <c r="D251" s="4"/>
      <c r="E251" s="4"/>
      <c r="G251" s="134">
        <f ca="1">SUM(G3:G250)</f>
        <v>3157746.8525021523</v>
      </c>
      <c r="I251" s="134">
        <f ca="1">SUM(I3:I250)</f>
        <v>3757718.7544775605</v>
      </c>
      <c r="J251" s="156"/>
    </row>
    <row r="252" spans="1:10" ht="15.75">
      <c r="A252" s="4"/>
      <c r="B252" s="4"/>
      <c r="C252" s="4"/>
      <c r="D252" s="4"/>
      <c r="E252" s="4"/>
      <c r="J252" s="156"/>
    </row>
    <row r="253" spans="1:10" ht="15.75">
      <c r="A253" s="4"/>
      <c r="B253" s="4"/>
      <c r="C253" s="4"/>
      <c r="D253" s="4"/>
      <c r="E253" s="4"/>
      <c r="J253" s="156"/>
    </row>
    <row r="254" spans="1:10" ht="15.75">
      <c r="A254" s="4"/>
      <c r="B254" s="4"/>
      <c r="C254" s="4"/>
      <c r="D254" s="4"/>
      <c r="E254" s="4"/>
      <c r="J254" s="156"/>
    </row>
    <row r="255" spans="1:10" ht="15.75">
      <c r="A255" s="4"/>
      <c r="B255" s="4"/>
      <c r="C255" s="4"/>
      <c r="D255" s="4"/>
      <c r="E255" s="4"/>
      <c r="J255" s="156"/>
    </row>
    <row r="256" spans="1:10" ht="15.75">
      <c r="A256" s="4"/>
      <c r="B256" s="4"/>
      <c r="C256" s="4"/>
      <c r="D256" s="4"/>
      <c r="E256" s="4"/>
      <c r="J256" s="156"/>
    </row>
    <row r="257" spans="1:10" ht="15.75">
      <c r="A257" s="4"/>
      <c r="B257" s="4"/>
      <c r="C257" s="4"/>
      <c r="D257" s="4"/>
      <c r="E257" s="4"/>
      <c r="J257" s="156"/>
    </row>
    <row r="258" spans="1:10" ht="15.75">
      <c r="A258" s="4"/>
      <c r="B258" s="4"/>
      <c r="C258" s="4"/>
      <c r="D258" s="4"/>
      <c r="E258" s="4"/>
      <c r="J258" s="156"/>
    </row>
    <row r="259" spans="1:10" ht="15.75">
      <c r="A259" s="4"/>
      <c r="B259" s="4"/>
      <c r="C259" s="4"/>
      <c r="D259" s="4"/>
      <c r="E259" s="4"/>
      <c r="J259" s="156"/>
    </row>
    <row r="260" spans="1:10" ht="15.75">
      <c r="A260" s="4"/>
      <c r="B260" s="4"/>
      <c r="C260" s="4"/>
      <c r="D260" s="4"/>
      <c r="E260" s="4"/>
      <c r="J260" s="156"/>
    </row>
    <row r="261" spans="1:10" ht="15.75">
      <c r="A261" s="4"/>
      <c r="B261" s="4"/>
      <c r="C261" s="4"/>
      <c r="D261" s="4"/>
      <c r="E261" s="4"/>
      <c r="J261" s="156"/>
    </row>
    <row r="262" spans="1:10" ht="15.75">
      <c r="A262" s="4"/>
      <c r="B262" s="4"/>
      <c r="C262" s="4"/>
      <c r="D262" s="4"/>
      <c r="E262" s="4"/>
      <c r="J262" s="156"/>
    </row>
    <row r="263" spans="1:10" ht="15.75">
      <c r="A263" s="4"/>
      <c r="B263" s="4"/>
      <c r="C263" s="4"/>
      <c r="D263" s="4"/>
      <c r="E263" s="4"/>
      <c r="J263" s="156"/>
    </row>
    <row r="264" spans="1:10" ht="15.75">
      <c r="A264" s="4"/>
      <c r="B264" s="4"/>
      <c r="C264" s="4"/>
      <c r="D264" s="4"/>
      <c r="E264" s="4"/>
      <c r="J264" s="156"/>
    </row>
    <row r="265" spans="1:10" ht="15.75">
      <c r="A265" s="4"/>
      <c r="B265" s="4"/>
      <c r="C265" s="4"/>
      <c r="D265" s="4"/>
      <c r="E265" s="4"/>
      <c r="J265" s="156"/>
    </row>
    <row r="266" spans="1:10" ht="15.75">
      <c r="A266" s="4"/>
      <c r="B266" s="4"/>
      <c r="C266" s="4"/>
      <c r="D266" s="4"/>
      <c r="E266" s="4"/>
      <c r="J266" s="156"/>
    </row>
    <row r="267" spans="1:10" ht="15.75">
      <c r="A267" s="4"/>
      <c r="B267" s="4"/>
      <c r="C267" s="4"/>
      <c r="D267" s="4"/>
      <c r="E267" s="4"/>
      <c r="J267" s="156"/>
    </row>
    <row r="268" spans="1:10" ht="15.75">
      <c r="A268" s="4"/>
      <c r="B268" s="4"/>
      <c r="C268" s="4"/>
      <c r="D268" s="4"/>
      <c r="E268" s="4"/>
      <c r="J268" s="156"/>
    </row>
    <row r="269" spans="1:10" ht="15.75">
      <c r="A269" s="4"/>
      <c r="B269" s="4"/>
      <c r="C269" s="4"/>
      <c r="D269" s="4"/>
      <c r="E269" s="4"/>
      <c r="J269" s="156"/>
    </row>
    <row r="270" spans="1:10" ht="15.75">
      <c r="A270" s="4"/>
      <c r="B270" s="4"/>
      <c r="C270" s="4"/>
      <c r="D270" s="4"/>
      <c r="E270" s="4"/>
      <c r="J270" s="156"/>
    </row>
    <row r="271" spans="1:10" ht="15.75">
      <c r="A271" s="4"/>
      <c r="B271" s="4"/>
      <c r="C271" s="4"/>
      <c r="D271" s="4"/>
      <c r="E271" s="4"/>
      <c r="J271" s="156"/>
    </row>
    <row r="272" spans="1:10" ht="15.75">
      <c r="A272" s="4"/>
      <c r="B272" s="4"/>
      <c r="C272" s="4"/>
      <c r="D272" s="4"/>
      <c r="E272" s="4"/>
      <c r="J272" s="156"/>
    </row>
    <row r="273" spans="1:10" ht="15.75">
      <c r="A273" s="4"/>
      <c r="B273" s="4"/>
      <c r="C273" s="4"/>
      <c r="D273" s="4"/>
      <c r="E273" s="4"/>
      <c r="J273" s="156"/>
    </row>
    <row r="274" spans="1:10" ht="15.75">
      <c r="A274" s="4"/>
      <c r="B274" s="4"/>
      <c r="C274" s="4"/>
      <c r="D274" s="4"/>
      <c r="E274" s="4"/>
      <c r="J274" s="156"/>
    </row>
    <row r="275" spans="1:10" ht="15.75">
      <c r="A275" s="4"/>
      <c r="B275" s="4"/>
      <c r="C275" s="4"/>
      <c r="D275" s="4"/>
      <c r="E275" s="4"/>
      <c r="J275" s="156"/>
    </row>
    <row r="276" spans="1:10" ht="15.75">
      <c r="A276" s="4"/>
      <c r="B276" s="4"/>
      <c r="C276" s="4"/>
      <c r="D276" s="4"/>
      <c r="E276" s="4"/>
      <c r="J276" s="156"/>
    </row>
    <row r="277" spans="1:10" ht="15.75">
      <c r="A277" s="4"/>
      <c r="B277" s="4"/>
      <c r="C277" s="4"/>
      <c r="D277" s="4"/>
      <c r="E277" s="4"/>
      <c r="J277" s="156"/>
    </row>
    <row r="278" spans="1:10" ht="15.75">
      <c r="A278" s="4"/>
      <c r="B278" s="4"/>
      <c r="C278" s="4"/>
      <c r="D278" s="4"/>
      <c r="E278" s="4"/>
      <c r="J278" s="156"/>
    </row>
    <row r="279" spans="1:10" ht="15.75">
      <c r="A279" s="4"/>
      <c r="B279" s="4"/>
      <c r="C279" s="4"/>
      <c r="D279" s="4"/>
      <c r="E279" s="4"/>
      <c r="J279" s="156"/>
    </row>
    <row r="280" spans="1:10" ht="15.75">
      <c r="A280" s="4"/>
      <c r="B280" s="4"/>
      <c r="C280" s="4"/>
      <c r="D280" s="4"/>
      <c r="E280" s="4"/>
      <c r="J280" s="156"/>
    </row>
    <row r="281" spans="1:10" ht="15.75">
      <c r="A281" s="4"/>
      <c r="B281" s="4"/>
      <c r="C281" s="4"/>
      <c r="D281" s="4"/>
      <c r="E281" s="4"/>
      <c r="J281" s="156"/>
    </row>
    <row r="282" spans="1:10" ht="15.75">
      <c r="A282" s="4"/>
      <c r="B282" s="4"/>
      <c r="C282" s="4"/>
      <c r="D282" s="4"/>
      <c r="E282" s="4"/>
      <c r="J282" s="156"/>
    </row>
    <row r="283" spans="1:10" ht="15.75">
      <c r="A283" s="4"/>
      <c r="B283" s="4"/>
      <c r="C283" s="4"/>
      <c r="D283" s="4"/>
      <c r="E283" s="4"/>
      <c r="J283" s="156"/>
    </row>
    <row r="284" spans="1:10" ht="15.75">
      <c r="A284" s="4"/>
      <c r="B284" s="4"/>
      <c r="C284" s="4"/>
      <c r="D284" s="4"/>
      <c r="E284" s="4"/>
      <c r="J284" s="156"/>
    </row>
    <row r="285" spans="1:10" ht="15.75">
      <c r="A285" s="4"/>
      <c r="B285" s="4"/>
      <c r="C285" s="4"/>
      <c r="D285" s="4"/>
      <c r="E285" s="4"/>
      <c r="J285" s="156"/>
    </row>
    <row r="286" spans="1:10" ht="15.75">
      <c r="A286" s="4"/>
      <c r="B286" s="4"/>
      <c r="C286" s="4"/>
      <c r="D286" s="4"/>
      <c r="E286" s="4"/>
      <c r="J286" s="156"/>
    </row>
    <row r="287" spans="1:10" ht="15.75">
      <c r="A287" s="4"/>
      <c r="B287" s="4"/>
      <c r="C287" s="4"/>
      <c r="D287" s="4"/>
      <c r="E287" s="4"/>
      <c r="J287" s="156"/>
    </row>
    <row r="288" spans="1:10" ht="15.75">
      <c r="A288" s="4"/>
      <c r="B288" s="4"/>
      <c r="C288" s="4"/>
      <c r="D288" s="4"/>
      <c r="E288" s="4"/>
      <c r="J288" s="156"/>
    </row>
    <row r="289" spans="1:10" ht="15.75">
      <c r="A289" s="4"/>
      <c r="B289" s="4"/>
      <c r="C289" s="4"/>
      <c r="D289" s="4"/>
      <c r="E289" s="4"/>
      <c r="J289" s="156"/>
    </row>
    <row r="290" spans="1:10" ht="15.75">
      <c r="A290" s="4"/>
      <c r="B290" s="4"/>
      <c r="C290" s="4"/>
      <c r="D290" s="4"/>
      <c r="E290" s="4"/>
      <c r="J290" s="156"/>
    </row>
    <row r="291" spans="1:10" ht="15.75">
      <c r="A291" s="4"/>
      <c r="B291" s="4"/>
      <c r="C291" s="4"/>
      <c r="D291" s="4"/>
      <c r="E291" s="4"/>
      <c r="J291" s="156"/>
    </row>
    <row r="292" spans="1:10" ht="15.75">
      <c r="A292" s="4"/>
      <c r="B292" s="4"/>
      <c r="C292" s="4"/>
      <c r="D292" s="4"/>
      <c r="E292" s="4"/>
      <c r="J292" s="156"/>
    </row>
    <row r="293" spans="1:10" ht="15.75">
      <c r="A293" s="4"/>
      <c r="B293" s="4"/>
      <c r="C293" s="4"/>
      <c r="D293" s="4"/>
      <c r="E293" s="4"/>
      <c r="J293" s="156"/>
    </row>
    <row r="294" spans="1:10" ht="15.75">
      <c r="A294" s="4"/>
      <c r="B294" s="4"/>
      <c r="C294" s="4"/>
      <c r="D294" s="4"/>
      <c r="E294" s="4"/>
      <c r="J294" s="156"/>
    </row>
    <row r="295" spans="1:10" ht="15.75">
      <c r="A295" s="4"/>
      <c r="B295" s="4"/>
      <c r="C295" s="4"/>
      <c r="D295" s="4"/>
      <c r="E295" s="4"/>
      <c r="J295" s="156"/>
    </row>
    <row r="296" spans="1:10" ht="15.75">
      <c r="A296" s="4"/>
      <c r="B296" s="4"/>
      <c r="C296" s="4"/>
      <c r="D296" s="4"/>
      <c r="E296" s="4"/>
      <c r="J296" s="156"/>
    </row>
    <row r="297" spans="1:10" ht="15.75">
      <c r="A297" s="4"/>
      <c r="B297" s="4"/>
      <c r="C297" s="4"/>
      <c r="D297" s="4"/>
      <c r="E297" s="4"/>
      <c r="J297" s="156"/>
    </row>
    <row r="298" spans="1:10" ht="15.75">
      <c r="A298" s="4"/>
      <c r="B298" s="4"/>
      <c r="C298" s="4"/>
      <c r="D298" s="4"/>
      <c r="E298" s="4"/>
      <c r="J298" s="156"/>
    </row>
    <row r="299" spans="1:10" ht="15.75">
      <c r="A299" s="4"/>
      <c r="B299" s="4"/>
      <c r="C299" s="4"/>
      <c r="D299" s="4"/>
      <c r="E299" s="4"/>
      <c r="J299" s="156"/>
    </row>
    <row r="300" spans="1:10" ht="15.75">
      <c r="A300" s="4"/>
      <c r="B300" s="4"/>
      <c r="C300" s="4"/>
      <c r="D300" s="4"/>
      <c r="E300" s="4"/>
      <c r="J300" s="156"/>
    </row>
    <row r="301" spans="1:10" ht="15.75">
      <c r="A301" s="4"/>
      <c r="B301" s="4"/>
      <c r="C301" s="4"/>
      <c r="D301" s="4"/>
      <c r="E301" s="4"/>
    </row>
    <row r="302" spans="1:10" ht="15.75">
      <c r="A302" s="4"/>
      <c r="B302" s="4"/>
      <c r="C302" s="4"/>
      <c r="D302" s="4"/>
      <c r="E302" s="4"/>
      <c r="J302" s="4"/>
    </row>
    <row r="303" spans="1:10" ht="15.75">
      <c r="A303" s="4"/>
      <c r="B303" s="4"/>
      <c r="C303" s="4"/>
      <c r="D303" s="4"/>
      <c r="E303" s="4"/>
      <c r="J303" s="4"/>
    </row>
    <row r="304" spans="1:10" ht="15.75">
      <c r="A304" s="4"/>
      <c r="B304" s="4"/>
      <c r="C304" s="4"/>
      <c r="D304" s="4"/>
      <c r="E304" s="4"/>
      <c r="J304" s="4"/>
    </row>
    <row r="305" spans="1:10" ht="15.75">
      <c r="A305" s="4"/>
      <c r="B305" s="4"/>
      <c r="C305" s="4"/>
      <c r="D305" s="4"/>
      <c r="E305" s="4"/>
      <c r="J305" s="4"/>
    </row>
    <row r="306" spans="1:10" ht="15.75">
      <c r="A306" s="4"/>
      <c r="B306" s="4"/>
      <c r="C306" s="4"/>
      <c r="D306" s="4"/>
      <c r="E306" s="4"/>
      <c r="J306" s="155"/>
    </row>
    <row r="307" spans="1:10" ht="15.75">
      <c r="A307" s="4"/>
      <c r="B307" s="4"/>
      <c r="C307" s="4"/>
      <c r="D307" s="4"/>
      <c r="E307" s="4"/>
      <c r="J307" s="4"/>
    </row>
    <row r="308" spans="1:10" ht="15.75">
      <c r="A308" s="4"/>
      <c r="B308" s="4"/>
      <c r="C308" s="4"/>
      <c r="D308" s="4"/>
      <c r="E308" s="4"/>
      <c r="J308" s="4"/>
    </row>
    <row r="309" spans="1:10" ht="15.75">
      <c r="A309" s="4"/>
      <c r="B309" s="4"/>
      <c r="C309" s="4"/>
      <c r="D309" s="4"/>
      <c r="E309" s="4"/>
      <c r="J309" s="4"/>
    </row>
    <row r="310" spans="1:10" ht="15.75">
      <c r="A310" s="4"/>
      <c r="B310" s="4"/>
      <c r="C310" s="4"/>
      <c r="D310" s="4"/>
      <c r="E310" s="4"/>
      <c r="J310" s="4"/>
    </row>
    <row r="311" spans="1:10" ht="15.75">
      <c r="A311" s="4"/>
      <c r="B311" s="4"/>
      <c r="C311" s="4"/>
      <c r="D311" s="4"/>
      <c r="E311" s="4"/>
      <c r="J311" s="4"/>
    </row>
    <row r="312" spans="1:10" ht="15.75">
      <c r="A312" s="4"/>
      <c r="B312" s="4"/>
      <c r="C312" s="4"/>
      <c r="D312" s="4"/>
      <c r="E312" s="4"/>
      <c r="J312" s="4"/>
    </row>
    <row r="313" spans="1:10" ht="15.75">
      <c r="A313" s="4"/>
      <c r="B313" s="4"/>
      <c r="C313" s="4"/>
      <c r="D313" s="4"/>
      <c r="E313" s="4"/>
      <c r="J313" s="4"/>
    </row>
    <row r="314" spans="1:10" ht="15.75">
      <c r="A314" s="4"/>
      <c r="B314" s="4"/>
      <c r="C314" s="4"/>
      <c r="D314" s="4"/>
      <c r="E314" s="4"/>
      <c r="J314" s="4"/>
    </row>
    <row r="315" spans="1:10" ht="15.75">
      <c r="A315" s="4"/>
      <c r="B315" s="4"/>
      <c r="C315" s="4"/>
      <c r="D315" s="4"/>
      <c r="E315" s="4"/>
      <c r="J315" s="4"/>
    </row>
    <row r="316" spans="1:10" ht="15.75">
      <c r="A316" s="4"/>
      <c r="B316" s="4"/>
      <c r="C316" s="4"/>
      <c r="D316" s="4"/>
      <c r="E316" s="4"/>
      <c r="J316" s="4"/>
    </row>
    <row r="317" spans="1:10" ht="15.75">
      <c r="A317" s="4"/>
      <c r="B317" s="4"/>
      <c r="C317" s="4"/>
      <c r="D317" s="4"/>
      <c r="E317" s="4"/>
      <c r="J317" s="4"/>
    </row>
    <row r="318" spans="1:10" ht="15.75">
      <c r="A318" s="4"/>
      <c r="B318" s="4"/>
      <c r="C318" s="4"/>
      <c r="D318" s="4"/>
      <c r="E318" s="4"/>
      <c r="J318" s="4"/>
    </row>
    <row r="319" spans="1:10" ht="15.75">
      <c r="A319" s="4"/>
      <c r="B319" s="4"/>
      <c r="C319" s="4"/>
      <c r="D319" s="4"/>
      <c r="E319" s="4"/>
      <c r="J319" s="4"/>
    </row>
    <row r="320" spans="1:10" ht="15.75">
      <c r="A320" s="4"/>
      <c r="B320" s="4"/>
      <c r="C320" s="4"/>
      <c r="D320" s="4"/>
      <c r="E320" s="4"/>
      <c r="J320" s="4"/>
    </row>
    <row r="321" spans="1:10" ht="15.75">
      <c r="A321" s="4"/>
      <c r="B321" s="4"/>
      <c r="C321" s="4"/>
      <c r="D321" s="4"/>
      <c r="E321" s="4"/>
      <c r="J321" s="4"/>
    </row>
    <row r="322" spans="1:10" ht="15.75">
      <c r="A322" s="4"/>
      <c r="B322" s="4"/>
      <c r="C322" s="4"/>
      <c r="D322" s="4"/>
      <c r="E322" s="4"/>
      <c r="J322" s="4"/>
    </row>
    <row r="323" spans="1:10" ht="15.75">
      <c r="A323" s="4"/>
      <c r="B323" s="4"/>
      <c r="C323" s="4"/>
      <c r="D323" s="4"/>
      <c r="E323" s="4"/>
      <c r="J323" s="4"/>
    </row>
    <row r="324" spans="1:10" ht="15.75">
      <c r="A324" s="4"/>
      <c r="B324" s="4"/>
      <c r="C324" s="4"/>
      <c r="D324" s="4"/>
      <c r="E324" s="4"/>
      <c r="J324" s="4"/>
    </row>
    <row r="325" spans="1:10" ht="15.75">
      <c r="A325" s="4"/>
      <c r="B325" s="4"/>
      <c r="C325" s="4"/>
      <c r="D325" s="4"/>
      <c r="E325" s="4"/>
      <c r="J325" s="4"/>
    </row>
    <row r="326" spans="1:10" ht="15.75">
      <c r="A326" s="4"/>
      <c r="B326" s="4"/>
      <c r="C326" s="4"/>
      <c r="D326" s="4"/>
      <c r="E326" s="4"/>
      <c r="J326" s="4"/>
    </row>
    <row r="327" spans="1:10" ht="15.75">
      <c r="A327" s="4"/>
      <c r="B327" s="4"/>
      <c r="C327" s="4"/>
      <c r="D327" s="4"/>
      <c r="E327" s="4"/>
      <c r="J327" s="4"/>
    </row>
    <row r="328" spans="1:10" ht="15.75">
      <c r="A328" s="4"/>
      <c r="B328" s="4"/>
      <c r="C328" s="4"/>
      <c r="D328" s="4"/>
      <c r="E328" s="4"/>
      <c r="J328" s="4"/>
    </row>
    <row r="329" spans="1:10" ht="15.75">
      <c r="A329" s="4"/>
      <c r="B329" s="4"/>
      <c r="C329" s="4"/>
      <c r="D329" s="4"/>
      <c r="E329" s="4"/>
      <c r="J329" s="4"/>
    </row>
    <row r="330" spans="1:10" ht="15.75">
      <c r="A330" s="4"/>
      <c r="B330" s="4"/>
      <c r="C330" s="4"/>
      <c r="D330" s="4"/>
      <c r="E330" s="4"/>
      <c r="J330" s="4"/>
    </row>
    <row r="331" spans="1:10" ht="15.75">
      <c r="A331" s="4"/>
      <c r="B331" s="4"/>
      <c r="C331" s="4"/>
      <c r="D331" s="4"/>
      <c r="E331" s="4"/>
      <c r="J331" s="4"/>
    </row>
    <row r="332" spans="1:10" ht="15.75">
      <c r="A332" s="4"/>
      <c r="B332" s="4"/>
      <c r="C332" s="4"/>
      <c r="D332" s="4"/>
      <c r="E332" s="4"/>
      <c r="J332" s="4"/>
    </row>
    <row r="333" spans="1:10" ht="15.75">
      <c r="A333" s="4"/>
      <c r="B333" s="4"/>
      <c r="C333" s="4"/>
      <c r="D333" s="4"/>
      <c r="E333" s="4"/>
      <c r="J333" s="4"/>
    </row>
    <row r="334" spans="1:10" ht="15.75">
      <c r="A334" s="4"/>
      <c r="B334" s="4"/>
      <c r="C334" s="4"/>
      <c r="D334" s="4"/>
      <c r="E334" s="4"/>
      <c r="J334" s="4"/>
    </row>
    <row r="335" spans="1:10" ht="15.75">
      <c r="A335" s="4"/>
      <c r="B335" s="4"/>
      <c r="C335" s="4"/>
      <c r="D335" s="4"/>
      <c r="E335" s="4"/>
      <c r="J335" s="4"/>
    </row>
    <row r="336" spans="1:10" ht="15.75">
      <c r="A336" s="4"/>
      <c r="B336" s="4"/>
      <c r="C336" s="4"/>
      <c r="D336" s="4"/>
      <c r="E336" s="4"/>
      <c r="J336" s="4"/>
    </row>
    <row r="337" spans="1:10" ht="15.75">
      <c r="A337" s="4"/>
      <c r="B337" s="4"/>
      <c r="C337" s="4"/>
      <c r="D337" s="4"/>
      <c r="E337" s="4"/>
      <c r="J337" s="4"/>
    </row>
    <row r="338" spans="1:10" ht="15.75">
      <c r="A338" s="4"/>
      <c r="B338" s="4"/>
      <c r="C338" s="4"/>
      <c r="D338" s="4"/>
      <c r="E338" s="4"/>
      <c r="J338" s="4"/>
    </row>
    <row r="339" spans="1:10" ht="15.75">
      <c r="A339" s="4"/>
      <c r="B339" s="4"/>
      <c r="C339" s="4"/>
      <c r="D339" s="4"/>
      <c r="E339" s="4"/>
      <c r="J339" s="4"/>
    </row>
    <row r="340" spans="1:10" ht="15.75">
      <c r="A340" s="4"/>
      <c r="B340" s="4"/>
      <c r="C340" s="4"/>
      <c r="D340" s="4"/>
      <c r="E340" s="4"/>
      <c r="J340" s="4"/>
    </row>
    <row r="341" spans="1:10" ht="15.75">
      <c r="A341" s="4"/>
      <c r="B341" s="4"/>
      <c r="C341" s="4"/>
      <c r="D341" s="4"/>
      <c r="E341" s="4"/>
      <c r="J341" s="4"/>
    </row>
    <row r="342" spans="1:10" ht="15.75">
      <c r="A342" s="4"/>
      <c r="B342" s="4"/>
      <c r="C342" s="4"/>
      <c r="D342" s="4"/>
      <c r="E342" s="4"/>
      <c r="J342" s="4"/>
    </row>
    <row r="343" spans="1:10" ht="15.75">
      <c r="A343" s="4"/>
      <c r="B343" s="4"/>
      <c r="C343" s="4"/>
      <c r="D343" s="4"/>
      <c r="E343" s="4"/>
      <c r="J343" s="4"/>
    </row>
    <row r="344" spans="1:10" ht="15.75">
      <c r="A344" s="4"/>
      <c r="B344" s="4"/>
      <c r="C344" s="4"/>
      <c r="D344" s="4"/>
      <c r="E344" s="4"/>
      <c r="J344" s="4"/>
    </row>
    <row r="345" spans="1:10" ht="15.75">
      <c r="A345" s="4"/>
      <c r="B345" s="4"/>
      <c r="C345" s="4"/>
      <c r="D345" s="4"/>
      <c r="E345" s="4"/>
      <c r="J345" s="4"/>
    </row>
    <row r="346" spans="1:10" ht="15.75">
      <c r="A346" s="4"/>
      <c r="B346" s="4"/>
      <c r="C346" s="4"/>
      <c r="D346" s="4"/>
      <c r="E346" s="4"/>
      <c r="J346" s="4"/>
    </row>
    <row r="347" spans="1:10" ht="15.75">
      <c r="A347" s="4"/>
      <c r="B347" s="4"/>
      <c r="C347" s="4"/>
      <c r="D347" s="4"/>
      <c r="E347" s="4"/>
      <c r="J347" s="4"/>
    </row>
    <row r="348" spans="1:10" ht="15.75">
      <c r="A348" s="4"/>
      <c r="B348" s="4"/>
      <c r="C348" s="4"/>
      <c r="D348" s="4"/>
      <c r="E348" s="4"/>
      <c r="J348" s="4"/>
    </row>
    <row r="349" spans="1:10" ht="15.75">
      <c r="A349" s="4"/>
      <c r="B349" s="4"/>
      <c r="C349" s="4"/>
      <c r="D349" s="4"/>
      <c r="E349" s="4"/>
      <c r="J349" s="4"/>
    </row>
    <row r="350" spans="1:10" ht="15.75">
      <c r="A350" s="4"/>
      <c r="B350" s="4"/>
      <c r="C350" s="4"/>
      <c r="D350" s="4"/>
      <c r="E350" s="4"/>
      <c r="J350" s="4"/>
    </row>
    <row r="351" spans="1:10" ht="15.75">
      <c r="A351" s="4"/>
      <c r="B351" s="4"/>
      <c r="C351" s="4"/>
      <c r="D351" s="4"/>
      <c r="E351" s="4"/>
      <c r="J351" s="4"/>
    </row>
    <row r="352" spans="1:10" ht="15.75">
      <c r="A352" s="4"/>
      <c r="B352" s="4"/>
      <c r="C352" s="4"/>
      <c r="D352" s="4"/>
      <c r="E352" s="4"/>
      <c r="J352" s="4"/>
    </row>
    <row r="353" spans="1:10" ht="15.75">
      <c r="A353" s="4"/>
      <c r="B353" s="4"/>
      <c r="C353" s="4"/>
      <c r="D353" s="4"/>
      <c r="E353" s="4"/>
      <c r="J353" s="4"/>
    </row>
    <row r="354" spans="1:10" ht="15.75">
      <c r="A354" s="4"/>
      <c r="B354" s="4"/>
      <c r="C354" s="4"/>
      <c r="D354" s="4"/>
      <c r="E354" s="4"/>
      <c r="J354" s="4"/>
    </row>
    <row r="355" spans="1:10" ht="15.75">
      <c r="A355" s="4"/>
      <c r="B355" s="4"/>
      <c r="C355" s="4"/>
      <c r="D355" s="4"/>
      <c r="E355" s="4"/>
      <c r="J355" s="4"/>
    </row>
    <row r="356" spans="1:10" ht="15.75">
      <c r="A356" s="4"/>
      <c r="B356" s="4"/>
      <c r="C356" s="4"/>
      <c r="D356" s="4"/>
      <c r="E356" s="4"/>
      <c r="J356" s="4"/>
    </row>
    <row r="357" spans="1:10" ht="15.75">
      <c r="A357" s="4"/>
      <c r="B357" s="4"/>
      <c r="C357" s="4"/>
      <c r="D357" s="4"/>
      <c r="E357" s="4"/>
      <c r="J357" s="4"/>
    </row>
    <row r="358" spans="1:10" ht="15.75">
      <c r="A358" s="4"/>
      <c r="B358" s="4"/>
      <c r="C358" s="4"/>
      <c r="D358" s="4"/>
      <c r="E358" s="4"/>
      <c r="J358" s="4"/>
    </row>
    <row r="359" spans="1:10" ht="15.75">
      <c r="A359" s="4"/>
      <c r="B359" s="4"/>
      <c r="C359" s="4"/>
      <c r="D359" s="4"/>
      <c r="E359" s="4"/>
      <c r="J359" s="4"/>
    </row>
    <row r="360" spans="1:10" ht="15.75">
      <c r="A360" s="4"/>
      <c r="B360" s="4"/>
      <c r="C360" s="4"/>
      <c r="D360" s="4"/>
      <c r="E360" s="4"/>
      <c r="J360" s="4"/>
    </row>
    <row r="361" spans="1:10" ht="15.75">
      <c r="A361" s="4"/>
      <c r="B361" s="4"/>
      <c r="C361" s="4"/>
      <c r="D361" s="4"/>
      <c r="E361" s="4"/>
      <c r="J361" s="4"/>
    </row>
    <row r="362" spans="1:10" ht="15.75">
      <c r="A362" s="4"/>
      <c r="B362" s="4"/>
      <c r="C362" s="4"/>
      <c r="D362" s="4"/>
      <c r="E362" s="4"/>
      <c r="J362" s="4"/>
    </row>
    <row r="363" spans="1:10" ht="15.75">
      <c r="A363" s="4"/>
      <c r="B363" s="4"/>
      <c r="C363" s="4"/>
      <c r="D363" s="4"/>
      <c r="E363" s="4"/>
      <c r="J363" s="4"/>
    </row>
    <row r="364" spans="1:10" ht="15.75">
      <c r="A364" s="4"/>
      <c r="B364" s="4"/>
      <c r="C364" s="4"/>
      <c r="D364" s="4"/>
      <c r="E364" s="4"/>
      <c r="J364" s="4"/>
    </row>
    <row r="365" spans="1:10" ht="15.75">
      <c r="A365" s="4"/>
      <c r="B365" s="4"/>
      <c r="C365" s="4"/>
      <c r="D365" s="4"/>
      <c r="E365" s="4"/>
      <c r="J365" s="4"/>
    </row>
    <row r="366" spans="1:10" ht="15.75">
      <c r="A366" s="4"/>
      <c r="B366" s="4"/>
      <c r="C366" s="4"/>
      <c r="D366" s="4"/>
      <c r="E366" s="4"/>
      <c r="J366" s="4"/>
    </row>
    <row r="367" spans="1:10" ht="15.75">
      <c r="A367" s="4"/>
      <c r="B367" s="4"/>
      <c r="C367" s="4"/>
      <c r="D367" s="4"/>
      <c r="E367" s="4"/>
      <c r="J367" s="4"/>
    </row>
    <row r="368" spans="1:10" ht="15.75">
      <c r="A368" s="4"/>
      <c r="B368" s="4"/>
      <c r="C368" s="4"/>
      <c r="D368" s="4"/>
      <c r="E368" s="4"/>
      <c r="J368" s="4"/>
    </row>
    <row r="369" spans="1:10" ht="15.75">
      <c r="A369" s="4"/>
      <c r="B369" s="4"/>
      <c r="C369" s="4"/>
      <c r="D369" s="4"/>
      <c r="E369" s="4"/>
      <c r="J369" s="4"/>
    </row>
    <row r="370" spans="1:10" ht="15.75">
      <c r="A370" s="4"/>
      <c r="B370" s="4"/>
      <c r="C370" s="4"/>
      <c r="D370" s="4"/>
      <c r="E370" s="4"/>
      <c r="J370" s="4"/>
    </row>
    <row r="371" spans="1:10" ht="15.75">
      <c r="A371" s="4"/>
      <c r="B371" s="4"/>
      <c r="C371" s="4"/>
      <c r="D371" s="4"/>
      <c r="E371" s="4"/>
      <c r="J371" s="4"/>
    </row>
    <row r="372" spans="1:10" ht="15.75">
      <c r="A372" s="4"/>
      <c r="B372" s="4"/>
      <c r="C372" s="4"/>
      <c r="D372" s="4"/>
      <c r="E372" s="4"/>
      <c r="J372" s="4"/>
    </row>
    <row r="373" spans="1:10" ht="15.75">
      <c r="A373" s="4"/>
      <c r="B373" s="4"/>
      <c r="C373" s="4"/>
      <c r="D373" s="4"/>
      <c r="E373" s="4"/>
      <c r="J373" s="4"/>
    </row>
    <row r="374" spans="1:10" ht="15.75">
      <c r="A374" s="4"/>
      <c r="B374" s="4"/>
      <c r="C374" s="4"/>
      <c r="D374" s="4"/>
      <c r="E374" s="4"/>
      <c r="J374" s="4"/>
    </row>
    <row r="375" spans="1:10" ht="15.75">
      <c r="A375" s="4"/>
      <c r="B375" s="4"/>
      <c r="C375" s="4"/>
      <c r="D375" s="4"/>
      <c r="E375" s="4"/>
      <c r="J375" s="4"/>
    </row>
    <row r="376" spans="1:10" ht="15.75">
      <c r="A376" s="4"/>
      <c r="B376" s="4"/>
      <c r="C376" s="4"/>
      <c r="D376" s="4"/>
      <c r="E376" s="4"/>
      <c r="J376" s="4"/>
    </row>
    <row r="377" spans="1:10" ht="15.75">
      <c r="A377" s="4"/>
      <c r="B377" s="4"/>
      <c r="C377" s="4"/>
      <c r="D377" s="4"/>
      <c r="E377" s="4"/>
      <c r="J377" s="4"/>
    </row>
    <row r="378" spans="1:10" ht="15.75">
      <c r="A378" s="4"/>
      <c r="B378" s="4"/>
      <c r="C378" s="4"/>
      <c r="D378" s="4"/>
      <c r="E378" s="4"/>
      <c r="J378" s="4"/>
    </row>
    <row r="379" spans="1:10" ht="15.75">
      <c r="A379" s="4"/>
      <c r="B379" s="4"/>
      <c r="C379" s="4"/>
      <c r="D379" s="4"/>
      <c r="E379" s="4"/>
      <c r="J379" s="4"/>
    </row>
    <row r="380" spans="1:10" ht="15.75">
      <c r="A380" s="4"/>
      <c r="B380" s="4"/>
      <c r="C380" s="4"/>
      <c r="D380" s="4"/>
      <c r="E380" s="4"/>
      <c r="J380" s="4"/>
    </row>
    <row r="381" spans="1:10" ht="15.75">
      <c r="A381" s="4"/>
      <c r="B381" s="4"/>
      <c r="C381" s="4"/>
      <c r="D381" s="4"/>
      <c r="E381" s="4"/>
      <c r="J381" s="4"/>
    </row>
    <row r="382" spans="1:10" ht="15.75">
      <c r="A382" s="4"/>
      <c r="B382" s="4"/>
      <c r="C382" s="4"/>
      <c r="D382" s="4"/>
      <c r="E382" s="4"/>
      <c r="J382" s="4"/>
    </row>
    <row r="383" spans="1:10" ht="15.75">
      <c r="A383" s="4"/>
      <c r="B383" s="4"/>
      <c r="C383" s="4"/>
      <c r="D383" s="4"/>
      <c r="E383" s="4"/>
      <c r="J383" s="4"/>
    </row>
    <row r="384" spans="1:10" ht="15.75">
      <c r="A384" s="4"/>
      <c r="B384" s="4"/>
      <c r="C384" s="4"/>
      <c r="D384" s="4"/>
      <c r="E384" s="4"/>
      <c r="J384" s="4"/>
    </row>
    <row r="385" spans="1:10" ht="15.75">
      <c r="A385" s="4"/>
      <c r="B385" s="4"/>
      <c r="C385" s="4"/>
      <c r="D385" s="4"/>
      <c r="E385" s="4"/>
      <c r="J385" s="4"/>
    </row>
    <row r="386" spans="1:10" ht="15.75">
      <c r="A386" s="4"/>
      <c r="B386" s="4"/>
      <c r="C386" s="4"/>
      <c r="D386" s="4"/>
      <c r="E386" s="4"/>
      <c r="J386" s="4"/>
    </row>
    <row r="387" spans="1:10" ht="15.75">
      <c r="A387" s="4"/>
      <c r="B387" s="4"/>
      <c r="C387" s="4"/>
      <c r="D387" s="4"/>
      <c r="E387" s="4"/>
      <c r="J387" s="4"/>
    </row>
    <row r="388" spans="1:10" ht="15.75">
      <c r="A388" s="4"/>
      <c r="B388" s="4"/>
      <c r="C388" s="4"/>
      <c r="D388" s="4"/>
      <c r="E388" s="4"/>
      <c r="J388" s="4"/>
    </row>
    <row r="389" spans="1:10" ht="15.75">
      <c r="A389" s="4"/>
      <c r="B389" s="4"/>
      <c r="C389" s="4"/>
      <c r="D389" s="4"/>
      <c r="E389" s="4"/>
      <c r="J389" s="4"/>
    </row>
    <row r="390" spans="1:10" ht="15.75">
      <c r="A390" s="4"/>
      <c r="B390" s="4"/>
      <c r="C390" s="4"/>
      <c r="D390" s="4"/>
      <c r="E390" s="4"/>
      <c r="J390" s="4"/>
    </row>
    <row r="391" spans="1:10" ht="15.75">
      <c r="A391" s="4"/>
      <c r="B391" s="4"/>
      <c r="C391" s="4"/>
      <c r="D391" s="4"/>
      <c r="E391" s="4"/>
      <c r="J391" s="4"/>
    </row>
    <row r="392" spans="1:10" ht="15.75">
      <c r="A392" s="4"/>
      <c r="B392" s="4"/>
      <c r="C392" s="4"/>
      <c r="D392" s="4"/>
      <c r="E392" s="4"/>
      <c r="J392" s="4"/>
    </row>
    <row r="393" spans="1:10" ht="15.75">
      <c r="A393" s="4"/>
      <c r="B393" s="4"/>
      <c r="C393" s="4"/>
      <c r="D393" s="4"/>
      <c r="E393" s="4"/>
      <c r="J393" s="4"/>
    </row>
    <row r="394" spans="1:10" ht="15.75">
      <c r="A394" s="4"/>
      <c r="B394" s="4"/>
      <c r="C394" s="4"/>
      <c r="D394" s="4"/>
      <c r="E394" s="4"/>
      <c r="J394" s="4"/>
    </row>
    <row r="395" spans="1:10" ht="15.75">
      <c r="A395" s="4"/>
      <c r="B395" s="4"/>
      <c r="C395" s="4"/>
      <c r="D395" s="4"/>
      <c r="E395" s="4"/>
      <c r="J395" s="4"/>
    </row>
    <row r="396" spans="1:10" ht="15.75">
      <c r="A396" s="4"/>
      <c r="B396" s="4"/>
      <c r="C396" s="4"/>
      <c r="D396" s="4"/>
      <c r="E396" s="4"/>
      <c r="J396" s="4"/>
    </row>
    <row r="397" spans="1:10" ht="15.75">
      <c r="A397" s="4"/>
      <c r="B397" s="4"/>
      <c r="C397" s="4"/>
      <c r="D397" s="4"/>
      <c r="E397" s="4"/>
      <c r="J397" s="4"/>
    </row>
    <row r="398" spans="1:10" ht="15.75">
      <c r="A398" s="4"/>
      <c r="B398" s="4"/>
      <c r="C398" s="4"/>
      <c r="D398" s="4"/>
      <c r="E398" s="4"/>
      <c r="J398" s="4"/>
    </row>
    <row r="399" spans="1:10" ht="15.75">
      <c r="A399" s="4"/>
      <c r="B399" s="4"/>
      <c r="C399" s="4"/>
      <c r="D399" s="4"/>
      <c r="E399" s="4"/>
      <c r="J399" s="4"/>
    </row>
    <row r="400" spans="1:10" ht="15.75">
      <c r="A400" s="4"/>
      <c r="B400" s="4"/>
      <c r="C400" s="4"/>
      <c r="D400" s="4"/>
      <c r="E400" s="4"/>
      <c r="J400" s="4"/>
    </row>
    <row r="401" spans="1:10" ht="15.75">
      <c r="A401" s="4"/>
      <c r="B401" s="4"/>
      <c r="C401" s="4"/>
      <c r="D401" s="4"/>
      <c r="E401" s="4"/>
      <c r="J401" s="4"/>
    </row>
    <row r="402" spans="1:10" ht="15.75">
      <c r="A402" s="4"/>
      <c r="B402" s="4"/>
      <c r="C402" s="4"/>
      <c r="D402" s="4"/>
      <c r="E402" s="4"/>
      <c r="J402" s="4"/>
    </row>
    <row r="403" spans="1:10" ht="15.75">
      <c r="A403" s="4"/>
      <c r="B403" s="4"/>
      <c r="C403" s="4"/>
      <c r="D403" s="4"/>
      <c r="E403" s="4"/>
      <c r="J403" s="4"/>
    </row>
    <row r="404" spans="1:10" ht="15.75">
      <c r="A404" s="4"/>
      <c r="B404" s="4"/>
      <c r="C404" s="4"/>
      <c r="D404" s="4"/>
      <c r="E404" s="4"/>
      <c r="J404" s="4"/>
    </row>
    <row r="405" spans="1:10" ht="15.75">
      <c r="A405" s="4"/>
      <c r="B405" s="4"/>
      <c r="C405" s="4"/>
      <c r="D405" s="4"/>
      <c r="E405" s="4"/>
      <c r="J405" s="4"/>
    </row>
    <row r="406" spans="1:10" ht="15.75">
      <c r="A406" s="4"/>
      <c r="B406" s="4"/>
      <c r="C406" s="4"/>
      <c r="D406" s="4"/>
      <c r="E406" s="4"/>
      <c r="J406" s="4"/>
    </row>
    <row r="407" spans="1:10" ht="15.75">
      <c r="A407" s="4"/>
      <c r="B407" s="4"/>
      <c r="C407" s="4"/>
      <c r="D407" s="4"/>
      <c r="E407" s="4"/>
      <c r="J407" s="4"/>
    </row>
    <row r="408" spans="1:10" ht="15.75">
      <c r="A408" s="4"/>
      <c r="B408" s="4"/>
      <c r="C408" s="4"/>
      <c r="D408" s="4"/>
      <c r="E408" s="4"/>
      <c r="J408" s="4"/>
    </row>
    <row r="409" spans="1:10" ht="15.75">
      <c r="A409" s="4"/>
      <c r="B409" s="4"/>
      <c r="C409" s="4"/>
      <c r="D409" s="4"/>
      <c r="E409" s="4"/>
      <c r="J409" s="4"/>
    </row>
    <row r="410" spans="1:10" ht="15.75">
      <c r="A410" s="4"/>
      <c r="B410" s="4"/>
      <c r="C410" s="4"/>
      <c r="D410" s="4"/>
      <c r="E410" s="4"/>
      <c r="J410" s="83"/>
    </row>
    <row r="411" spans="1:10" ht="15.75">
      <c r="A411" s="4"/>
      <c r="B411" s="4"/>
      <c r="C411" s="4"/>
      <c r="D411" s="4"/>
      <c r="E411" s="4"/>
      <c r="J411" s="7"/>
    </row>
    <row r="412" spans="1:10" ht="15.75">
      <c r="A412" s="4"/>
      <c r="B412" s="4"/>
      <c r="C412" s="4"/>
      <c r="D412" s="4"/>
      <c r="E412" s="4"/>
      <c r="J412" s="7"/>
    </row>
    <row r="413" spans="1:10" ht="15.75">
      <c r="A413" s="4"/>
      <c r="B413" s="4"/>
      <c r="C413" s="4"/>
      <c r="D413" s="4"/>
      <c r="E413" s="4"/>
      <c r="J413" s="7"/>
    </row>
    <row r="414" spans="1:10" ht="15.75">
      <c r="A414" s="4"/>
      <c r="B414" s="4"/>
      <c r="C414" s="4"/>
      <c r="D414" s="4"/>
      <c r="E414" s="4"/>
      <c r="J414" s="7"/>
    </row>
    <row r="415" spans="1:10" ht="15.75">
      <c r="A415" s="4"/>
      <c r="B415" s="4"/>
      <c r="C415" s="4"/>
      <c r="D415" s="4"/>
      <c r="E415" s="4"/>
      <c r="J415" s="7"/>
    </row>
    <row r="416" spans="1:10" ht="15.75">
      <c r="A416" s="4"/>
      <c r="B416" s="4"/>
      <c r="C416" s="4"/>
      <c r="D416" s="4"/>
      <c r="E416" s="4"/>
      <c r="J416" s="7"/>
    </row>
    <row r="417" spans="1:10" ht="15.75">
      <c r="A417" s="4"/>
      <c r="B417" s="4"/>
      <c r="C417" s="4"/>
      <c r="D417" s="4"/>
      <c r="E417" s="4"/>
      <c r="J417" s="7"/>
    </row>
    <row r="418" spans="1:10" ht="15.75">
      <c r="A418" s="4"/>
      <c r="B418" s="4"/>
      <c r="C418" s="4"/>
      <c r="D418" s="4"/>
      <c r="E418" s="4"/>
      <c r="J418" s="7"/>
    </row>
    <row r="419" spans="1:10" ht="15.75">
      <c r="A419" s="4"/>
      <c r="B419" s="4"/>
      <c r="C419" s="4"/>
      <c r="D419" s="4"/>
      <c r="E419" s="4"/>
      <c r="J419" s="7"/>
    </row>
    <row r="420" spans="1:10" ht="15.75">
      <c r="A420" s="4"/>
      <c r="B420" s="4"/>
      <c r="C420" s="4"/>
      <c r="D420" s="4"/>
      <c r="E420" s="4"/>
      <c r="J420" s="7"/>
    </row>
    <row r="421" spans="1:10" ht="15.75">
      <c r="A421" s="4"/>
      <c r="B421" s="4"/>
      <c r="C421" s="4"/>
      <c r="D421" s="4"/>
      <c r="E421" s="4"/>
      <c r="J421" s="7"/>
    </row>
    <row r="422" spans="1:10" ht="15.75">
      <c r="A422" s="4"/>
      <c r="B422" s="4"/>
      <c r="C422" s="4"/>
      <c r="D422" s="4"/>
      <c r="E422" s="4"/>
      <c r="J422" s="7"/>
    </row>
    <row r="423" spans="1:10" ht="15.75">
      <c r="A423" s="4"/>
      <c r="B423" s="4"/>
      <c r="C423" s="4"/>
      <c r="D423" s="4"/>
      <c r="E423" s="4"/>
      <c r="J423" s="7"/>
    </row>
    <row r="424" spans="1:10" ht="15.75">
      <c r="A424" s="4"/>
      <c r="B424" s="4"/>
      <c r="C424" s="4"/>
      <c r="D424" s="4"/>
      <c r="E424" s="4"/>
      <c r="J424" s="7"/>
    </row>
    <row r="425" spans="1:10" ht="15.75">
      <c r="A425" s="4"/>
      <c r="B425" s="4"/>
      <c r="C425" s="4"/>
      <c r="D425" s="4"/>
      <c r="E425" s="4"/>
      <c r="J425" s="7"/>
    </row>
    <row r="426" spans="1:10" ht="15.75">
      <c r="A426" s="4"/>
      <c r="B426" s="4"/>
      <c r="C426" s="4"/>
      <c r="D426" s="4"/>
      <c r="E426" s="4"/>
      <c r="J426" s="7"/>
    </row>
    <row r="427" spans="1:10" ht="15.75">
      <c r="A427" s="4"/>
      <c r="B427" s="4"/>
      <c r="C427" s="4"/>
      <c r="D427" s="4"/>
      <c r="E427" s="4"/>
      <c r="J427" s="7"/>
    </row>
    <row r="428" spans="1:10" ht="15.75">
      <c r="A428" s="4"/>
      <c r="B428" s="4"/>
      <c r="C428" s="4"/>
      <c r="D428" s="4"/>
      <c r="E428" s="4"/>
      <c r="J428" s="7"/>
    </row>
    <row r="429" spans="1:10" ht="15.75">
      <c r="A429" s="4"/>
      <c r="B429" s="4"/>
      <c r="C429" s="4"/>
      <c r="D429" s="4"/>
      <c r="E429" s="4"/>
      <c r="J429" s="7"/>
    </row>
    <row r="430" spans="1:10" ht="15.75">
      <c r="A430" s="4"/>
      <c r="B430" s="4"/>
      <c r="C430" s="4"/>
      <c r="D430" s="4"/>
      <c r="E430" s="4"/>
      <c r="J430" s="7"/>
    </row>
    <row r="431" spans="1:10" ht="15.75">
      <c r="A431" s="4"/>
      <c r="B431" s="4"/>
      <c r="C431" s="4"/>
      <c r="D431" s="4"/>
      <c r="E431" s="4"/>
      <c r="J431" s="7"/>
    </row>
    <row r="432" spans="1:10" ht="15.75">
      <c r="A432" s="4"/>
      <c r="B432" s="4"/>
      <c r="C432" s="4"/>
      <c r="D432" s="4"/>
      <c r="E432" s="4"/>
      <c r="J432" s="7"/>
    </row>
    <row r="433" spans="1:10" ht="15.75">
      <c r="A433" s="4"/>
      <c r="B433" s="4"/>
      <c r="C433" s="4"/>
      <c r="D433" s="4"/>
      <c r="E433" s="4"/>
      <c r="J433" s="7"/>
    </row>
    <row r="434" spans="1:10" ht="15.75">
      <c r="A434" s="4"/>
      <c r="B434" s="4"/>
      <c r="C434" s="4"/>
      <c r="D434" s="4"/>
      <c r="E434" s="4"/>
      <c r="J434" s="7"/>
    </row>
    <row r="435" spans="1:10" ht="15.75">
      <c r="A435" s="4"/>
      <c r="B435" s="4"/>
      <c r="C435" s="4"/>
      <c r="D435" s="4"/>
      <c r="E435" s="4"/>
      <c r="J435" s="7"/>
    </row>
    <row r="436" spans="1:10" ht="15.75">
      <c r="A436" s="4"/>
      <c r="B436" s="4"/>
      <c r="C436" s="4"/>
      <c r="D436" s="4"/>
      <c r="E436" s="4"/>
      <c r="J436" s="7"/>
    </row>
    <row r="437" spans="1:10" ht="15.75">
      <c r="A437" s="4"/>
      <c r="B437" s="4"/>
      <c r="C437" s="4"/>
      <c r="D437" s="4"/>
      <c r="E437" s="4"/>
      <c r="J437" s="7"/>
    </row>
    <row r="438" spans="1:10" ht="15.75">
      <c r="A438" s="4"/>
      <c r="B438" s="4"/>
      <c r="C438" s="4"/>
      <c r="D438" s="4"/>
      <c r="E438" s="4"/>
      <c r="J438" s="7"/>
    </row>
    <row r="439" spans="1:10" ht="15.75">
      <c r="A439" s="4"/>
      <c r="B439" s="4"/>
      <c r="C439" s="4"/>
      <c r="D439" s="4"/>
      <c r="E439" s="4"/>
      <c r="J439" s="7"/>
    </row>
    <row r="440" spans="1:10" ht="15.75">
      <c r="A440" s="4"/>
      <c r="B440" s="4"/>
      <c r="C440" s="4"/>
      <c r="D440" s="4"/>
      <c r="E440" s="4"/>
      <c r="J440" s="7"/>
    </row>
    <row r="441" spans="1:10" ht="15.75">
      <c r="A441" s="4"/>
      <c r="B441" s="4"/>
      <c r="C441" s="4"/>
      <c r="D441" s="4"/>
      <c r="E441" s="4"/>
      <c r="J441" s="7"/>
    </row>
    <row r="442" spans="1:10" ht="15.75">
      <c r="A442" s="4"/>
      <c r="B442" s="4"/>
      <c r="C442" s="4"/>
      <c r="D442" s="4"/>
      <c r="E442" s="4"/>
      <c r="J442" s="7"/>
    </row>
    <row r="443" spans="1:10" ht="15.75">
      <c r="A443" s="4"/>
      <c r="B443" s="4"/>
      <c r="C443" s="4"/>
      <c r="D443" s="4"/>
      <c r="E443" s="4"/>
      <c r="J443" s="7"/>
    </row>
    <row r="444" spans="1:10" ht="15.75">
      <c r="A444" s="4"/>
      <c r="B444" s="4"/>
      <c r="C444" s="4"/>
      <c r="D444" s="4"/>
      <c r="E444" s="4"/>
      <c r="J444" s="7"/>
    </row>
    <row r="445" spans="1:10" ht="15.75">
      <c r="A445" s="4"/>
      <c r="B445" s="4"/>
      <c r="C445" s="4"/>
      <c r="D445" s="4"/>
      <c r="E445" s="4"/>
      <c r="J445" s="7"/>
    </row>
    <row r="446" spans="1:10" ht="15.75">
      <c r="A446" s="4"/>
      <c r="B446" s="4"/>
      <c r="C446" s="4"/>
      <c r="D446" s="4"/>
      <c r="E446" s="4"/>
      <c r="J446" s="7"/>
    </row>
    <row r="447" spans="1:10" ht="15.75">
      <c r="A447" s="4"/>
      <c r="B447" s="4"/>
      <c r="C447" s="4"/>
      <c r="D447" s="4"/>
      <c r="E447" s="4"/>
      <c r="J447" s="7"/>
    </row>
    <row r="448" spans="1:10" ht="15.75">
      <c r="A448" s="4"/>
      <c r="B448" s="4"/>
      <c r="C448" s="4"/>
      <c r="D448" s="4"/>
      <c r="E448" s="4"/>
      <c r="J448" s="7"/>
    </row>
    <row r="449" spans="1:10" ht="15.75">
      <c r="A449" s="4"/>
      <c r="B449" s="4"/>
      <c r="C449" s="4"/>
      <c r="D449" s="4"/>
      <c r="E449" s="4"/>
      <c r="J449" s="7"/>
    </row>
    <row r="450" spans="1:10" ht="15.75">
      <c r="A450" s="4"/>
      <c r="B450" s="4"/>
      <c r="C450" s="4"/>
      <c r="D450" s="4"/>
      <c r="E450" s="4"/>
      <c r="J450" s="7"/>
    </row>
    <row r="451" spans="1:10" ht="15.75">
      <c r="A451" s="4"/>
      <c r="B451" s="4"/>
      <c r="C451" s="4"/>
      <c r="D451" s="4"/>
      <c r="E451" s="4"/>
      <c r="J451" s="7"/>
    </row>
    <row r="452" spans="1:10" ht="15.75">
      <c r="A452" s="4"/>
      <c r="B452" s="4"/>
      <c r="C452" s="4"/>
      <c r="D452" s="4"/>
      <c r="E452" s="4"/>
      <c r="J452" s="7"/>
    </row>
    <row r="453" spans="1:10" ht="15.75">
      <c r="A453" s="4"/>
      <c r="B453" s="4"/>
      <c r="C453" s="4"/>
      <c r="D453" s="4"/>
      <c r="E453" s="4"/>
      <c r="J453" s="7"/>
    </row>
    <row r="454" spans="1:10" ht="15.75">
      <c r="A454" s="4"/>
      <c r="B454" s="4"/>
      <c r="C454" s="4"/>
      <c r="D454" s="4"/>
      <c r="E454" s="4"/>
      <c r="J454" s="7"/>
    </row>
    <row r="455" spans="1:10" ht="15.75">
      <c r="A455" s="4"/>
      <c r="B455" s="4"/>
      <c r="C455" s="4"/>
      <c r="D455" s="4"/>
      <c r="E455" s="4"/>
      <c r="J455" s="7"/>
    </row>
    <row r="456" spans="1:10" ht="15.75">
      <c r="A456" s="4"/>
      <c r="B456" s="4"/>
      <c r="C456" s="4"/>
      <c r="D456" s="4"/>
      <c r="E456" s="4"/>
      <c r="J456" s="7"/>
    </row>
    <row r="457" spans="1:10" ht="15.75">
      <c r="A457" s="4"/>
      <c r="B457" s="4"/>
      <c r="C457" s="4"/>
      <c r="D457" s="4"/>
      <c r="E457" s="4"/>
      <c r="J457" s="7"/>
    </row>
    <row r="458" spans="1:10" ht="15.75">
      <c r="A458" s="4"/>
      <c r="B458" s="4"/>
      <c r="C458" s="4"/>
      <c r="D458" s="4"/>
      <c r="E458" s="4"/>
      <c r="J458" s="7"/>
    </row>
    <row r="459" spans="1:10" ht="15.75">
      <c r="A459" s="4"/>
      <c r="B459" s="4"/>
      <c r="C459" s="4"/>
      <c r="D459" s="4"/>
      <c r="E459" s="4"/>
      <c r="J459" s="7"/>
    </row>
    <row r="460" spans="1:10" ht="15.75">
      <c r="A460" s="4"/>
      <c r="B460" s="4"/>
      <c r="C460" s="4"/>
      <c r="D460" s="4"/>
      <c r="E460" s="4"/>
      <c r="J460" s="7"/>
    </row>
    <row r="461" spans="1:10" ht="15.75">
      <c r="A461" s="4"/>
      <c r="B461" s="4"/>
      <c r="C461" s="4"/>
      <c r="D461" s="4"/>
      <c r="E461" s="4"/>
      <c r="J461" s="7"/>
    </row>
    <row r="462" spans="1:10" ht="15.75">
      <c r="A462" s="4"/>
      <c r="B462" s="4"/>
      <c r="C462" s="4"/>
      <c r="D462" s="4"/>
      <c r="E462" s="4"/>
      <c r="J462" s="7"/>
    </row>
    <row r="463" spans="1:10" ht="15.75">
      <c r="A463" s="4"/>
      <c r="B463" s="4"/>
      <c r="C463" s="4"/>
      <c r="D463" s="4"/>
      <c r="E463" s="4"/>
      <c r="J463" s="7"/>
    </row>
    <row r="464" spans="1:10" ht="15.75">
      <c r="A464" s="4"/>
      <c r="B464" s="4"/>
      <c r="C464" s="4"/>
      <c r="D464" s="4"/>
      <c r="E464" s="4"/>
      <c r="J464" s="7"/>
    </row>
    <row r="465" spans="1:10" ht="15.75">
      <c r="A465" s="4"/>
      <c r="B465" s="4"/>
      <c r="C465" s="4"/>
      <c r="D465" s="4"/>
      <c r="E465" s="4"/>
      <c r="J465" s="7"/>
    </row>
    <row r="466" spans="1:10" ht="15.75">
      <c r="A466" s="4"/>
      <c r="B466" s="4"/>
      <c r="C466" s="4"/>
      <c r="D466" s="4"/>
      <c r="E466" s="4"/>
      <c r="J466" s="7"/>
    </row>
    <row r="467" spans="1:10" ht="15.75">
      <c r="A467" s="4"/>
      <c r="B467" s="4"/>
      <c r="C467" s="4"/>
      <c r="D467" s="4"/>
      <c r="E467" s="4"/>
      <c r="J467" s="7"/>
    </row>
    <row r="468" spans="1:10" ht="15.75">
      <c r="A468" s="4"/>
      <c r="B468" s="4"/>
      <c r="C468" s="4"/>
      <c r="D468" s="4"/>
      <c r="E468" s="4"/>
      <c r="J468" s="7"/>
    </row>
    <row r="469" spans="1:10" ht="15.75">
      <c r="A469" s="4"/>
      <c r="B469" s="4"/>
      <c r="C469" s="4"/>
      <c r="D469" s="4"/>
      <c r="E469" s="4"/>
      <c r="J469" s="7"/>
    </row>
    <row r="470" spans="1:10" ht="15.75">
      <c r="A470" s="4"/>
      <c r="B470" s="4"/>
      <c r="C470" s="4"/>
      <c r="D470" s="4"/>
      <c r="E470" s="4"/>
      <c r="J470" s="7"/>
    </row>
    <row r="471" spans="1:10" ht="15.75">
      <c r="A471" s="4"/>
      <c r="B471" s="4"/>
      <c r="C471" s="4"/>
      <c r="D471" s="4"/>
      <c r="E471" s="4"/>
      <c r="J471" s="7"/>
    </row>
    <row r="472" spans="1:10" ht="15.75">
      <c r="A472" s="4"/>
      <c r="B472" s="4"/>
      <c r="C472" s="4"/>
      <c r="D472" s="4"/>
      <c r="E472" s="4"/>
      <c r="J472" s="7"/>
    </row>
    <row r="473" spans="1:10" ht="15.75">
      <c r="A473" s="4"/>
      <c r="B473" s="4"/>
      <c r="C473" s="4"/>
      <c r="D473" s="4"/>
      <c r="E473" s="4"/>
      <c r="J473" s="7"/>
    </row>
    <row r="474" spans="1:10" ht="15.75">
      <c r="A474" s="4"/>
      <c r="B474" s="4"/>
      <c r="C474" s="4"/>
      <c r="D474" s="4"/>
      <c r="E474" s="4"/>
      <c r="J474" s="7"/>
    </row>
    <row r="475" spans="1:10" ht="15.75">
      <c r="A475" s="4"/>
      <c r="B475" s="4"/>
      <c r="C475" s="4"/>
      <c r="D475" s="4"/>
      <c r="E475" s="4"/>
      <c r="J475" s="7"/>
    </row>
    <row r="476" spans="1:10" ht="15.75">
      <c r="A476" s="4"/>
      <c r="B476" s="4"/>
      <c r="C476" s="4"/>
      <c r="D476" s="4"/>
      <c r="E476" s="4"/>
      <c r="J476" s="7"/>
    </row>
    <row r="477" spans="1:10" ht="15.75">
      <c r="A477" s="4"/>
      <c r="B477" s="4"/>
      <c r="C477" s="4"/>
      <c r="D477" s="4"/>
      <c r="E477" s="4"/>
      <c r="J477" s="7"/>
    </row>
    <row r="478" spans="1:10" ht="15.75">
      <c r="A478" s="4"/>
      <c r="B478" s="4"/>
      <c r="C478" s="4"/>
      <c r="D478" s="4"/>
      <c r="E478" s="4"/>
      <c r="J478" s="7"/>
    </row>
    <row r="479" spans="1:10" ht="15.75">
      <c r="A479" s="4"/>
      <c r="B479" s="4"/>
      <c r="C479" s="4"/>
      <c r="D479" s="4"/>
      <c r="E479" s="4"/>
      <c r="J479" s="7"/>
    </row>
    <row r="480" spans="1:10" ht="15.75">
      <c r="A480" s="4"/>
      <c r="B480" s="4"/>
      <c r="C480" s="4"/>
      <c r="D480" s="4"/>
      <c r="E480" s="4"/>
      <c r="J480" s="7"/>
    </row>
    <row r="481" spans="1:10" ht="15.75">
      <c r="A481" s="4"/>
      <c r="B481" s="4"/>
      <c r="C481" s="4"/>
      <c r="D481" s="4"/>
      <c r="E481" s="4"/>
      <c r="J481" s="7"/>
    </row>
    <row r="482" spans="1:10" ht="15.75">
      <c r="A482" s="4"/>
      <c r="B482" s="4"/>
      <c r="C482" s="4"/>
      <c r="D482" s="4"/>
      <c r="E482" s="4"/>
      <c r="J482" s="7"/>
    </row>
    <row r="483" spans="1:10" ht="15.75">
      <c r="A483" s="4"/>
      <c r="B483" s="4"/>
      <c r="C483" s="4"/>
      <c r="D483" s="4"/>
      <c r="E483" s="4"/>
      <c r="J483" s="7"/>
    </row>
    <row r="484" spans="1:10" ht="15.75">
      <c r="A484" s="4"/>
      <c r="B484" s="4"/>
      <c r="C484" s="4"/>
      <c r="D484" s="4"/>
      <c r="E484" s="4"/>
      <c r="J484" s="7"/>
    </row>
    <row r="485" spans="1:10" ht="15.75">
      <c r="A485" s="4"/>
      <c r="B485" s="4"/>
      <c r="C485" s="4"/>
      <c r="D485" s="4"/>
      <c r="E485" s="4"/>
      <c r="J485" s="7"/>
    </row>
    <row r="486" spans="1:10" ht="15.75">
      <c r="A486" s="4"/>
      <c r="B486" s="4"/>
      <c r="C486" s="4"/>
      <c r="D486" s="4"/>
      <c r="E486" s="4"/>
      <c r="J486" s="7"/>
    </row>
    <row r="487" spans="1:10" ht="15.75">
      <c r="A487" s="4"/>
      <c r="B487" s="4"/>
      <c r="C487" s="4"/>
      <c r="D487" s="4"/>
      <c r="E487" s="4"/>
      <c r="J487" s="7"/>
    </row>
    <row r="488" spans="1:10" ht="15.75">
      <c r="A488" s="4"/>
      <c r="B488" s="4"/>
      <c r="C488" s="4"/>
      <c r="D488" s="4"/>
      <c r="E488" s="4"/>
      <c r="J488" s="7"/>
    </row>
    <row r="489" spans="1:10" ht="15.75">
      <c r="A489" s="4"/>
      <c r="B489" s="4"/>
      <c r="C489" s="4"/>
      <c r="D489" s="4"/>
      <c r="E489" s="4"/>
      <c r="J489" s="7"/>
    </row>
    <row r="490" spans="1:10" ht="15.75">
      <c r="A490" s="4"/>
      <c r="B490" s="4"/>
      <c r="C490" s="4"/>
      <c r="D490" s="4"/>
      <c r="E490" s="4"/>
      <c r="J490" s="7"/>
    </row>
    <row r="491" spans="1:10" ht="15.75">
      <c r="A491" s="4"/>
      <c r="B491" s="4"/>
      <c r="C491" s="4"/>
      <c r="D491" s="4"/>
      <c r="E491" s="4"/>
      <c r="J491" s="7"/>
    </row>
    <row r="492" spans="1:10" ht="15.75">
      <c r="A492" s="4"/>
      <c r="B492" s="4"/>
      <c r="C492" s="4"/>
      <c r="D492" s="4"/>
      <c r="E492" s="4"/>
      <c r="J492" s="7"/>
    </row>
    <row r="493" spans="1:10" ht="15.75">
      <c r="A493" s="4"/>
      <c r="B493" s="4"/>
      <c r="C493" s="4"/>
      <c r="D493" s="4"/>
      <c r="E493" s="4"/>
      <c r="J493" s="7"/>
    </row>
    <row r="494" spans="1:10" ht="15.75">
      <c r="A494" s="4"/>
      <c r="B494" s="4"/>
      <c r="C494" s="4"/>
      <c r="D494" s="4"/>
      <c r="E494" s="4"/>
      <c r="J494" s="7"/>
    </row>
    <row r="495" spans="1:10" ht="15.75">
      <c r="A495" s="4"/>
      <c r="B495" s="4"/>
      <c r="C495" s="4"/>
      <c r="D495" s="4"/>
      <c r="E495" s="4"/>
      <c r="J495" s="7"/>
    </row>
    <row r="496" spans="1:10" ht="15.75">
      <c r="A496" s="4"/>
      <c r="B496" s="4"/>
      <c r="C496" s="4"/>
      <c r="D496" s="4"/>
      <c r="E496" s="4"/>
      <c r="J496" s="7"/>
    </row>
    <row r="497" spans="1:10" ht="15.75">
      <c r="A497" s="4"/>
      <c r="B497" s="4"/>
      <c r="C497" s="4"/>
      <c r="D497" s="4"/>
      <c r="E497" s="4"/>
      <c r="J497" s="7"/>
    </row>
    <row r="498" spans="1:10" ht="15.75">
      <c r="A498" s="4"/>
      <c r="B498" s="4"/>
      <c r="C498" s="4"/>
      <c r="D498" s="4"/>
      <c r="E498" s="4"/>
      <c r="J498" s="7"/>
    </row>
    <row r="499" spans="1:10" ht="15.75">
      <c r="A499" s="4"/>
      <c r="B499" s="4"/>
      <c r="C499" s="4"/>
      <c r="D499" s="4"/>
      <c r="E499" s="4"/>
      <c r="J499" s="7"/>
    </row>
    <row r="500" spans="1:10" ht="15.75">
      <c r="A500" s="4"/>
      <c r="B500" s="4"/>
      <c r="C500" s="4"/>
      <c r="D500" s="4"/>
      <c r="E500" s="4"/>
      <c r="J500" s="7"/>
    </row>
    <row r="501" spans="1:10" ht="15.75">
      <c r="A501" s="4"/>
      <c r="B501" s="4"/>
      <c r="C501" s="4"/>
      <c r="D501" s="4"/>
      <c r="E501" s="4"/>
      <c r="J501" s="7"/>
    </row>
    <row r="502" spans="1:10" ht="15.75">
      <c r="A502" s="4"/>
      <c r="B502" s="4"/>
      <c r="C502" s="4"/>
      <c r="D502" s="4"/>
      <c r="E502" s="4"/>
      <c r="J502" s="7"/>
    </row>
    <row r="503" spans="1:10" ht="15.75">
      <c r="A503" s="4"/>
      <c r="B503" s="4"/>
      <c r="C503" s="4"/>
      <c r="D503" s="4"/>
      <c r="E503" s="4"/>
      <c r="J503" s="7"/>
    </row>
    <row r="504" spans="1:10" ht="15.75">
      <c r="A504" s="4"/>
      <c r="B504" s="4"/>
      <c r="C504" s="4"/>
      <c r="D504" s="4"/>
      <c r="E504" s="4"/>
      <c r="J504" s="7"/>
    </row>
    <row r="505" spans="1:10" ht="15.75">
      <c r="A505" s="4"/>
      <c r="B505" s="4"/>
      <c r="C505" s="4"/>
      <c r="D505" s="4"/>
      <c r="E505" s="4"/>
      <c r="J505" s="7"/>
    </row>
    <row r="506" spans="1:10" ht="15.75">
      <c r="A506" s="4"/>
      <c r="B506" s="4"/>
      <c r="C506" s="4"/>
      <c r="D506" s="4"/>
      <c r="E506" s="4"/>
      <c r="J506" s="7"/>
    </row>
    <row r="507" spans="1:10" ht="15.75">
      <c r="A507" s="4"/>
      <c r="B507" s="4"/>
      <c r="C507" s="4"/>
      <c r="D507" s="4"/>
      <c r="E507" s="4"/>
      <c r="J507" s="7"/>
    </row>
    <row r="508" spans="1:10" ht="15.75">
      <c r="A508" s="4"/>
      <c r="B508" s="4"/>
      <c r="C508" s="4"/>
      <c r="D508" s="4"/>
      <c r="E508" s="4"/>
      <c r="J508" s="7"/>
    </row>
    <row r="509" spans="1:10" ht="15.75">
      <c r="A509" s="4"/>
      <c r="B509" s="4"/>
      <c r="C509" s="4"/>
      <c r="D509" s="4"/>
      <c r="E509" s="4"/>
      <c r="J509" s="7"/>
    </row>
    <row r="510" spans="1:10" ht="15.75">
      <c r="A510" s="4"/>
      <c r="B510" s="4"/>
      <c r="C510" s="4"/>
      <c r="D510" s="4"/>
      <c r="E510" s="4"/>
      <c r="J510" s="7"/>
    </row>
    <row r="511" spans="1:10" ht="15.75">
      <c r="A511" s="4"/>
      <c r="B511" s="4"/>
      <c r="C511" s="4"/>
      <c r="D511" s="4"/>
      <c r="E511" s="4"/>
      <c r="J511" s="7"/>
    </row>
    <row r="512" spans="1:10" ht="15.75">
      <c r="A512" s="4"/>
      <c r="B512" s="4"/>
      <c r="C512" s="4"/>
      <c r="D512" s="4"/>
      <c r="E512" s="4"/>
      <c r="J512" s="7"/>
    </row>
    <row r="513" spans="1:10" ht="15.75">
      <c r="A513" s="4"/>
      <c r="B513" s="4"/>
      <c r="C513" s="4"/>
      <c r="D513" s="4"/>
      <c r="E513" s="4"/>
      <c r="J513" s="7"/>
    </row>
    <row r="514" spans="1:10" ht="15.75">
      <c r="A514" s="4"/>
      <c r="B514" s="4"/>
      <c r="C514" s="4"/>
      <c r="D514" s="4"/>
      <c r="E514" s="4"/>
      <c r="J514" s="7"/>
    </row>
    <row r="515" spans="1:10" ht="15.75">
      <c r="A515" s="4"/>
      <c r="B515" s="4"/>
      <c r="C515" s="4"/>
      <c r="D515" s="4"/>
      <c r="E515" s="4"/>
      <c r="J515" s="7"/>
    </row>
    <row r="516" spans="1:10" ht="15.75">
      <c r="A516" s="4"/>
      <c r="B516" s="4"/>
      <c r="C516" s="4"/>
      <c r="D516" s="4"/>
      <c r="E516" s="4"/>
      <c r="J516" s="7"/>
    </row>
    <row r="517" spans="1:10" ht="15.75">
      <c r="A517" s="4"/>
      <c r="B517" s="4"/>
      <c r="C517" s="4"/>
      <c r="D517" s="4"/>
      <c r="E517" s="4"/>
      <c r="J517" s="7"/>
    </row>
    <row r="518" spans="1:10" ht="15.75">
      <c r="A518" s="4"/>
      <c r="B518" s="4"/>
      <c r="C518" s="4"/>
      <c r="D518" s="4"/>
      <c r="E518" s="4"/>
      <c r="J518" s="7"/>
    </row>
    <row r="519" spans="1:10" ht="15.75">
      <c r="A519" s="4"/>
      <c r="B519" s="4"/>
      <c r="C519" s="4"/>
      <c r="D519" s="4"/>
      <c r="E519" s="4"/>
      <c r="J519" s="7"/>
    </row>
    <row r="520" spans="1:10" ht="15.75">
      <c r="A520" s="4"/>
      <c r="B520" s="4"/>
      <c r="C520" s="4"/>
      <c r="D520" s="4"/>
      <c r="E520" s="4"/>
      <c r="J520" s="7"/>
    </row>
    <row r="521" spans="1:10" ht="15.75">
      <c r="A521" s="4"/>
      <c r="B521" s="4"/>
      <c r="C521" s="4"/>
      <c r="D521" s="4"/>
      <c r="E521" s="4"/>
      <c r="J521" s="7"/>
    </row>
    <row r="522" spans="1:10" ht="15.75">
      <c r="A522" s="4"/>
      <c r="B522" s="4"/>
      <c r="C522" s="4"/>
      <c r="D522" s="4"/>
      <c r="E522" s="4"/>
      <c r="J522" s="7"/>
    </row>
    <row r="523" spans="1:10" ht="15.75">
      <c r="A523" s="4"/>
      <c r="B523" s="4"/>
      <c r="C523" s="4"/>
      <c r="D523" s="4"/>
      <c r="E523" s="4"/>
      <c r="J523" s="7"/>
    </row>
    <row r="524" spans="1:10" ht="15.75">
      <c r="A524" s="4"/>
      <c r="B524" s="4"/>
      <c r="C524" s="4"/>
      <c r="D524" s="4"/>
      <c r="E524" s="4"/>
      <c r="J524" s="7"/>
    </row>
    <row r="525" spans="1:10" ht="15.75">
      <c r="A525" s="4"/>
      <c r="B525" s="4"/>
      <c r="C525" s="4"/>
      <c r="D525" s="4"/>
      <c r="E525" s="4"/>
      <c r="J525" s="7"/>
    </row>
    <row r="526" spans="1:10" ht="15.75">
      <c r="A526" s="4"/>
      <c r="B526" s="4"/>
      <c r="C526" s="4"/>
      <c r="D526" s="4"/>
      <c r="E526" s="4"/>
      <c r="J526" s="7"/>
    </row>
    <row r="527" spans="1:10" ht="15.75">
      <c r="A527" s="4"/>
      <c r="B527" s="4"/>
      <c r="C527" s="4"/>
      <c r="D527" s="4"/>
      <c r="E527" s="4"/>
      <c r="J527" s="7"/>
    </row>
    <row r="528" spans="1:10" ht="15.75">
      <c r="A528" s="4"/>
      <c r="B528" s="4"/>
      <c r="C528" s="4"/>
      <c r="D528" s="4"/>
      <c r="E528" s="4"/>
      <c r="J528" s="7"/>
    </row>
    <row r="529" spans="1:10" ht="15.75">
      <c r="A529" s="4"/>
      <c r="B529" s="4"/>
      <c r="C529" s="4"/>
      <c r="D529" s="4"/>
      <c r="E529" s="4"/>
      <c r="J529" s="7"/>
    </row>
    <row r="530" spans="1:10" ht="15.75">
      <c r="A530" s="4"/>
      <c r="B530" s="4"/>
      <c r="C530" s="4"/>
      <c r="D530" s="4"/>
      <c r="E530" s="4"/>
      <c r="J530" s="7"/>
    </row>
    <row r="531" spans="1:10" ht="15.75">
      <c r="A531" s="4"/>
      <c r="B531" s="4"/>
      <c r="C531" s="4"/>
      <c r="D531" s="4"/>
      <c r="E531" s="4"/>
      <c r="J531" s="7"/>
    </row>
    <row r="532" spans="1:10" ht="15.75">
      <c r="A532" s="4"/>
      <c r="B532" s="4"/>
      <c r="C532" s="4"/>
      <c r="D532" s="4"/>
      <c r="E532" s="4"/>
      <c r="J532" s="7"/>
    </row>
    <row r="533" spans="1:10" ht="15.75">
      <c r="A533" s="4"/>
      <c r="B533" s="4"/>
      <c r="C533" s="4"/>
      <c r="D533" s="4"/>
      <c r="E533" s="4"/>
      <c r="J533" s="7"/>
    </row>
    <row r="534" spans="1:10" ht="15.75">
      <c r="A534" s="4"/>
      <c r="B534" s="4"/>
      <c r="C534" s="4"/>
      <c r="D534" s="4"/>
      <c r="E534" s="4"/>
      <c r="J534" s="7"/>
    </row>
    <row r="535" spans="1:10" ht="15.75">
      <c r="A535" s="4"/>
      <c r="B535" s="4"/>
      <c r="C535" s="4"/>
      <c r="D535" s="4"/>
      <c r="E535" s="4"/>
      <c r="J535" s="7"/>
    </row>
    <row r="536" spans="1:10" ht="15.75">
      <c r="A536" s="4"/>
      <c r="B536" s="4"/>
      <c r="C536" s="4"/>
      <c r="D536" s="4"/>
      <c r="E536" s="4"/>
      <c r="J536" s="7"/>
    </row>
    <row r="537" spans="1:10" ht="15.75">
      <c r="A537" s="4"/>
      <c r="B537" s="4"/>
      <c r="C537" s="4"/>
      <c r="D537" s="4"/>
      <c r="E537" s="4"/>
      <c r="J537" s="7"/>
    </row>
    <row r="538" spans="1:10" ht="15.75">
      <c r="A538" s="4"/>
      <c r="B538" s="4"/>
      <c r="C538" s="4"/>
      <c r="D538" s="4"/>
      <c r="E538" s="4"/>
      <c r="J538" s="7"/>
    </row>
    <row r="539" spans="1:10" ht="15.75">
      <c r="A539" s="4"/>
      <c r="B539" s="4"/>
      <c r="C539" s="4"/>
      <c r="D539" s="4"/>
      <c r="E539" s="4"/>
      <c r="J539" s="7"/>
    </row>
    <row r="540" spans="1:10" ht="15.75">
      <c r="A540" s="4"/>
      <c r="B540" s="4"/>
      <c r="C540" s="4"/>
      <c r="D540" s="4"/>
      <c r="E540" s="4"/>
      <c r="J540" s="7"/>
    </row>
    <row r="541" spans="1:10" ht="15.75">
      <c r="A541" s="4"/>
      <c r="B541" s="4"/>
      <c r="C541" s="4"/>
      <c r="D541" s="4"/>
      <c r="E541" s="4"/>
      <c r="J541" s="7"/>
    </row>
    <row r="542" spans="1:10" ht="15.75">
      <c r="A542" s="4"/>
      <c r="B542" s="4"/>
      <c r="C542" s="4"/>
      <c r="D542" s="4"/>
      <c r="E542" s="4"/>
      <c r="J542" s="7"/>
    </row>
    <row r="543" spans="1:10" ht="15.75">
      <c r="A543" s="4"/>
      <c r="B543" s="4"/>
      <c r="C543" s="4"/>
      <c r="D543" s="4"/>
      <c r="E543" s="4"/>
      <c r="J543" s="7"/>
    </row>
    <row r="544" spans="1:10" ht="15.75">
      <c r="A544" s="4"/>
      <c r="B544" s="4"/>
      <c r="C544" s="4"/>
      <c r="D544" s="4"/>
      <c r="E544" s="4"/>
      <c r="J544" s="7"/>
    </row>
    <row r="545" spans="1:10" ht="15.75">
      <c r="A545" s="4"/>
      <c r="B545" s="4"/>
      <c r="C545" s="4"/>
      <c r="D545" s="4"/>
      <c r="E545" s="4"/>
      <c r="J545" s="7"/>
    </row>
    <row r="546" spans="1:10" ht="15.75">
      <c r="A546" s="4"/>
      <c r="B546" s="4"/>
      <c r="C546" s="4"/>
      <c r="D546" s="4"/>
      <c r="E546" s="4"/>
      <c r="J546" s="7"/>
    </row>
    <row r="547" spans="1:10" ht="15.75">
      <c r="A547" s="4"/>
      <c r="B547" s="4"/>
      <c r="C547" s="4"/>
      <c r="D547" s="4"/>
      <c r="E547" s="4"/>
      <c r="J547" s="7"/>
    </row>
    <row r="548" spans="1:10" ht="15.75">
      <c r="A548" s="4"/>
      <c r="B548" s="4"/>
      <c r="C548" s="4"/>
      <c r="D548" s="4"/>
      <c r="E548" s="4"/>
      <c r="J548" s="7"/>
    </row>
    <row r="549" spans="1:10" ht="15.75">
      <c r="A549" s="4"/>
      <c r="B549" s="4"/>
      <c r="C549" s="4"/>
      <c r="D549" s="4"/>
      <c r="E549" s="4"/>
      <c r="J549" s="7"/>
    </row>
    <row r="550" spans="1:10" ht="15.75">
      <c r="A550" s="4"/>
      <c r="B550" s="4"/>
      <c r="C550" s="4"/>
      <c r="D550" s="4"/>
      <c r="E550" s="4"/>
      <c r="J550" s="7"/>
    </row>
    <row r="551" spans="1:10" ht="15.75">
      <c r="A551" s="4"/>
      <c r="B551" s="4"/>
      <c r="C551" s="4"/>
      <c r="D551" s="4"/>
      <c r="E551" s="4"/>
      <c r="J551" s="7"/>
    </row>
    <row r="552" spans="1:10" ht="15.75">
      <c r="A552" s="4"/>
      <c r="B552" s="4"/>
      <c r="C552" s="4"/>
      <c r="D552" s="4"/>
      <c r="E552" s="4"/>
      <c r="J552" s="7"/>
    </row>
    <row r="553" spans="1:10" ht="15.75">
      <c r="A553" s="4"/>
      <c r="B553" s="4"/>
      <c r="C553" s="4"/>
      <c r="D553" s="4"/>
      <c r="E553" s="4"/>
      <c r="J553" s="7"/>
    </row>
    <row r="554" spans="1:10" ht="15.75">
      <c r="A554" s="4"/>
      <c r="B554" s="4"/>
      <c r="C554" s="4"/>
      <c r="D554" s="4"/>
      <c r="E554" s="4"/>
      <c r="J554" s="7"/>
    </row>
    <row r="555" spans="1:10" ht="15.75">
      <c r="A555" s="4"/>
      <c r="B555" s="4"/>
      <c r="C555" s="4"/>
      <c r="D555" s="4"/>
      <c r="E555" s="4"/>
      <c r="J555" s="7"/>
    </row>
    <row r="556" spans="1:10" ht="15.75">
      <c r="A556" s="4"/>
      <c r="B556" s="4"/>
      <c r="C556" s="4"/>
      <c r="D556" s="4"/>
      <c r="E556" s="4"/>
      <c r="J556" s="7"/>
    </row>
    <row r="557" spans="1:10" ht="15.75">
      <c r="A557" s="4"/>
      <c r="B557" s="4"/>
      <c r="C557" s="4"/>
      <c r="D557" s="4"/>
      <c r="E557" s="4"/>
      <c r="J557" s="7"/>
    </row>
    <row r="558" spans="1:10" ht="15.75">
      <c r="A558" s="4"/>
      <c r="B558" s="4"/>
      <c r="C558" s="4"/>
      <c r="D558" s="4"/>
      <c r="E558" s="4"/>
      <c r="J558" s="7"/>
    </row>
    <row r="559" spans="1:10" ht="15.75">
      <c r="A559" s="4"/>
      <c r="B559" s="4"/>
      <c r="C559" s="4"/>
      <c r="D559" s="4"/>
      <c r="E559" s="4"/>
      <c r="J559" s="7"/>
    </row>
    <row r="560" spans="1:10" ht="15.75">
      <c r="A560" s="4"/>
      <c r="B560" s="4"/>
      <c r="C560" s="4"/>
      <c r="D560" s="4"/>
      <c r="E560" s="4"/>
      <c r="J560" s="7"/>
    </row>
    <row r="561" spans="1:10" ht="15.75">
      <c r="A561" s="4"/>
      <c r="B561" s="4"/>
      <c r="C561" s="4"/>
      <c r="D561" s="4"/>
      <c r="E561" s="4"/>
      <c r="J561" s="7"/>
    </row>
    <row r="562" spans="1:10" ht="15.75">
      <c r="A562" s="4"/>
      <c r="B562" s="4"/>
      <c r="C562" s="4"/>
      <c r="D562" s="4"/>
      <c r="E562" s="4"/>
      <c r="J562" s="7"/>
    </row>
    <row r="563" spans="1:10" ht="15.75">
      <c r="A563" s="4"/>
      <c r="B563" s="4"/>
      <c r="C563" s="4"/>
      <c r="D563" s="4"/>
      <c r="E563" s="4"/>
      <c r="J563" s="7"/>
    </row>
    <row r="564" spans="1:10" ht="15.75">
      <c r="A564" s="4"/>
      <c r="B564" s="4"/>
      <c r="C564" s="4"/>
      <c r="D564" s="4"/>
      <c r="E564" s="4"/>
      <c r="J564" s="7"/>
    </row>
    <row r="565" spans="1:10" ht="15.75">
      <c r="A565" s="4"/>
      <c r="B565" s="4"/>
      <c r="C565" s="4"/>
      <c r="D565" s="4"/>
      <c r="E565" s="4"/>
      <c r="J565" s="7"/>
    </row>
    <row r="566" spans="1:10" ht="15.75">
      <c r="A566" s="4"/>
      <c r="B566" s="4"/>
      <c r="C566" s="4"/>
      <c r="D566" s="4"/>
      <c r="E566" s="4"/>
      <c r="J566" s="7"/>
    </row>
    <row r="567" spans="1:10" ht="15.75">
      <c r="A567" s="4"/>
      <c r="B567" s="4"/>
      <c r="C567" s="4"/>
      <c r="D567" s="4"/>
      <c r="E567" s="4"/>
      <c r="J567" s="7"/>
    </row>
    <row r="568" spans="1:10" ht="15.75">
      <c r="A568" s="4"/>
      <c r="B568" s="4"/>
      <c r="C568" s="4"/>
      <c r="D568" s="4"/>
      <c r="E568" s="4"/>
      <c r="J568" s="7"/>
    </row>
    <row r="569" spans="1:10" ht="15.75">
      <c r="A569" s="4"/>
      <c r="B569" s="4"/>
      <c r="C569" s="4"/>
      <c r="D569" s="4"/>
      <c r="E569" s="4"/>
      <c r="J569" s="7"/>
    </row>
    <row r="570" spans="1:10" ht="15.75">
      <c r="A570" s="4"/>
      <c r="B570" s="4"/>
      <c r="C570" s="4"/>
      <c r="D570" s="4"/>
      <c r="E570" s="4"/>
      <c r="J570" s="7"/>
    </row>
    <row r="571" spans="1:10" ht="15.75">
      <c r="A571" s="4"/>
      <c r="B571" s="4"/>
      <c r="C571" s="4"/>
      <c r="D571" s="4"/>
      <c r="E571" s="4"/>
      <c r="J571" s="7"/>
    </row>
    <row r="572" spans="1:10" ht="15.75">
      <c r="A572" s="4"/>
      <c r="B572" s="4"/>
      <c r="C572" s="4"/>
      <c r="D572" s="4"/>
      <c r="E572" s="4"/>
      <c r="J572" s="7"/>
    </row>
    <row r="573" spans="1:10" ht="15.75">
      <c r="A573" s="4"/>
      <c r="B573" s="4"/>
      <c r="C573" s="4"/>
      <c r="D573" s="4"/>
      <c r="E573" s="4"/>
      <c r="J573" s="7"/>
    </row>
    <row r="574" spans="1:10" ht="15.75">
      <c r="A574" s="4"/>
      <c r="B574" s="4"/>
      <c r="C574" s="4"/>
      <c r="D574" s="4"/>
      <c r="E574" s="4"/>
      <c r="J574" s="7"/>
    </row>
    <row r="575" spans="1:10" ht="15.75">
      <c r="A575" s="4"/>
      <c r="B575" s="4"/>
      <c r="C575" s="4"/>
      <c r="D575" s="4"/>
      <c r="E575" s="4"/>
      <c r="J575" s="7"/>
    </row>
    <row r="576" spans="1:10" ht="15.75">
      <c r="A576" s="4"/>
      <c r="B576" s="4"/>
      <c r="C576" s="4"/>
      <c r="D576" s="4"/>
      <c r="E576" s="4"/>
      <c r="J576" s="7"/>
    </row>
    <row r="577" spans="1:10" ht="15.75">
      <c r="A577" s="4"/>
      <c r="B577" s="4"/>
      <c r="C577" s="4"/>
      <c r="D577" s="4"/>
      <c r="E577" s="4"/>
      <c r="J577" s="7"/>
    </row>
    <row r="578" spans="1:10" ht="15.75">
      <c r="A578" s="4"/>
      <c r="B578" s="4"/>
      <c r="C578" s="4"/>
      <c r="D578" s="4"/>
      <c r="E578" s="4"/>
      <c r="J578" s="7"/>
    </row>
    <row r="579" spans="1:10" ht="15.75">
      <c r="A579" s="4"/>
      <c r="B579" s="4"/>
      <c r="C579" s="4"/>
      <c r="D579" s="4"/>
      <c r="E579" s="4"/>
      <c r="J579" s="7"/>
    </row>
    <row r="580" spans="1:10" ht="15.75">
      <c r="A580" s="4"/>
      <c r="B580" s="4"/>
      <c r="C580" s="4"/>
      <c r="D580" s="4"/>
      <c r="E580" s="4"/>
      <c r="J580" s="7"/>
    </row>
    <row r="581" spans="1:10" ht="15.75">
      <c r="A581" s="4"/>
      <c r="B581" s="4"/>
      <c r="C581" s="4"/>
      <c r="D581" s="4"/>
      <c r="E581" s="4"/>
      <c r="J581" s="7"/>
    </row>
    <row r="582" spans="1:10" ht="15.75">
      <c r="A582" s="4"/>
      <c r="B582" s="4"/>
      <c r="C582" s="4"/>
      <c r="D582" s="4"/>
      <c r="E582" s="4"/>
      <c r="J582" s="7"/>
    </row>
    <row r="583" spans="1:10" ht="15.75">
      <c r="A583" s="4"/>
      <c r="B583" s="4"/>
      <c r="C583" s="4"/>
      <c r="D583" s="4"/>
      <c r="E583" s="4"/>
      <c r="J583" s="7"/>
    </row>
    <row r="584" spans="1:10" ht="15.75">
      <c r="A584" s="4"/>
      <c r="B584" s="4"/>
      <c r="C584" s="4"/>
      <c r="D584" s="4"/>
      <c r="E584" s="4"/>
      <c r="J584" s="7"/>
    </row>
    <row r="585" spans="1:10" ht="15.75">
      <c r="A585" s="4"/>
      <c r="B585" s="4"/>
      <c r="C585" s="4"/>
      <c r="D585" s="4"/>
      <c r="E585" s="4"/>
      <c r="J585" s="7"/>
    </row>
    <row r="586" spans="1:10" ht="15.75">
      <c r="A586" s="4"/>
      <c r="B586" s="4"/>
      <c r="C586" s="4"/>
      <c r="D586" s="4"/>
      <c r="E586" s="4"/>
      <c r="J586" s="7"/>
    </row>
    <row r="587" spans="1:10" ht="15.75">
      <c r="A587" s="4"/>
      <c r="B587" s="4"/>
      <c r="C587" s="4"/>
      <c r="D587" s="4"/>
      <c r="E587" s="4"/>
      <c r="J587" s="7"/>
    </row>
    <row r="588" spans="1:10" ht="15.75">
      <c r="A588" s="4"/>
      <c r="B588" s="4"/>
      <c r="C588" s="4"/>
      <c r="D588" s="4"/>
      <c r="E588" s="4"/>
      <c r="J588" s="7"/>
    </row>
    <row r="589" spans="1:10" ht="15.75">
      <c r="A589" s="4"/>
      <c r="B589" s="4"/>
      <c r="C589" s="4"/>
      <c r="D589" s="4"/>
      <c r="E589" s="4"/>
      <c r="J589" s="7"/>
    </row>
    <row r="590" spans="1:10" ht="15.75">
      <c r="A590" s="4"/>
      <c r="B590" s="4"/>
      <c r="C590" s="4"/>
      <c r="D590" s="4"/>
      <c r="E590" s="4"/>
      <c r="J590" s="7"/>
    </row>
    <row r="591" spans="1:10" ht="15.75">
      <c r="A591" s="4"/>
      <c r="B591" s="4"/>
      <c r="C591" s="4"/>
      <c r="D591" s="4"/>
      <c r="E591" s="4"/>
      <c r="J591" s="7"/>
    </row>
    <row r="592" spans="1:10" ht="15.75">
      <c r="A592" s="4"/>
      <c r="B592" s="4"/>
      <c r="C592" s="4"/>
      <c r="D592" s="4"/>
      <c r="E592" s="4"/>
      <c r="J592" s="7"/>
    </row>
    <row r="593" spans="1:10" ht="15.75">
      <c r="A593" s="4"/>
      <c r="B593" s="4"/>
      <c r="C593" s="4"/>
      <c r="D593" s="4"/>
      <c r="E593" s="4"/>
      <c r="J593" s="7"/>
    </row>
    <row r="594" spans="1:10" ht="15.75">
      <c r="A594" s="4"/>
      <c r="B594" s="4"/>
      <c r="C594" s="4"/>
      <c r="D594" s="4"/>
      <c r="E594" s="4"/>
      <c r="J594" s="7"/>
    </row>
    <row r="595" spans="1:10" ht="15.75">
      <c r="A595" s="4"/>
      <c r="B595" s="4"/>
      <c r="C595" s="4"/>
      <c r="D595" s="4"/>
      <c r="E595" s="4"/>
      <c r="J595" s="7"/>
    </row>
    <row r="596" spans="1:10" ht="15.75">
      <c r="A596" s="4"/>
      <c r="B596" s="4"/>
      <c r="C596" s="4"/>
      <c r="D596" s="4"/>
      <c r="E596" s="4"/>
      <c r="J596" s="7"/>
    </row>
    <row r="597" spans="1:10" ht="15.75">
      <c r="A597" s="4"/>
      <c r="B597" s="4"/>
      <c r="C597" s="4"/>
      <c r="D597" s="4"/>
      <c r="E597" s="4"/>
      <c r="J597" s="7"/>
    </row>
    <row r="598" spans="1:10" ht="15.75">
      <c r="A598" s="4"/>
      <c r="B598" s="4"/>
      <c r="C598" s="4"/>
      <c r="D598" s="4"/>
      <c r="E598" s="4"/>
      <c r="J598" s="7"/>
    </row>
    <row r="599" spans="1:10" ht="15.75">
      <c r="A599" s="4"/>
      <c r="B599" s="4"/>
      <c r="C599" s="4"/>
      <c r="D599" s="4"/>
      <c r="E599" s="4"/>
      <c r="J599" s="7"/>
    </row>
    <row r="600" spans="1:10" ht="15.75">
      <c r="A600" s="4"/>
      <c r="B600" s="4"/>
      <c r="C600" s="4"/>
      <c r="D600" s="4"/>
      <c r="E600" s="4"/>
      <c r="J600" s="7"/>
    </row>
    <row r="601" spans="1:10" ht="15.75">
      <c r="A601" s="4"/>
      <c r="B601" s="4"/>
      <c r="C601" s="4"/>
      <c r="D601" s="4"/>
      <c r="E601" s="4"/>
      <c r="J601" s="7"/>
    </row>
    <row r="602" spans="1:10" ht="15.75">
      <c r="A602" s="4"/>
      <c r="B602" s="4"/>
      <c r="C602" s="4"/>
      <c r="D602" s="4"/>
      <c r="E602" s="4"/>
      <c r="J602" s="7"/>
    </row>
    <row r="603" spans="1:10" ht="15.75">
      <c r="A603" s="4"/>
      <c r="B603" s="4"/>
      <c r="C603" s="4"/>
      <c r="D603" s="4"/>
      <c r="E603" s="4"/>
      <c r="J603" s="7"/>
    </row>
    <row r="604" spans="1:10" ht="15.75">
      <c r="A604" s="4"/>
      <c r="B604" s="4"/>
      <c r="C604" s="4"/>
      <c r="D604" s="4"/>
      <c r="E604" s="4"/>
      <c r="J604" s="7"/>
    </row>
    <row r="605" spans="1:10" ht="15.75">
      <c r="A605" s="4"/>
      <c r="B605" s="4"/>
      <c r="C605" s="4"/>
      <c r="D605" s="4"/>
      <c r="E605" s="4"/>
      <c r="J605" s="7"/>
    </row>
    <row r="606" spans="1:10" ht="15.75">
      <c r="A606" s="4"/>
      <c r="B606" s="4"/>
      <c r="C606" s="4"/>
      <c r="D606" s="4"/>
      <c r="E606" s="4"/>
      <c r="J606" s="7"/>
    </row>
    <row r="607" spans="1:10" ht="15.75">
      <c r="A607" s="4"/>
      <c r="B607" s="4"/>
      <c r="C607" s="4"/>
      <c r="D607" s="4"/>
      <c r="E607" s="4"/>
      <c r="J607" s="7"/>
    </row>
    <row r="608" spans="1:10" ht="15.75">
      <c r="A608" s="4"/>
      <c r="B608" s="4"/>
      <c r="C608" s="4"/>
      <c r="D608" s="4"/>
      <c r="E608" s="4"/>
      <c r="J608" s="7"/>
    </row>
    <row r="609" spans="1:10" ht="15.75">
      <c r="A609" s="4"/>
      <c r="B609" s="4"/>
      <c r="C609" s="4"/>
      <c r="D609" s="4"/>
      <c r="E609" s="4"/>
      <c r="J609" s="7"/>
    </row>
    <row r="610" spans="1:10" ht="15.75">
      <c r="A610" s="4"/>
      <c r="B610" s="4"/>
      <c r="C610" s="4"/>
      <c r="D610" s="4"/>
      <c r="E610" s="4"/>
      <c r="J610" s="7"/>
    </row>
    <row r="611" spans="1:10" ht="15.75">
      <c r="A611" s="4"/>
      <c r="B611" s="4"/>
      <c r="C611" s="4"/>
      <c r="D611" s="4"/>
      <c r="E611" s="4"/>
      <c r="J611" s="7"/>
    </row>
    <row r="612" spans="1:10" ht="15.75">
      <c r="A612" s="4"/>
      <c r="B612" s="4"/>
      <c r="C612" s="4"/>
      <c r="D612" s="4"/>
      <c r="E612" s="4"/>
      <c r="J612" s="7"/>
    </row>
    <row r="613" spans="1:10" ht="15.75">
      <c r="A613" s="4"/>
      <c r="B613" s="4"/>
      <c r="C613" s="4"/>
      <c r="D613" s="4"/>
      <c r="E613" s="4"/>
      <c r="J613" s="7"/>
    </row>
    <row r="614" spans="1:10" ht="15.75">
      <c r="A614" s="4"/>
      <c r="B614" s="4"/>
      <c r="C614" s="4"/>
      <c r="D614" s="4"/>
      <c r="E614" s="4"/>
      <c r="J614" s="7"/>
    </row>
    <row r="615" spans="1:10" ht="15.75">
      <c r="A615" s="4"/>
      <c r="B615" s="4"/>
      <c r="C615" s="4"/>
      <c r="D615" s="4"/>
      <c r="E615" s="4"/>
      <c r="J615" s="7"/>
    </row>
    <row r="616" spans="1:10" ht="15.75">
      <c r="A616" s="4"/>
      <c r="B616" s="4"/>
      <c r="C616" s="4"/>
      <c r="D616" s="4"/>
      <c r="E616" s="4"/>
      <c r="J616" s="7"/>
    </row>
    <row r="617" spans="1:10" ht="15.75">
      <c r="A617" s="4"/>
      <c r="B617" s="4"/>
      <c r="C617" s="4"/>
      <c r="D617" s="4"/>
      <c r="E617" s="4"/>
      <c r="J617" s="7"/>
    </row>
    <row r="618" spans="1:10" ht="15.75">
      <c r="A618" s="4"/>
      <c r="B618" s="4"/>
      <c r="C618" s="4"/>
      <c r="D618" s="4"/>
      <c r="E618" s="4"/>
      <c r="J618" s="7"/>
    </row>
    <row r="619" spans="1:10" ht="15.75">
      <c r="A619" s="4"/>
      <c r="B619" s="4"/>
      <c r="C619" s="4"/>
      <c r="D619" s="4"/>
      <c r="E619" s="4"/>
      <c r="J619" s="7"/>
    </row>
    <row r="620" spans="1:10" ht="15.75">
      <c r="A620" s="4"/>
      <c r="B620" s="4"/>
      <c r="C620" s="4"/>
      <c r="D620" s="4"/>
      <c r="E620" s="4"/>
      <c r="J620" s="7"/>
    </row>
    <row r="621" spans="1:10" ht="15.75">
      <c r="A621" s="4"/>
      <c r="B621" s="4"/>
      <c r="C621" s="4"/>
      <c r="D621" s="4"/>
      <c r="E621" s="4"/>
      <c r="J621" s="7"/>
    </row>
    <row r="622" spans="1:10" ht="15.75">
      <c r="A622" s="4"/>
      <c r="B622" s="4"/>
      <c r="C622" s="4"/>
      <c r="D622" s="4"/>
      <c r="E622" s="4"/>
      <c r="J622" s="7"/>
    </row>
    <row r="623" spans="1:10" ht="15.75">
      <c r="A623" s="4"/>
      <c r="B623" s="4"/>
      <c r="C623" s="4"/>
      <c r="D623" s="4"/>
      <c r="E623" s="4"/>
      <c r="J623" s="7"/>
    </row>
    <row r="624" spans="1:10" ht="15.75">
      <c r="A624" s="4"/>
      <c r="B624" s="4"/>
      <c r="C624" s="4"/>
      <c r="D624" s="4"/>
      <c r="E624" s="4"/>
      <c r="J624" s="7"/>
    </row>
    <row r="625" spans="1:10" ht="15.75">
      <c r="A625" s="4"/>
      <c r="B625" s="4"/>
      <c r="C625" s="4"/>
      <c r="D625" s="4"/>
      <c r="E625" s="4"/>
      <c r="J625" s="7"/>
    </row>
    <row r="626" spans="1:10" ht="15.75">
      <c r="A626" s="4"/>
      <c r="B626" s="4"/>
      <c r="C626" s="4"/>
      <c r="D626" s="4"/>
      <c r="E626" s="4"/>
      <c r="J626" s="7"/>
    </row>
    <row r="627" spans="1:10" ht="15.75">
      <c r="A627" s="4"/>
      <c r="B627" s="4"/>
      <c r="C627" s="4"/>
      <c r="D627" s="4"/>
      <c r="E627" s="4"/>
      <c r="J627" s="7"/>
    </row>
    <row r="628" spans="1:10" ht="15.75">
      <c r="A628" s="4"/>
      <c r="B628" s="4"/>
      <c r="C628" s="4"/>
      <c r="D628" s="4"/>
      <c r="E628" s="4"/>
      <c r="J628" s="7"/>
    </row>
    <row r="629" spans="1:10" ht="15.75">
      <c r="A629" s="4"/>
      <c r="B629" s="4"/>
      <c r="C629" s="4"/>
      <c r="D629" s="4"/>
      <c r="E629" s="4"/>
      <c r="J629" s="7"/>
    </row>
    <row r="630" spans="1:10" ht="15.75">
      <c r="A630" s="4"/>
      <c r="B630" s="4"/>
      <c r="C630" s="4"/>
      <c r="D630" s="4"/>
      <c r="E630" s="4"/>
      <c r="J630" s="7"/>
    </row>
    <row r="631" spans="1:10" ht="15.75">
      <c r="A631" s="4"/>
      <c r="B631" s="4"/>
      <c r="C631" s="4"/>
      <c r="D631" s="4"/>
      <c r="E631" s="4"/>
      <c r="J631" s="7"/>
    </row>
    <row r="632" spans="1:10" ht="15.75">
      <c r="A632" s="4"/>
      <c r="B632" s="4"/>
      <c r="C632" s="4"/>
      <c r="D632" s="4"/>
      <c r="E632" s="4"/>
      <c r="J632" s="7"/>
    </row>
    <row r="633" spans="1:10" ht="15.75">
      <c r="A633" s="4"/>
      <c r="B633" s="4"/>
      <c r="C633" s="4"/>
      <c r="D633" s="4"/>
      <c r="E633" s="4"/>
      <c r="J633" s="7"/>
    </row>
    <row r="634" spans="1:10" ht="15.75">
      <c r="A634" s="4"/>
      <c r="B634" s="4"/>
      <c r="C634" s="4"/>
      <c r="D634" s="4"/>
      <c r="E634" s="4"/>
      <c r="J634" s="7"/>
    </row>
    <row r="635" spans="1:10" ht="15.75">
      <c r="A635" s="4"/>
      <c r="B635" s="4"/>
      <c r="C635" s="4"/>
      <c r="D635" s="4"/>
      <c r="E635" s="4"/>
      <c r="J635" s="7"/>
    </row>
    <row r="636" spans="1:10" ht="15.75">
      <c r="A636" s="4"/>
      <c r="B636" s="4"/>
      <c r="C636" s="4"/>
      <c r="D636" s="4"/>
      <c r="E636" s="4"/>
      <c r="J636" s="7"/>
    </row>
    <row r="637" spans="1:10" ht="15.75">
      <c r="A637" s="4"/>
      <c r="B637" s="4"/>
      <c r="C637" s="4"/>
      <c r="D637" s="4"/>
      <c r="E637" s="4"/>
      <c r="J637" s="7"/>
    </row>
    <row r="638" spans="1:10" ht="15.75">
      <c r="A638" s="4"/>
      <c r="B638" s="4"/>
      <c r="C638" s="4"/>
      <c r="D638" s="4"/>
      <c r="E638" s="4"/>
      <c r="J638" s="7"/>
    </row>
    <row r="639" spans="1:10" ht="15.75">
      <c r="A639" s="4"/>
      <c r="B639" s="4"/>
      <c r="C639" s="4"/>
      <c r="D639" s="4"/>
      <c r="E639" s="4"/>
      <c r="J639" s="7"/>
    </row>
    <row r="640" spans="1:10" ht="15.75">
      <c r="A640" s="4"/>
      <c r="B640" s="4"/>
      <c r="C640" s="4"/>
      <c r="D640" s="4"/>
      <c r="E640" s="4"/>
      <c r="J640" s="7"/>
    </row>
    <row r="641" spans="1:10" ht="15.75">
      <c r="A641" s="4"/>
      <c r="B641" s="4"/>
      <c r="C641" s="4"/>
      <c r="D641" s="4"/>
      <c r="E641" s="4"/>
      <c r="J641" s="7"/>
    </row>
    <row r="642" spans="1:10" ht="15.75">
      <c r="A642" s="4"/>
      <c r="B642" s="4"/>
      <c r="C642" s="4"/>
      <c r="D642" s="4"/>
      <c r="E642" s="4"/>
      <c r="J642" s="7"/>
    </row>
    <row r="643" spans="1:10" ht="15.75">
      <c r="A643" s="4"/>
      <c r="B643" s="4"/>
      <c r="C643" s="4"/>
      <c r="D643" s="4"/>
      <c r="E643" s="4"/>
      <c r="J643" s="7"/>
    </row>
    <row r="644" spans="1:10" ht="15.75">
      <c r="A644" s="4"/>
      <c r="B644" s="4"/>
      <c r="C644" s="4"/>
      <c r="D644" s="4"/>
      <c r="E644" s="4"/>
      <c r="J644" s="7"/>
    </row>
    <row r="645" spans="1:10" ht="15.75">
      <c r="A645" s="4"/>
      <c r="B645" s="4"/>
      <c r="C645" s="4"/>
      <c r="D645" s="4"/>
      <c r="E645" s="4"/>
      <c r="J645" s="7"/>
    </row>
    <row r="646" spans="1:10" ht="15.75">
      <c r="A646" s="4"/>
      <c r="B646" s="4"/>
      <c r="C646" s="4"/>
      <c r="D646" s="4"/>
      <c r="E646" s="4"/>
      <c r="J646" s="7"/>
    </row>
    <row r="647" spans="1:10" ht="15.75">
      <c r="A647" s="4"/>
      <c r="B647" s="4"/>
      <c r="C647" s="4"/>
      <c r="D647" s="4"/>
      <c r="E647" s="4"/>
      <c r="J647" s="7"/>
    </row>
    <row r="648" spans="1:10" ht="15.75">
      <c r="A648" s="4"/>
      <c r="B648" s="4"/>
      <c r="C648" s="4"/>
      <c r="D648" s="4"/>
      <c r="E648" s="4"/>
      <c r="J648" s="7"/>
    </row>
    <row r="649" spans="1:10" ht="15.75">
      <c r="A649" s="4"/>
      <c r="B649" s="4"/>
      <c r="C649" s="4"/>
      <c r="D649" s="4"/>
      <c r="E649" s="4"/>
      <c r="J649" s="7"/>
    </row>
    <row r="650" spans="1:10" ht="15.75">
      <c r="A650" s="4"/>
      <c r="B650" s="4"/>
      <c r="C650" s="4"/>
      <c r="D650" s="4"/>
      <c r="E650" s="4"/>
      <c r="J650" s="7"/>
    </row>
    <row r="651" spans="1:10" ht="15.75">
      <c r="A651" s="4"/>
      <c r="B651" s="4"/>
      <c r="C651" s="4"/>
      <c r="D651" s="4"/>
      <c r="E651" s="4"/>
      <c r="J651" s="7"/>
    </row>
    <row r="652" spans="1:10" ht="15.75">
      <c r="A652" s="4"/>
      <c r="B652" s="4"/>
      <c r="C652" s="4"/>
      <c r="D652" s="4"/>
      <c r="E652" s="4"/>
      <c r="J652" s="7"/>
    </row>
    <row r="653" spans="1:10" ht="15.75">
      <c r="A653" s="4"/>
      <c r="B653" s="4"/>
      <c r="C653" s="4"/>
      <c r="D653" s="4"/>
      <c r="E653" s="4"/>
      <c r="J653" s="7"/>
    </row>
    <row r="654" spans="1:10" ht="15.75">
      <c r="A654" s="4"/>
      <c r="B654" s="4"/>
      <c r="C654" s="4"/>
      <c r="D654" s="4"/>
      <c r="E654" s="4"/>
      <c r="J654" s="7"/>
    </row>
    <row r="655" spans="1:10" ht="15.75">
      <c r="A655" s="4"/>
      <c r="B655" s="4"/>
      <c r="C655" s="4"/>
      <c r="D655" s="4"/>
      <c r="E655" s="4"/>
      <c r="J655" s="7"/>
    </row>
    <row r="656" spans="1:10" ht="15.75">
      <c r="A656" s="4"/>
      <c r="B656" s="4"/>
      <c r="C656" s="4"/>
      <c r="D656" s="4"/>
      <c r="E656" s="4"/>
      <c r="J656" s="7"/>
    </row>
    <row r="657" spans="1:10" ht="15.75">
      <c r="A657" s="4"/>
      <c r="B657" s="4"/>
      <c r="C657" s="4"/>
      <c r="D657" s="4"/>
      <c r="E657" s="4"/>
      <c r="J657" s="7"/>
    </row>
    <row r="658" spans="1:10" ht="15.75">
      <c r="A658" s="4"/>
      <c r="B658" s="4"/>
      <c r="C658" s="4"/>
      <c r="D658" s="4"/>
      <c r="E658" s="4"/>
      <c r="J658" s="7"/>
    </row>
    <row r="659" spans="1:10" ht="15.75">
      <c r="A659" s="4"/>
      <c r="B659" s="4"/>
      <c r="C659" s="4"/>
      <c r="D659" s="4"/>
      <c r="E659" s="4"/>
      <c r="J659" s="7"/>
    </row>
    <row r="660" spans="1:10" ht="15.75">
      <c r="A660" s="4"/>
      <c r="B660" s="4"/>
      <c r="C660" s="4"/>
      <c r="D660" s="4"/>
      <c r="E660" s="4"/>
      <c r="J660" s="7"/>
    </row>
    <row r="661" spans="1:10" ht="15.75">
      <c r="A661" s="4"/>
      <c r="B661" s="4"/>
      <c r="C661" s="4"/>
      <c r="D661" s="4"/>
      <c r="E661" s="4"/>
      <c r="J661" s="7"/>
    </row>
    <row r="662" spans="1:10" ht="15.75">
      <c r="A662" s="4"/>
      <c r="B662" s="4"/>
      <c r="C662" s="4"/>
      <c r="D662" s="4"/>
      <c r="E662" s="4"/>
      <c r="J662" s="7"/>
    </row>
    <row r="663" spans="1:10" ht="15.75">
      <c r="A663" s="4"/>
      <c r="B663" s="4"/>
      <c r="C663" s="4"/>
      <c r="D663" s="4"/>
      <c r="E663" s="4"/>
      <c r="J663" s="7"/>
    </row>
    <row r="664" spans="1:10" ht="15.75">
      <c r="A664" s="4"/>
      <c r="B664" s="4"/>
      <c r="C664" s="4"/>
      <c r="D664" s="4"/>
      <c r="E664" s="4"/>
      <c r="J664" s="7"/>
    </row>
    <row r="665" spans="1:10" ht="15.75">
      <c r="A665" s="4"/>
      <c r="B665" s="4"/>
      <c r="C665" s="4"/>
      <c r="D665" s="4"/>
      <c r="E665" s="4"/>
      <c r="J665" s="7"/>
    </row>
    <row r="666" spans="1:10" ht="15.75">
      <c r="A666" s="4"/>
      <c r="B666" s="4"/>
      <c r="C666" s="4"/>
      <c r="D666" s="4"/>
      <c r="E666" s="4"/>
      <c r="J666" s="7"/>
    </row>
    <row r="667" spans="1:10" ht="15.75">
      <c r="A667" s="4"/>
      <c r="B667" s="4"/>
      <c r="C667" s="4"/>
      <c r="D667" s="4"/>
      <c r="E667" s="4"/>
      <c r="J667" s="7"/>
    </row>
    <row r="668" spans="1:10" ht="15.75">
      <c r="A668" s="4"/>
      <c r="B668" s="4"/>
      <c r="C668" s="4"/>
      <c r="D668" s="4"/>
      <c r="E668" s="4"/>
      <c r="J668" s="7"/>
    </row>
    <row r="669" spans="1:10" ht="15.75">
      <c r="A669" s="4"/>
      <c r="B669" s="4"/>
      <c r="C669" s="4"/>
      <c r="D669" s="4"/>
      <c r="E669" s="4"/>
      <c r="J669" s="7"/>
    </row>
    <row r="670" spans="1:10" ht="15.75">
      <c r="A670" s="4"/>
      <c r="B670" s="4"/>
      <c r="C670" s="4"/>
      <c r="D670" s="4"/>
      <c r="E670" s="4"/>
      <c r="J670" s="7"/>
    </row>
    <row r="671" spans="1:10" ht="15.75">
      <c r="A671" s="4"/>
      <c r="B671" s="4"/>
      <c r="C671" s="4"/>
      <c r="D671" s="4"/>
      <c r="E671" s="4"/>
      <c r="J671" s="7"/>
    </row>
    <row r="672" spans="1:10" ht="15.75">
      <c r="A672" s="4"/>
      <c r="B672" s="4"/>
      <c r="C672" s="4"/>
      <c r="D672" s="4"/>
      <c r="E672" s="4"/>
      <c r="J672" s="7"/>
    </row>
    <row r="673" spans="1:10" ht="15.75">
      <c r="A673" s="4"/>
      <c r="B673" s="4"/>
      <c r="C673" s="4"/>
      <c r="D673" s="4"/>
      <c r="E673" s="4"/>
      <c r="J673" s="7"/>
    </row>
    <row r="674" spans="1:10" ht="15.75">
      <c r="A674" s="4"/>
      <c r="B674" s="4"/>
      <c r="C674" s="4"/>
      <c r="D674" s="4"/>
      <c r="E674" s="4"/>
      <c r="J674" s="7"/>
    </row>
    <row r="675" spans="1:10" ht="15.75">
      <c r="A675" s="4"/>
      <c r="B675" s="4"/>
      <c r="C675" s="4"/>
      <c r="D675" s="4"/>
      <c r="E675" s="4"/>
      <c r="J675" s="7"/>
    </row>
    <row r="676" spans="1:10" ht="15.75">
      <c r="A676" s="4"/>
      <c r="B676" s="4"/>
      <c r="C676" s="4"/>
      <c r="D676" s="4"/>
      <c r="E676" s="4"/>
      <c r="J676" s="7"/>
    </row>
    <row r="677" spans="1:10" ht="15.75">
      <c r="A677" s="4"/>
      <c r="B677" s="4"/>
      <c r="C677" s="4"/>
      <c r="D677" s="4"/>
      <c r="E677" s="4"/>
      <c r="J677" s="7"/>
    </row>
    <row r="678" spans="1:10" ht="15.75">
      <c r="A678" s="4"/>
      <c r="B678" s="4"/>
      <c r="C678" s="4"/>
      <c r="D678" s="4"/>
      <c r="E678" s="4"/>
      <c r="J678" s="7"/>
    </row>
    <row r="679" spans="1:10" ht="15.75">
      <c r="A679" s="4"/>
      <c r="B679" s="4"/>
      <c r="C679" s="4"/>
      <c r="D679" s="4"/>
      <c r="E679" s="4"/>
      <c r="J679" s="7"/>
    </row>
    <row r="680" spans="1:10" ht="15.75">
      <c r="A680" s="4"/>
      <c r="B680" s="4"/>
      <c r="C680" s="4"/>
      <c r="D680" s="4"/>
      <c r="E680" s="4"/>
      <c r="J680" s="7"/>
    </row>
    <row r="681" spans="1:10" ht="15.75">
      <c r="A681" s="4"/>
      <c r="B681" s="4"/>
      <c r="C681" s="4"/>
      <c r="D681" s="4"/>
      <c r="E681" s="4"/>
      <c r="J681" s="7"/>
    </row>
    <row r="682" spans="1:10" ht="15.75">
      <c r="A682" s="4"/>
      <c r="B682" s="4"/>
      <c r="C682" s="4"/>
      <c r="D682" s="4"/>
      <c r="E682" s="4"/>
      <c r="J682" s="7"/>
    </row>
    <row r="683" spans="1:10" ht="15.75">
      <c r="A683" s="4"/>
      <c r="B683" s="4"/>
      <c r="C683" s="4"/>
      <c r="D683" s="4"/>
      <c r="E683" s="4"/>
      <c r="J683" s="7"/>
    </row>
    <row r="684" spans="1:10" ht="15.75">
      <c r="A684" s="4"/>
      <c r="B684" s="4"/>
      <c r="C684" s="4"/>
      <c r="D684" s="4"/>
      <c r="E684" s="4"/>
      <c r="J684" s="7"/>
    </row>
    <row r="685" spans="1:10" ht="15.75">
      <c r="A685" s="4"/>
      <c r="B685" s="4"/>
      <c r="C685" s="4"/>
      <c r="D685" s="4"/>
      <c r="E685" s="4"/>
      <c r="J685" s="7"/>
    </row>
    <row r="686" spans="1:10" ht="15.75">
      <c r="A686" s="4"/>
      <c r="B686" s="4"/>
      <c r="C686" s="4"/>
      <c r="D686" s="4"/>
      <c r="E686" s="4"/>
      <c r="J686" s="7"/>
    </row>
    <row r="687" spans="1:10" ht="15.75">
      <c r="A687" s="4"/>
      <c r="B687" s="4"/>
      <c r="C687" s="4"/>
      <c r="D687" s="4"/>
      <c r="E687" s="4"/>
      <c r="J687" s="7"/>
    </row>
    <row r="688" spans="1:10" ht="15.75">
      <c r="A688" s="4"/>
      <c r="B688" s="4"/>
      <c r="C688" s="4"/>
      <c r="D688" s="4"/>
      <c r="E688" s="4"/>
      <c r="J688" s="7"/>
    </row>
    <row r="689" spans="1:10" ht="15.75">
      <c r="A689" s="4"/>
      <c r="B689" s="4"/>
      <c r="C689" s="4"/>
      <c r="D689" s="4"/>
      <c r="E689" s="4"/>
      <c r="J689" s="7"/>
    </row>
    <row r="690" spans="1:10" ht="15.75">
      <c r="A690" s="4"/>
      <c r="B690" s="4"/>
      <c r="C690" s="4"/>
      <c r="D690" s="4"/>
      <c r="E690" s="4"/>
      <c r="J690" s="7"/>
    </row>
    <row r="691" spans="1:10" ht="15.75">
      <c r="A691" s="4"/>
      <c r="B691" s="4"/>
      <c r="C691" s="4"/>
      <c r="D691" s="4"/>
      <c r="E691" s="4"/>
      <c r="J691" s="7"/>
    </row>
    <row r="692" spans="1:10" ht="15.75">
      <c r="A692" s="4"/>
      <c r="B692" s="4"/>
      <c r="C692" s="4"/>
      <c r="D692" s="4"/>
      <c r="E692" s="4"/>
      <c r="J692" s="7"/>
    </row>
    <row r="693" spans="1:10" ht="15.75">
      <c r="A693" s="4"/>
      <c r="B693" s="4"/>
      <c r="C693" s="4"/>
      <c r="D693" s="4"/>
      <c r="E693" s="4"/>
      <c r="J693" s="7"/>
    </row>
    <row r="694" spans="1:10" ht="15.75">
      <c r="A694" s="4"/>
      <c r="B694" s="4"/>
      <c r="C694" s="4"/>
      <c r="D694" s="4"/>
      <c r="E694" s="4"/>
      <c r="J694" s="7"/>
    </row>
    <row r="695" spans="1:10" ht="15.75">
      <c r="A695" s="4"/>
      <c r="B695" s="4"/>
      <c r="C695" s="4"/>
      <c r="D695" s="4"/>
      <c r="E695" s="4"/>
      <c r="J695" s="7"/>
    </row>
    <row r="696" spans="1:10" ht="15.75">
      <c r="A696" s="4"/>
      <c r="B696" s="4"/>
      <c r="C696" s="4"/>
      <c r="D696" s="4"/>
      <c r="E696" s="4"/>
      <c r="J696" s="7"/>
    </row>
    <row r="697" spans="1:10" ht="15.75">
      <c r="A697" s="4"/>
      <c r="B697" s="4"/>
      <c r="C697" s="4"/>
      <c r="D697" s="4"/>
      <c r="E697" s="4"/>
      <c r="J697" s="7"/>
    </row>
    <row r="698" spans="1:10" ht="15.75">
      <c r="A698" s="4"/>
      <c r="B698" s="4"/>
      <c r="C698" s="4"/>
      <c r="D698" s="4"/>
      <c r="E698" s="4"/>
      <c r="J698" s="7"/>
    </row>
    <row r="699" spans="1:10" ht="15.75">
      <c r="A699" s="4"/>
      <c r="B699" s="4"/>
      <c r="C699" s="4"/>
      <c r="D699" s="4"/>
      <c r="E699" s="4"/>
      <c r="J699" s="7"/>
    </row>
    <row r="700" spans="1:10" ht="15.75">
      <c r="A700" s="4"/>
      <c r="B700" s="4"/>
      <c r="C700" s="4"/>
      <c r="D700" s="4"/>
      <c r="E700" s="4"/>
      <c r="J700" s="7"/>
    </row>
    <row r="701" spans="1:10" ht="15.75">
      <c r="A701" s="4"/>
      <c r="B701" s="4"/>
      <c r="C701" s="4"/>
      <c r="D701" s="4"/>
      <c r="E701" s="4"/>
      <c r="J701" s="7"/>
    </row>
    <row r="702" spans="1:10" ht="15.75">
      <c r="A702" s="4"/>
      <c r="B702" s="4"/>
      <c r="C702" s="4"/>
      <c r="D702" s="4"/>
      <c r="E702" s="4"/>
      <c r="J702" s="7"/>
    </row>
    <row r="703" spans="1:10" ht="15.75">
      <c r="A703" s="4"/>
      <c r="B703" s="4"/>
      <c r="C703" s="4"/>
      <c r="D703" s="4"/>
      <c r="E703" s="4"/>
      <c r="J703" s="7"/>
    </row>
    <row r="704" spans="1:10" ht="15.75">
      <c r="A704" s="4"/>
      <c r="B704" s="4"/>
      <c r="C704" s="4"/>
      <c r="D704" s="4"/>
      <c r="E704" s="4"/>
      <c r="J704" s="7"/>
    </row>
    <row r="705" spans="1:10" ht="15.75">
      <c r="A705" s="4"/>
      <c r="B705" s="4"/>
      <c r="C705" s="4"/>
      <c r="D705" s="4"/>
      <c r="E705" s="4"/>
      <c r="J705" s="7"/>
    </row>
    <row r="706" spans="1:10" ht="15.75">
      <c r="A706" s="4"/>
      <c r="B706" s="4"/>
      <c r="C706" s="4"/>
      <c r="D706" s="4"/>
      <c r="E706" s="4"/>
      <c r="J706" s="7"/>
    </row>
    <row r="707" spans="1:10" ht="15.75">
      <c r="A707" s="4"/>
      <c r="B707" s="4"/>
      <c r="C707" s="4"/>
      <c r="D707" s="4"/>
      <c r="E707" s="4"/>
      <c r="J707" s="7"/>
    </row>
    <row r="708" spans="1:10" ht="15.75">
      <c r="A708" s="4"/>
      <c r="B708" s="4"/>
      <c r="C708" s="4"/>
      <c r="D708" s="4"/>
      <c r="E708" s="4"/>
      <c r="J708" s="7"/>
    </row>
    <row r="709" spans="1:10" ht="15.75">
      <c r="A709" s="4"/>
      <c r="B709" s="4"/>
      <c r="C709" s="4"/>
      <c r="D709" s="4"/>
      <c r="E709" s="4"/>
      <c r="J709" s="7"/>
    </row>
    <row r="710" spans="1:10" ht="15.75">
      <c r="A710" s="4"/>
      <c r="B710" s="4"/>
      <c r="C710" s="4"/>
      <c r="D710" s="4"/>
      <c r="E710" s="4"/>
      <c r="J710" s="7"/>
    </row>
    <row r="711" spans="1:10" ht="15.75">
      <c r="A711" s="4"/>
      <c r="B711" s="4"/>
      <c r="C711" s="4"/>
      <c r="D711" s="4"/>
      <c r="E711" s="4"/>
      <c r="J711" s="7"/>
    </row>
    <row r="712" spans="1:10" ht="15.75">
      <c r="A712" s="4"/>
      <c r="B712" s="4"/>
      <c r="C712" s="4"/>
      <c r="D712" s="4"/>
      <c r="E712" s="4"/>
      <c r="J712" s="7"/>
    </row>
    <row r="713" spans="1:10" ht="15.75">
      <c r="A713" s="4"/>
      <c r="B713" s="4"/>
      <c r="C713" s="4"/>
      <c r="D713" s="4"/>
      <c r="E713" s="4"/>
      <c r="J713" s="7"/>
    </row>
    <row r="714" spans="1:10" ht="15.75">
      <c r="A714" s="4"/>
      <c r="B714" s="4"/>
      <c r="C714" s="4"/>
      <c r="D714" s="4"/>
      <c r="E714" s="4"/>
      <c r="J714" s="7"/>
    </row>
    <row r="715" spans="1:10" ht="15.75">
      <c r="A715" s="4"/>
      <c r="B715" s="4"/>
      <c r="C715" s="4"/>
      <c r="D715" s="4"/>
      <c r="E715" s="4"/>
      <c r="J715" s="7"/>
    </row>
    <row r="716" spans="1:10" ht="15.75">
      <c r="A716" s="4"/>
      <c r="B716" s="4"/>
      <c r="C716" s="4"/>
      <c r="D716" s="4"/>
      <c r="E716" s="4"/>
      <c r="J716" s="7"/>
    </row>
    <row r="717" spans="1:10" ht="15.75">
      <c r="A717" s="4"/>
      <c r="B717" s="4"/>
      <c r="C717" s="4"/>
      <c r="D717" s="4"/>
      <c r="E717" s="4"/>
      <c r="J717" s="7"/>
    </row>
    <row r="718" spans="1:10" ht="15.75">
      <c r="A718" s="4"/>
      <c r="B718" s="4"/>
      <c r="C718" s="4"/>
      <c r="D718" s="4"/>
      <c r="E718" s="4"/>
      <c r="J718" s="7"/>
    </row>
    <row r="719" spans="1:10" ht="15.75">
      <c r="A719" s="4"/>
      <c r="B719" s="4"/>
      <c r="C719" s="4"/>
      <c r="D719" s="4"/>
      <c r="E719" s="4"/>
      <c r="J719" s="7"/>
    </row>
    <row r="720" spans="1:10" ht="15.75">
      <c r="A720" s="4"/>
      <c r="B720" s="4"/>
      <c r="C720" s="4"/>
      <c r="D720" s="4"/>
      <c r="E720" s="4"/>
      <c r="J720" s="7"/>
    </row>
    <row r="721" spans="1:10" ht="15.75">
      <c r="A721" s="4"/>
      <c r="B721" s="4"/>
      <c r="C721" s="4"/>
      <c r="D721" s="4"/>
      <c r="E721" s="4"/>
      <c r="J721" s="7"/>
    </row>
    <row r="722" spans="1:10" ht="15.75">
      <c r="A722" s="4"/>
      <c r="B722" s="4"/>
      <c r="C722" s="4"/>
      <c r="D722" s="4"/>
      <c r="E722" s="4"/>
      <c r="J722" s="7"/>
    </row>
    <row r="723" spans="1:10" ht="15.75">
      <c r="A723" s="4"/>
      <c r="B723" s="4"/>
      <c r="C723" s="4"/>
      <c r="D723" s="4"/>
      <c r="E723" s="4"/>
      <c r="J723" s="7"/>
    </row>
    <row r="724" spans="1:10" ht="15.75">
      <c r="A724" s="4"/>
      <c r="B724" s="4"/>
      <c r="C724" s="4"/>
      <c r="D724" s="4"/>
      <c r="E724" s="4"/>
      <c r="J724" s="7"/>
    </row>
    <row r="725" spans="1:10" ht="15.75">
      <c r="A725" s="4"/>
      <c r="B725" s="4"/>
      <c r="C725" s="4"/>
      <c r="D725" s="4"/>
      <c r="E725" s="4"/>
      <c r="J725" s="7"/>
    </row>
    <row r="726" spans="1:10" ht="15.75">
      <c r="A726" s="4"/>
      <c r="B726" s="4"/>
      <c r="C726" s="4"/>
      <c r="D726" s="4"/>
      <c r="E726" s="4"/>
      <c r="J726" s="7"/>
    </row>
    <row r="727" spans="1:10" ht="15.75">
      <c r="A727" s="4"/>
      <c r="B727" s="4"/>
      <c r="C727" s="4"/>
      <c r="D727" s="4"/>
      <c r="E727" s="4"/>
      <c r="J727" s="7"/>
    </row>
    <row r="728" spans="1:10" ht="15.75">
      <c r="A728" s="4"/>
      <c r="B728" s="4"/>
      <c r="C728" s="4"/>
      <c r="D728" s="4"/>
      <c r="E728" s="4"/>
      <c r="J728" s="7"/>
    </row>
    <row r="729" spans="1:10" ht="15.75">
      <c r="A729" s="4"/>
      <c r="B729" s="4"/>
      <c r="C729" s="4"/>
      <c r="D729" s="4"/>
      <c r="E729" s="4"/>
      <c r="J729" s="7"/>
    </row>
    <row r="730" spans="1:10" ht="15.75">
      <c r="A730" s="4"/>
      <c r="B730" s="4"/>
      <c r="C730" s="4"/>
      <c r="D730" s="4"/>
      <c r="E730" s="4"/>
      <c r="J730" s="7"/>
    </row>
    <row r="731" spans="1:10" ht="15.75">
      <c r="A731" s="4"/>
      <c r="B731" s="4"/>
      <c r="C731" s="4"/>
      <c r="D731" s="4"/>
      <c r="E731" s="4"/>
      <c r="J731" s="7"/>
    </row>
    <row r="732" spans="1:10" ht="15.75">
      <c r="A732" s="4"/>
      <c r="B732" s="4"/>
      <c r="C732" s="4"/>
      <c r="D732" s="4"/>
      <c r="E732" s="4"/>
      <c r="J732" s="7"/>
    </row>
    <row r="733" spans="1:10" ht="15.75">
      <c r="A733" s="4"/>
      <c r="B733" s="4"/>
      <c r="C733" s="4"/>
      <c r="D733" s="4"/>
      <c r="E733" s="4"/>
      <c r="J733" s="7"/>
    </row>
    <row r="734" spans="1:10" ht="15.75">
      <c r="A734" s="4"/>
      <c r="B734" s="4"/>
      <c r="C734" s="4"/>
      <c r="D734" s="4"/>
      <c r="E734" s="4"/>
      <c r="J734" s="7"/>
    </row>
    <row r="735" spans="1:10" ht="15.75">
      <c r="A735" s="4"/>
      <c r="B735" s="4"/>
      <c r="C735" s="4"/>
      <c r="D735" s="4"/>
      <c r="E735" s="4"/>
      <c r="J735" s="7"/>
    </row>
    <row r="736" spans="1:10" ht="15.75">
      <c r="A736" s="4"/>
      <c r="B736" s="4"/>
      <c r="C736" s="4"/>
      <c r="D736" s="4"/>
      <c r="E736" s="4"/>
      <c r="J736" s="7"/>
    </row>
    <row r="737" spans="1:10" ht="15.75">
      <c r="A737" s="4"/>
      <c r="B737" s="4"/>
      <c r="C737" s="4"/>
      <c r="D737" s="4"/>
      <c r="E737" s="4"/>
      <c r="J737" s="7"/>
    </row>
    <row r="738" spans="1:10" ht="15.75">
      <c r="A738" s="4"/>
      <c r="B738" s="4"/>
      <c r="C738" s="4"/>
      <c r="D738" s="4"/>
      <c r="E738" s="4"/>
      <c r="J738" s="7"/>
    </row>
    <row r="739" spans="1:10" ht="15.75">
      <c r="A739" s="4"/>
      <c r="B739" s="4"/>
      <c r="C739" s="4"/>
      <c r="D739" s="4"/>
      <c r="E739" s="4"/>
      <c r="J739" s="7"/>
    </row>
    <row r="740" spans="1:10" ht="15.75">
      <c r="A740" s="4"/>
      <c r="B740" s="4"/>
      <c r="C740" s="4"/>
      <c r="D740" s="4"/>
      <c r="E740" s="4"/>
      <c r="J740" s="7"/>
    </row>
    <row r="741" spans="1:10" ht="15.75">
      <c r="A741" s="4"/>
      <c r="B741" s="4"/>
      <c r="C741" s="4"/>
      <c r="D741" s="4"/>
      <c r="E741" s="4"/>
      <c r="J741" s="7"/>
    </row>
    <row r="742" spans="1:10" ht="15.75">
      <c r="A742" s="4"/>
      <c r="B742" s="4"/>
      <c r="C742" s="4"/>
      <c r="D742" s="4"/>
      <c r="E742" s="4"/>
      <c r="J742" s="7"/>
    </row>
    <row r="743" spans="1:10" ht="15.75">
      <c r="A743" s="4"/>
      <c r="B743" s="4"/>
      <c r="C743" s="4"/>
      <c r="D743" s="4"/>
      <c r="E743" s="4"/>
      <c r="J743" s="7"/>
    </row>
    <row r="744" spans="1:10" ht="15.75">
      <c r="A744" s="4"/>
      <c r="B744" s="4"/>
      <c r="C744" s="4"/>
      <c r="D744" s="4"/>
      <c r="E744" s="4"/>
      <c r="J744" s="7"/>
    </row>
    <row r="745" spans="1:10" ht="15.75">
      <c r="A745" s="4"/>
      <c r="B745" s="4"/>
      <c r="C745" s="4"/>
      <c r="D745" s="4"/>
      <c r="E745" s="4"/>
      <c r="J745" s="7"/>
    </row>
    <row r="746" spans="1:10" ht="15.75">
      <c r="A746" s="4"/>
      <c r="B746" s="4"/>
      <c r="C746" s="4"/>
      <c r="D746" s="4"/>
      <c r="E746" s="4"/>
      <c r="J746" s="7"/>
    </row>
    <row r="747" spans="1:10" ht="15.75">
      <c r="A747" s="4"/>
      <c r="B747" s="4"/>
      <c r="C747" s="4"/>
      <c r="D747" s="4"/>
      <c r="E747" s="4"/>
      <c r="J747" s="7"/>
    </row>
    <row r="748" spans="1:10" ht="15.75">
      <c r="A748" s="4"/>
      <c r="B748" s="4"/>
      <c r="C748" s="4"/>
      <c r="D748" s="4"/>
      <c r="E748" s="4"/>
      <c r="J748" s="7"/>
    </row>
    <row r="749" spans="1:10" ht="15.75">
      <c r="A749" s="4"/>
      <c r="B749" s="4"/>
      <c r="C749" s="4"/>
      <c r="D749" s="4"/>
      <c r="E749" s="4"/>
      <c r="J749" s="7"/>
    </row>
    <row r="750" spans="1:10" ht="15.75">
      <c r="A750" s="4"/>
      <c r="B750" s="4"/>
      <c r="C750" s="4"/>
      <c r="D750" s="4"/>
      <c r="E750" s="4"/>
      <c r="J750" s="7"/>
    </row>
    <row r="751" spans="1:10" ht="15.75">
      <c r="A751" s="4"/>
      <c r="B751" s="4"/>
      <c r="C751" s="4"/>
      <c r="D751" s="4"/>
      <c r="E751" s="4"/>
      <c r="J751" s="7"/>
    </row>
    <row r="752" spans="1:10" ht="15.75">
      <c r="A752" s="4"/>
      <c r="B752" s="4"/>
      <c r="C752" s="4"/>
      <c r="D752" s="4"/>
      <c r="E752" s="4"/>
      <c r="J752" s="7"/>
    </row>
    <row r="753" spans="1:10" ht="15.75">
      <c r="A753" s="4"/>
      <c r="B753" s="4"/>
      <c r="C753" s="4"/>
      <c r="D753" s="4"/>
      <c r="E753" s="4"/>
      <c r="J753" s="7"/>
    </row>
    <row r="754" spans="1:10" ht="15.75">
      <c r="A754" s="4"/>
      <c r="B754" s="4"/>
      <c r="C754" s="4"/>
      <c r="D754" s="4"/>
      <c r="E754" s="4"/>
      <c r="J754" s="7"/>
    </row>
    <row r="755" spans="1:10" ht="15.75">
      <c r="A755" s="4"/>
      <c r="B755" s="4"/>
      <c r="C755" s="4"/>
      <c r="D755" s="4"/>
      <c r="E755" s="4"/>
      <c r="J755" s="7"/>
    </row>
    <row r="756" spans="1:10" ht="15.75">
      <c r="A756" s="4"/>
      <c r="B756" s="4"/>
      <c r="C756" s="4"/>
      <c r="D756" s="4"/>
      <c r="E756" s="4"/>
      <c r="J756" s="7"/>
    </row>
    <row r="757" spans="1:10" ht="15.75">
      <c r="A757" s="4"/>
      <c r="B757" s="4"/>
      <c r="C757" s="4"/>
      <c r="D757" s="4"/>
      <c r="E757" s="4"/>
      <c r="J757" s="7"/>
    </row>
    <row r="758" spans="1:10" ht="15.75">
      <c r="A758" s="4"/>
      <c r="B758" s="4"/>
      <c r="C758" s="4"/>
      <c r="D758" s="4"/>
      <c r="E758" s="4"/>
      <c r="J758" s="7"/>
    </row>
    <row r="759" spans="1:10" ht="15.75">
      <c r="A759" s="4"/>
      <c r="B759" s="4"/>
      <c r="C759" s="4"/>
      <c r="D759" s="4"/>
      <c r="E759" s="4"/>
      <c r="J759" s="7"/>
    </row>
    <row r="760" spans="1:10" ht="15.75">
      <c r="A760" s="4"/>
      <c r="B760" s="4"/>
      <c r="C760" s="4"/>
      <c r="D760" s="4"/>
      <c r="E760" s="4"/>
      <c r="J760" s="7"/>
    </row>
    <row r="761" spans="1:10" ht="15.75">
      <c r="A761" s="4"/>
      <c r="B761" s="4"/>
      <c r="C761" s="4"/>
      <c r="D761" s="4"/>
      <c r="E761" s="4"/>
      <c r="J761" s="7"/>
    </row>
    <row r="762" spans="1:10" ht="15.75">
      <c r="A762" s="4"/>
      <c r="B762" s="4"/>
      <c r="C762" s="4"/>
      <c r="D762" s="4"/>
      <c r="E762" s="4"/>
      <c r="J762" s="7"/>
    </row>
    <row r="763" spans="1:10" ht="15.75">
      <c r="A763" s="4"/>
      <c r="B763" s="4"/>
      <c r="C763" s="4"/>
      <c r="D763" s="4"/>
      <c r="E763" s="4"/>
      <c r="J763" s="7"/>
    </row>
    <row r="764" spans="1:10" ht="15.75">
      <c r="A764" s="4"/>
      <c r="B764" s="4"/>
      <c r="C764" s="4"/>
      <c r="D764" s="4"/>
      <c r="E764" s="4"/>
      <c r="J764" s="7"/>
    </row>
    <row r="765" spans="1:10" ht="15.75">
      <c r="A765" s="4"/>
      <c r="B765" s="4"/>
      <c r="C765" s="4"/>
      <c r="D765" s="4"/>
      <c r="E765" s="4"/>
      <c r="J765" s="7"/>
    </row>
    <row r="766" spans="1:10" ht="15.75">
      <c r="A766" s="4"/>
      <c r="B766" s="4"/>
      <c r="C766" s="4"/>
      <c r="D766" s="4"/>
      <c r="E766" s="4"/>
      <c r="J766" s="7"/>
    </row>
    <row r="767" spans="1:10" ht="15.75">
      <c r="A767" s="4"/>
      <c r="B767" s="4"/>
      <c r="C767" s="4"/>
      <c r="D767" s="4"/>
      <c r="E767" s="4"/>
      <c r="J767" s="7"/>
    </row>
    <row r="768" spans="1:10" ht="15.75">
      <c r="A768" s="4"/>
      <c r="B768" s="4"/>
      <c r="C768" s="4"/>
      <c r="D768" s="4"/>
      <c r="E768" s="4"/>
      <c r="J768" s="7"/>
    </row>
    <row r="769" spans="1:10" ht="15.75">
      <c r="A769" s="4"/>
      <c r="B769" s="4"/>
      <c r="C769" s="4"/>
      <c r="D769" s="4"/>
      <c r="E769" s="4"/>
      <c r="J769" s="7"/>
    </row>
    <row r="770" spans="1:10" ht="15.75">
      <c r="A770" s="4"/>
      <c r="B770" s="4"/>
      <c r="C770" s="4"/>
      <c r="D770" s="4"/>
      <c r="E770" s="4"/>
      <c r="J770" s="7"/>
    </row>
    <row r="771" spans="1:10" ht="15.75">
      <c r="A771" s="4"/>
      <c r="B771" s="4"/>
      <c r="C771" s="4"/>
      <c r="D771" s="4"/>
      <c r="E771" s="4"/>
      <c r="J771" s="7"/>
    </row>
    <row r="772" spans="1:10" ht="15.75">
      <c r="A772" s="4"/>
      <c r="B772" s="4"/>
      <c r="C772" s="4"/>
      <c r="D772" s="4"/>
      <c r="E772" s="4"/>
      <c r="J772" s="7"/>
    </row>
    <row r="773" spans="1:10" ht="15.75">
      <c r="A773" s="4"/>
      <c r="B773" s="4"/>
      <c r="C773" s="4"/>
      <c r="D773" s="4"/>
      <c r="E773" s="4"/>
      <c r="J773" s="7"/>
    </row>
    <row r="774" spans="1:10" ht="15.75">
      <c r="A774" s="4"/>
      <c r="B774" s="4"/>
      <c r="C774" s="4"/>
      <c r="D774" s="4"/>
      <c r="E774" s="4"/>
      <c r="J774" s="7"/>
    </row>
    <row r="775" spans="1:10" ht="15.75">
      <c r="A775" s="4"/>
      <c r="B775" s="4"/>
      <c r="C775" s="4"/>
      <c r="D775" s="4"/>
      <c r="E775" s="4"/>
      <c r="J775" s="7"/>
    </row>
    <row r="776" spans="1:10" ht="15.75">
      <c r="A776" s="4"/>
      <c r="B776" s="4"/>
      <c r="C776" s="4"/>
      <c r="D776" s="4"/>
      <c r="E776" s="4"/>
      <c r="J776" s="7"/>
    </row>
    <row r="777" spans="1:10" ht="15.75">
      <c r="A777" s="4"/>
      <c r="B777" s="4"/>
      <c r="C777" s="4"/>
      <c r="D777" s="4"/>
      <c r="E777" s="4"/>
      <c r="J777" s="7"/>
    </row>
    <row r="778" spans="1:10" ht="15.75">
      <c r="A778" s="4"/>
      <c r="B778" s="4"/>
      <c r="C778" s="4"/>
      <c r="D778" s="4"/>
      <c r="E778" s="4"/>
      <c r="J778" s="7"/>
    </row>
    <row r="779" spans="1:10" ht="15.75">
      <c r="A779" s="4"/>
      <c r="B779" s="4"/>
      <c r="C779" s="4"/>
      <c r="D779" s="4"/>
      <c r="E779" s="4"/>
      <c r="J779" s="7"/>
    </row>
    <row r="780" spans="1:10" ht="15.75">
      <c r="A780" s="4"/>
      <c r="B780" s="4"/>
      <c r="C780" s="4"/>
      <c r="D780" s="4"/>
      <c r="E780" s="4"/>
      <c r="J780" s="7"/>
    </row>
    <row r="781" spans="1:10" ht="15.75">
      <c r="A781" s="4"/>
      <c r="B781" s="4"/>
      <c r="C781" s="4"/>
      <c r="D781" s="4"/>
      <c r="E781" s="4"/>
      <c r="J781" s="7"/>
    </row>
    <row r="782" spans="1:10" ht="15.75">
      <c r="A782" s="4"/>
      <c r="B782" s="4"/>
      <c r="C782" s="4"/>
      <c r="D782" s="4"/>
      <c r="E782" s="4"/>
      <c r="J782" s="7"/>
    </row>
    <row r="783" spans="1:10" ht="15.75">
      <c r="A783" s="4"/>
      <c r="B783" s="4"/>
      <c r="C783" s="4"/>
      <c r="D783" s="4"/>
      <c r="E783" s="4"/>
      <c r="J783" s="7"/>
    </row>
    <row r="784" spans="1:10" ht="15.75">
      <c r="A784" s="4"/>
      <c r="B784" s="4"/>
      <c r="C784" s="4"/>
      <c r="D784" s="4"/>
      <c r="E784" s="4"/>
      <c r="J784" s="7"/>
    </row>
    <row r="785" spans="1:10" ht="15.75">
      <c r="A785" s="4"/>
      <c r="B785" s="4"/>
      <c r="C785" s="4"/>
      <c r="D785" s="4"/>
      <c r="E785" s="4"/>
      <c r="J785" s="7"/>
    </row>
    <row r="786" spans="1:10" ht="15.75">
      <c r="A786" s="4"/>
      <c r="B786" s="4"/>
      <c r="C786" s="4"/>
      <c r="D786" s="4"/>
      <c r="E786" s="4"/>
      <c r="J786" s="7"/>
    </row>
    <row r="787" spans="1:10" ht="15.75">
      <c r="A787" s="4"/>
      <c r="B787" s="4"/>
      <c r="C787" s="4"/>
      <c r="D787" s="4"/>
      <c r="E787" s="4"/>
      <c r="J787" s="7"/>
    </row>
    <row r="788" spans="1:10" ht="15.75">
      <c r="A788" s="4"/>
      <c r="B788" s="4"/>
      <c r="C788" s="4"/>
      <c r="D788" s="4"/>
      <c r="E788" s="4"/>
      <c r="J788" s="7"/>
    </row>
    <row r="789" spans="1:10" ht="15.75">
      <c r="A789" s="4"/>
      <c r="B789" s="4"/>
      <c r="C789" s="4"/>
      <c r="D789" s="4"/>
      <c r="E789" s="4"/>
      <c r="J789" s="7"/>
    </row>
    <row r="790" spans="1:10" ht="15.75">
      <c r="A790" s="4"/>
      <c r="B790" s="4"/>
      <c r="C790" s="4"/>
      <c r="D790" s="4"/>
      <c r="E790" s="4"/>
      <c r="J790" s="7"/>
    </row>
    <row r="791" spans="1:10" ht="15.75">
      <c r="A791" s="4"/>
      <c r="B791" s="4"/>
      <c r="C791" s="4"/>
      <c r="D791" s="4"/>
      <c r="E791" s="4"/>
      <c r="J791" s="7"/>
    </row>
    <row r="792" spans="1:10" ht="15.75">
      <c r="A792" s="4"/>
      <c r="B792" s="4"/>
      <c r="C792" s="4"/>
      <c r="D792" s="4"/>
      <c r="E792" s="4"/>
      <c r="J792" s="7"/>
    </row>
    <row r="793" spans="1:10" ht="15.75">
      <c r="A793" s="4"/>
      <c r="B793" s="4"/>
      <c r="C793" s="4"/>
      <c r="D793" s="4"/>
      <c r="E793" s="4"/>
      <c r="J793" s="7"/>
    </row>
    <row r="794" spans="1:10" ht="15.75">
      <c r="A794" s="4"/>
      <c r="B794" s="4"/>
      <c r="C794" s="4"/>
      <c r="D794" s="4"/>
      <c r="E794" s="4"/>
      <c r="J794" s="7"/>
    </row>
    <row r="795" spans="1:10" ht="15.75">
      <c r="A795" s="4"/>
      <c r="B795" s="4"/>
      <c r="C795" s="4"/>
      <c r="D795" s="4"/>
      <c r="E795" s="4"/>
      <c r="J795" s="7"/>
    </row>
    <row r="796" spans="1:10" ht="15.75">
      <c r="A796" s="4"/>
      <c r="B796" s="4"/>
      <c r="C796" s="4"/>
      <c r="D796" s="4"/>
      <c r="E796" s="4"/>
      <c r="J796" s="7"/>
    </row>
    <row r="797" spans="1:10" ht="15.75">
      <c r="A797" s="4"/>
      <c r="B797" s="4"/>
      <c r="C797" s="4"/>
      <c r="D797" s="4"/>
      <c r="E797" s="4"/>
      <c r="J797" s="7"/>
    </row>
    <row r="798" spans="1:10" ht="15.75">
      <c r="A798" s="4"/>
      <c r="B798" s="4"/>
      <c r="C798" s="4"/>
      <c r="D798" s="4"/>
      <c r="E798" s="4"/>
      <c r="J798" s="7"/>
    </row>
    <row r="799" spans="1:10" ht="15.75">
      <c r="A799" s="4"/>
      <c r="B799" s="4"/>
      <c r="C799" s="4"/>
      <c r="D799" s="4"/>
      <c r="E799" s="4"/>
      <c r="J799" s="7"/>
    </row>
    <row r="800" spans="1:10" ht="15.75">
      <c r="A800" s="4"/>
      <c r="B800" s="4"/>
      <c r="C800" s="4"/>
      <c r="D800" s="4"/>
      <c r="E800" s="4"/>
      <c r="J800" s="7"/>
    </row>
    <row r="801" spans="1:10" ht="15.75">
      <c r="A801" s="4"/>
      <c r="B801" s="4"/>
      <c r="C801" s="4"/>
      <c r="D801" s="4"/>
      <c r="E801" s="4"/>
      <c r="J801" s="7"/>
    </row>
    <row r="802" spans="1:10" ht="15.75">
      <c r="A802" s="4"/>
      <c r="B802" s="4"/>
      <c r="C802" s="4"/>
      <c r="D802" s="4"/>
      <c r="E802" s="4"/>
      <c r="J802" s="7"/>
    </row>
    <row r="803" spans="1:10" ht="15.75">
      <c r="A803" s="4"/>
      <c r="B803" s="4"/>
      <c r="C803" s="4"/>
      <c r="D803" s="4"/>
      <c r="E803" s="4"/>
      <c r="J803" s="7"/>
    </row>
    <row r="804" spans="1:10" ht="15.75">
      <c r="A804" s="4"/>
      <c r="B804" s="4"/>
      <c r="C804" s="4"/>
      <c r="D804" s="4"/>
      <c r="E804" s="4"/>
      <c r="J804" s="7"/>
    </row>
    <row r="805" spans="1:10" ht="15.75">
      <c r="A805" s="4"/>
      <c r="B805" s="4"/>
      <c r="C805" s="4"/>
      <c r="D805" s="4"/>
      <c r="E805" s="4"/>
      <c r="J805" s="7"/>
    </row>
    <row r="806" spans="1:10" ht="15.75">
      <c r="A806" s="4"/>
      <c r="B806" s="4"/>
      <c r="C806" s="4"/>
      <c r="D806" s="4"/>
      <c r="E806" s="4"/>
      <c r="J806" s="7"/>
    </row>
    <row r="807" spans="1:10" ht="15.75">
      <c r="A807" s="4"/>
      <c r="B807" s="4"/>
      <c r="C807" s="4"/>
      <c r="D807" s="4"/>
      <c r="E807" s="4"/>
      <c r="J807" s="7"/>
    </row>
    <row r="808" spans="1:10" ht="15.75">
      <c r="A808" s="4"/>
      <c r="B808" s="4"/>
      <c r="C808" s="4"/>
      <c r="D808" s="4"/>
      <c r="E808" s="4"/>
      <c r="J808" s="7"/>
    </row>
    <row r="809" spans="1:10" ht="15.75">
      <c r="A809" s="4"/>
      <c r="B809" s="4"/>
      <c r="C809" s="4"/>
      <c r="D809" s="4"/>
      <c r="E809" s="4"/>
      <c r="J809" s="7"/>
    </row>
    <row r="810" spans="1:10" ht="15.75">
      <c r="A810" s="4"/>
      <c r="B810" s="4"/>
      <c r="C810" s="4"/>
      <c r="D810" s="4"/>
      <c r="E810" s="4"/>
      <c r="J810" s="7"/>
    </row>
    <row r="811" spans="1:10" ht="15.75">
      <c r="A811" s="4"/>
      <c r="B811" s="4"/>
      <c r="C811" s="4"/>
      <c r="D811" s="4"/>
      <c r="E811" s="4"/>
      <c r="J811" s="7"/>
    </row>
    <row r="812" spans="1:10" ht="15.75">
      <c r="A812" s="4"/>
      <c r="B812" s="4"/>
      <c r="C812" s="4"/>
      <c r="D812" s="4"/>
      <c r="E812" s="4"/>
      <c r="J812" s="7"/>
    </row>
    <row r="813" spans="1:10" ht="15.75">
      <c r="A813" s="4"/>
      <c r="B813" s="4"/>
      <c r="C813" s="4"/>
      <c r="D813" s="4"/>
      <c r="E813" s="4"/>
      <c r="J813" s="7"/>
    </row>
    <row r="814" spans="1:10" ht="15.75">
      <c r="A814" s="4"/>
      <c r="B814" s="4"/>
      <c r="C814" s="4"/>
      <c r="D814" s="4"/>
      <c r="E814" s="4"/>
      <c r="J814" s="7"/>
    </row>
    <row r="815" spans="1:10" ht="15.75">
      <c r="A815" s="4"/>
      <c r="B815" s="4"/>
      <c r="C815" s="4"/>
      <c r="D815" s="4"/>
      <c r="E815" s="4"/>
      <c r="J815" s="7"/>
    </row>
    <row r="816" spans="1:10" ht="15.75">
      <c r="A816" s="4"/>
      <c r="B816" s="4"/>
      <c r="C816" s="4"/>
      <c r="D816" s="4"/>
      <c r="E816" s="4"/>
      <c r="J816" s="7"/>
    </row>
    <row r="817" spans="1:10" ht="15.75">
      <c r="A817" s="4"/>
      <c r="B817" s="4"/>
      <c r="C817" s="4"/>
      <c r="D817" s="4"/>
      <c r="E817" s="4"/>
      <c r="J817" s="7"/>
    </row>
    <row r="818" spans="1:10" ht="15.75">
      <c r="A818" s="4"/>
      <c r="B818" s="4"/>
      <c r="C818" s="4"/>
      <c r="D818" s="4"/>
      <c r="E818" s="4"/>
      <c r="J818" s="7"/>
    </row>
    <row r="819" spans="1:10" ht="15.75">
      <c r="A819" s="4"/>
      <c r="B819" s="4"/>
      <c r="C819" s="4"/>
      <c r="D819" s="4"/>
      <c r="E819" s="4"/>
      <c r="J819" s="7"/>
    </row>
    <row r="820" spans="1:10" ht="15.75">
      <c r="A820" s="4"/>
      <c r="B820" s="4"/>
      <c r="C820" s="4"/>
      <c r="D820" s="4"/>
      <c r="E820" s="4"/>
      <c r="J820" s="7"/>
    </row>
    <row r="821" spans="1:10" ht="15.75">
      <c r="A821" s="4"/>
      <c r="B821" s="4"/>
      <c r="C821" s="4"/>
      <c r="D821" s="4"/>
      <c r="E821" s="4"/>
      <c r="J821" s="7"/>
    </row>
    <row r="822" spans="1:10" ht="15.75">
      <c r="A822" s="4"/>
      <c r="B822" s="4"/>
      <c r="C822" s="4"/>
      <c r="D822" s="4"/>
      <c r="E822" s="4"/>
      <c r="J822" s="7"/>
    </row>
    <row r="823" spans="1:10" ht="15.75">
      <c r="A823" s="4"/>
      <c r="B823" s="4"/>
      <c r="C823" s="4"/>
      <c r="D823" s="4"/>
      <c r="E823" s="4"/>
      <c r="J823" s="7"/>
    </row>
    <row r="824" spans="1:10" ht="15.75">
      <c r="A824" s="4"/>
      <c r="B824" s="4"/>
      <c r="C824" s="4"/>
      <c r="D824" s="4"/>
      <c r="E824" s="4"/>
      <c r="J824" s="7"/>
    </row>
    <row r="825" spans="1:10" ht="15.75">
      <c r="A825" s="4"/>
      <c r="B825" s="4"/>
      <c r="C825" s="4"/>
      <c r="D825" s="4"/>
      <c r="E825" s="4"/>
      <c r="J825" s="7"/>
    </row>
    <row r="826" spans="1:10" ht="15.75">
      <c r="A826" s="4"/>
      <c r="B826" s="4"/>
      <c r="C826" s="4"/>
      <c r="D826" s="4"/>
      <c r="E826" s="4"/>
      <c r="J826" s="7"/>
    </row>
    <row r="827" spans="1:10" ht="15.75">
      <c r="A827" s="4"/>
      <c r="B827" s="4"/>
      <c r="C827" s="4"/>
      <c r="D827" s="4"/>
      <c r="E827" s="4"/>
      <c r="J827" s="7"/>
    </row>
    <row r="828" spans="1:10" ht="15.75">
      <c r="A828" s="4"/>
      <c r="B828" s="4"/>
      <c r="C828" s="4"/>
      <c r="D828" s="4"/>
      <c r="E828" s="4"/>
      <c r="J828" s="7"/>
    </row>
    <row r="829" spans="1:10" ht="15.75">
      <c r="A829" s="4"/>
      <c r="B829" s="4"/>
      <c r="C829" s="4"/>
      <c r="D829" s="4"/>
      <c r="E829" s="4"/>
      <c r="J829" s="7"/>
    </row>
    <row r="830" spans="1:10" ht="15.75">
      <c r="A830" s="4"/>
      <c r="B830" s="4"/>
      <c r="C830" s="4"/>
      <c r="D830" s="4"/>
      <c r="E830" s="4"/>
      <c r="J830" s="7"/>
    </row>
    <row r="831" spans="1:10" ht="15.75">
      <c r="A831" s="4"/>
      <c r="B831" s="4"/>
      <c r="C831" s="4"/>
      <c r="D831" s="4"/>
      <c r="E831" s="4"/>
      <c r="J831" s="7"/>
    </row>
    <row r="832" spans="1:10" ht="15.75">
      <c r="A832" s="4"/>
      <c r="B832" s="4"/>
      <c r="C832" s="4"/>
      <c r="D832" s="4"/>
      <c r="E832" s="4"/>
      <c r="J832" s="7"/>
    </row>
    <row r="833" spans="1:10" ht="15.75">
      <c r="A833" s="4"/>
      <c r="B833" s="4"/>
      <c r="C833" s="4"/>
      <c r="D833" s="4"/>
      <c r="E833" s="4"/>
      <c r="J833" s="7"/>
    </row>
    <row r="834" spans="1:10" ht="15.75">
      <c r="A834" s="4"/>
      <c r="B834" s="4"/>
      <c r="C834" s="4"/>
      <c r="D834" s="4"/>
      <c r="E834" s="4"/>
      <c r="J834" s="7"/>
    </row>
    <row r="835" spans="1:10" ht="15.75">
      <c r="A835" s="4"/>
      <c r="B835" s="4"/>
      <c r="C835" s="4"/>
      <c r="D835" s="4"/>
      <c r="E835" s="4"/>
      <c r="J835" s="7"/>
    </row>
    <row r="836" spans="1:10" ht="15.75">
      <c r="A836" s="4"/>
      <c r="B836" s="4"/>
      <c r="C836" s="4"/>
      <c r="D836" s="4"/>
      <c r="E836" s="4"/>
      <c r="J836" s="7"/>
    </row>
    <row r="837" spans="1:10" ht="15.75">
      <c r="A837" s="4"/>
      <c r="B837" s="4"/>
      <c r="C837" s="4"/>
      <c r="D837" s="4"/>
      <c r="E837" s="4"/>
      <c r="J837" s="7"/>
    </row>
    <row r="838" spans="1:10" ht="15.75">
      <c r="A838" s="4"/>
      <c r="B838" s="4"/>
      <c r="C838" s="4"/>
      <c r="D838" s="4"/>
      <c r="E838" s="4"/>
      <c r="J838" s="7"/>
    </row>
    <row r="839" spans="1:10" ht="15.75">
      <c r="A839" s="4"/>
      <c r="B839" s="4"/>
      <c r="C839" s="4"/>
      <c r="D839" s="4"/>
      <c r="E839" s="4"/>
      <c r="J839" s="7"/>
    </row>
    <row r="840" spans="1:10" ht="15.75">
      <c r="A840" s="4"/>
      <c r="B840" s="4"/>
      <c r="C840" s="4"/>
      <c r="D840" s="4"/>
      <c r="E840" s="4"/>
      <c r="J840" s="7"/>
    </row>
    <row r="841" spans="1:10" ht="15.75">
      <c r="A841" s="4"/>
      <c r="B841" s="4"/>
      <c r="C841" s="4"/>
      <c r="D841" s="4"/>
      <c r="E841" s="4"/>
      <c r="J841" s="7"/>
    </row>
    <row r="842" spans="1:10" ht="15.75">
      <c r="A842" s="4"/>
      <c r="B842" s="4"/>
      <c r="C842" s="4"/>
      <c r="D842" s="4"/>
      <c r="E842" s="4"/>
      <c r="J842" s="7"/>
    </row>
    <row r="843" spans="1:10" ht="15.75">
      <c r="A843" s="4"/>
      <c r="B843" s="4"/>
      <c r="C843" s="4"/>
      <c r="D843" s="4"/>
      <c r="E843" s="4"/>
      <c r="J843" s="7"/>
    </row>
    <row r="844" spans="1:10" ht="15.75">
      <c r="A844" s="4"/>
      <c r="B844" s="4"/>
      <c r="C844" s="4"/>
      <c r="D844" s="4"/>
      <c r="E844" s="4"/>
      <c r="J844" s="7"/>
    </row>
    <row r="845" spans="1:10" ht="15.75">
      <c r="A845" s="4"/>
      <c r="B845" s="4"/>
      <c r="C845" s="4"/>
      <c r="D845" s="4"/>
      <c r="E845" s="4"/>
      <c r="J845" s="7"/>
    </row>
    <row r="846" spans="1:10" ht="15.75">
      <c r="A846" s="4"/>
      <c r="B846" s="4"/>
      <c r="C846" s="4"/>
      <c r="D846" s="4"/>
      <c r="E846" s="4"/>
      <c r="J846" s="7"/>
    </row>
    <row r="847" spans="1:10" ht="15.75">
      <c r="A847" s="4"/>
      <c r="B847" s="4"/>
      <c r="C847" s="4"/>
      <c r="D847" s="4"/>
      <c r="E847" s="4"/>
      <c r="J847" s="7"/>
    </row>
    <row r="848" spans="1:10" ht="15.75">
      <c r="A848" s="4"/>
      <c r="B848" s="4"/>
      <c r="C848" s="4"/>
      <c r="D848" s="4"/>
      <c r="E848" s="4"/>
      <c r="J848" s="7"/>
    </row>
    <row r="849" spans="1:10" ht="15.75">
      <c r="A849" s="4"/>
      <c r="B849" s="4"/>
      <c r="C849" s="4"/>
      <c r="D849" s="4"/>
      <c r="E849" s="4"/>
      <c r="J849" s="7"/>
    </row>
    <row r="850" spans="1:10" ht="15.75">
      <c r="A850" s="4"/>
      <c r="B850" s="4"/>
      <c r="C850" s="4"/>
      <c r="D850" s="4"/>
      <c r="E850" s="4"/>
      <c r="J850" s="7"/>
    </row>
    <row r="851" spans="1:10" ht="15.75">
      <c r="A851" s="4"/>
      <c r="B851" s="4"/>
      <c r="C851" s="4"/>
      <c r="D851" s="4"/>
      <c r="E851" s="4"/>
      <c r="J851" s="7"/>
    </row>
    <row r="852" spans="1:10" ht="15.75">
      <c r="A852" s="4"/>
      <c r="B852" s="4"/>
      <c r="C852" s="4"/>
      <c r="D852" s="4"/>
      <c r="E852" s="4"/>
      <c r="J852" s="7"/>
    </row>
    <row r="853" spans="1:10" ht="15.75">
      <c r="A853" s="4"/>
      <c r="B853" s="4"/>
      <c r="C853" s="4"/>
      <c r="D853" s="4"/>
      <c r="E853" s="4"/>
      <c r="J853" s="7"/>
    </row>
    <row r="854" spans="1:10" ht="15.75">
      <c r="A854" s="4"/>
      <c r="B854" s="4"/>
      <c r="C854" s="4"/>
      <c r="D854" s="4"/>
      <c r="E854" s="4"/>
      <c r="J854" s="7"/>
    </row>
    <row r="855" spans="1:10" ht="15.75">
      <c r="A855" s="4"/>
      <c r="B855" s="4"/>
      <c r="C855" s="4"/>
      <c r="D855" s="4"/>
      <c r="E855" s="4"/>
      <c r="J855" s="7"/>
    </row>
    <row r="856" spans="1:10" ht="15.75">
      <c r="A856" s="4"/>
      <c r="B856" s="4"/>
      <c r="C856" s="4"/>
      <c r="D856" s="4"/>
      <c r="E856" s="4"/>
      <c r="J856" s="7"/>
    </row>
    <row r="857" spans="1:10" ht="15.75">
      <c r="A857" s="4"/>
      <c r="B857" s="4"/>
      <c r="C857" s="4"/>
      <c r="D857" s="4"/>
      <c r="E857" s="4"/>
      <c r="J857" s="7"/>
    </row>
    <row r="858" spans="1:10" ht="15.75">
      <c r="A858" s="4"/>
      <c r="B858" s="4"/>
      <c r="C858" s="4"/>
      <c r="D858" s="4"/>
      <c r="E858" s="4"/>
      <c r="J858" s="7"/>
    </row>
    <row r="859" spans="1:10" ht="15.75">
      <c r="A859" s="4"/>
      <c r="B859" s="4"/>
      <c r="C859" s="4"/>
      <c r="D859" s="4"/>
      <c r="E859" s="4"/>
      <c r="J859" s="7"/>
    </row>
    <row r="860" spans="1:10" ht="15.75">
      <c r="A860" s="4"/>
      <c r="B860" s="4"/>
      <c r="C860" s="4"/>
      <c r="D860" s="4"/>
      <c r="E860" s="4"/>
      <c r="J860" s="7"/>
    </row>
    <row r="861" spans="1:10" ht="15.75">
      <c r="A861" s="4"/>
      <c r="B861" s="4"/>
      <c r="C861" s="4"/>
      <c r="D861" s="4"/>
      <c r="E861" s="4"/>
      <c r="J861" s="7"/>
    </row>
    <row r="862" spans="1:10" ht="15.75">
      <c r="A862" s="4"/>
      <c r="B862" s="4"/>
      <c r="C862" s="4"/>
      <c r="D862" s="4"/>
      <c r="E862" s="4"/>
      <c r="J862" s="7"/>
    </row>
    <row r="863" spans="1:10" ht="15.75">
      <c r="A863" s="4"/>
      <c r="B863" s="4"/>
      <c r="C863" s="4"/>
      <c r="D863" s="4"/>
      <c r="E863" s="4"/>
      <c r="J863" s="7"/>
    </row>
    <row r="864" spans="1:10" ht="15.75">
      <c r="A864" s="4"/>
      <c r="B864" s="4"/>
      <c r="C864" s="4"/>
      <c r="D864" s="4"/>
      <c r="E864" s="4"/>
      <c r="J864" s="7"/>
    </row>
    <row r="865" spans="1:10" ht="15.75">
      <c r="A865" s="4"/>
      <c r="B865" s="4"/>
      <c r="C865" s="4"/>
      <c r="D865" s="4"/>
      <c r="E865" s="4"/>
      <c r="J865" s="7"/>
    </row>
    <row r="866" spans="1:10" ht="15.75">
      <c r="A866" s="4"/>
      <c r="B866" s="4"/>
      <c r="C866" s="4"/>
      <c r="D866" s="4"/>
      <c r="E866" s="4"/>
      <c r="J866" s="7"/>
    </row>
    <row r="867" spans="1:10" ht="15.75">
      <c r="A867" s="4"/>
      <c r="B867" s="4"/>
      <c r="C867" s="4"/>
      <c r="D867" s="4"/>
      <c r="E867" s="4"/>
      <c r="J867" s="7"/>
    </row>
    <row r="868" spans="1:10" ht="15.75">
      <c r="A868" s="4"/>
      <c r="B868" s="4"/>
      <c r="C868" s="4"/>
      <c r="D868" s="4"/>
      <c r="E868" s="4"/>
      <c r="J868" s="7"/>
    </row>
    <row r="869" spans="1:10" ht="15.75">
      <c r="A869" s="4"/>
      <c r="B869" s="4"/>
      <c r="C869" s="4"/>
      <c r="D869" s="4"/>
      <c r="E869" s="4"/>
      <c r="J869" s="7"/>
    </row>
    <row r="870" spans="1:10" ht="15.75">
      <c r="A870" s="4"/>
      <c r="B870" s="4"/>
      <c r="C870" s="4"/>
      <c r="D870" s="4"/>
      <c r="E870" s="4"/>
      <c r="J870" s="7"/>
    </row>
    <row r="871" spans="1:10" ht="15.75">
      <c r="A871" s="4"/>
      <c r="B871" s="4"/>
      <c r="C871" s="4"/>
      <c r="D871" s="4"/>
      <c r="E871" s="4"/>
      <c r="J871" s="7"/>
    </row>
    <row r="872" spans="1:10" ht="15.75">
      <c r="A872" s="4"/>
      <c r="B872" s="4"/>
      <c r="C872" s="4"/>
      <c r="D872" s="4"/>
      <c r="E872" s="4"/>
      <c r="J872" s="7"/>
    </row>
    <row r="873" spans="1:10" ht="15.75">
      <c r="A873" s="4"/>
      <c r="B873" s="4"/>
      <c r="C873" s="4"/>
      <c r="D873" s="4"/>
      <c r="E873" s="4"/>
      <c r="J873" s="7"/>
    </row>
    <row r="874" spans="1:10" ht="15.75">
      <c r="A874" s="4"/>
      <c r="B874" s="4"/>
      <c r="C874" s="4"/>
      <c r="D874" s="4"/>
      <c r="E874" s="4"/>
      <c r="J874" s="7"/>
    </row>
    <row r="875" spans="1:10" ht="15.75">
      <c r="A875" s="4"/>
      <c r="B875" s="4"/>
      <c r="C875" s="4"/>
      <c r="D875" s="4"/>
      <c r="E875" s="4"/>
      <c r="J875" s="7"/>
    </row>
    <row r="876" spans="1:10" ht="15.75">
      <c r="A876" s="4"/>
      <c r="B876" s="4"/>
      <c r="C876" s="4"/>
      <c r="D876" s="4"/>
      <c r="E876" s="4"/>
      <c r="J876" s="7"/>
    </row>
    <row r="877" spans="1:10" ht="15.75">
      <c r="A877" s="4"/>
      <c r="B877" s="4"/>
      <c r="C877" s="4"/>
      <c r="D877" s="4"/>
      <c r="E877" s="4"/>
      <c r="J877" s="7"/>
    </row>
    <row r="878" spans="1:10" ht="15.75">
      <c r="A878" s="4"/>
      <c r="B878" s="4"/>
      <c r="C878" s="4"/>
      <c r="D878" s="4"/>
      <c r="E878" s="4"/>
      <c r="J878" s="7"/>
    </row>
    <row r="879" spans="1:10" ht="15.75">
      <c r="A879" s="4"/>
      <c r="B879" s="4"/>
      <c r="C879" s="4"/>
      <c r="D879" s="4"/>
      <c r="E879" s="4"/>
      <c r="J879" s="7"/>
    </row>
    <row r="880" spans="1:10" ht="15.75">
      <c r="A880" s="4"/>
      <c r="B880" s="4"/>
      <c r="C880" s="4"/>
      <c r="D880" s="4"/>
      <c r="E880" s="4"/>
      <c r="J880" s="7"/>
    </row>
    <row r="881" spans="1:10" ht="15.75">
      <c r="A881" s="4"/>
      <c r="B881" s="4"/>
      <c r="C881" s="4"/>
      <c r="D881" s="4"/>
      <c r="E881" s="4"/>
      <c r="J881" s="7"/>
    </row>
    <row r="882" spans="1:10" ht="15.75">
      <c r="A882" s="4"/>
      <c r="B882" s="4"/>
      <c r="C882" s="4"/>
      <c r="D882" s="4"/>
      <c r="E882" s="4"/>
      <c r="J882" s="7"/>
    </row>
    <row r="883" spans="1:10" ht="15.75">
      <c r="A883" s="4"/>
      <c r="B883" s="4"/>
      <c r="C883" s="4"/>
      <c r="D883" s="4"/>
      <c r="E883" s="4"/>
      <c r="J883" s="7"/>
    </row>
    <row r="884" spans="1:10" ht="15.75">
      <c r="A884" s="4"/>
      <c r="B884" s="4"/>
      <c r="C884" s="4"/>
      <c r="D884" s="4"/>
      <c r="E884" s="4"/>
      <c r="J884" s="7"/>
    </row>
    <row r="885" spans="1:10" ht="15.75">
      <c r="A885" s="4"/>
      <c r="B885" s="4"/>
      <c r="C885" s="4"/>
      <c r="D885" s="4"/>
      <c r="E885" s="4"/>
      <c r="J885" s="7"/>
    </row>
    <row r="886" spans="1:10" ht="15.75">
      <c r="A886" s="4"/>
      <c r="B886" s="4"/>
      <c r="C886" s="4"/>
      <c r="D886" s="4"/>
      <c r="E886" s="4"/>
      <c r="J886" s="7"/>
    </row>
    <row r="887" spans="1:10" ht="15.75">
      <c r="A887" s="4"/>
      <c r="B887" s="4"/>
      <c r="C887" s="4"/>
      <c r="D887" s="4"/>
      <c r="E887" s="4"/>
      <c r="J887" s="7"/>
    </row>
    <row r="888" spans="1:10" ht="15.75">
      <c r="A888" s="4"/>
      <c r="B888" s="4"/>
      <c r="C888" s="4"/>
      <c r="D888" s="4"/>
      <c r="E888" s="4"/>
      <c r="J888" s="7"/>
    </row>
    <row r="889" spans="1:10" ht="15.75">
      <c r="A889" s="4"/>
      <c r="B889" s="4"/>
      <c r="C889" s="4"/>
      <c r="D889" s="4"/>
      <c r="E889" s="4"/>
      <c r="J889" s="7"/>
    </row>
    <row r="890" spans="1:10" ht="15.75">
      <c r="A890" s="4"/>
      <c r="B890" s="4"/>
      <c r="C890" s="4"/>
      <c r="D890" s="4"/>
      <c r="E890" s="4"/>
      <c r="J890" s="7"/>
    </row>
    <row r="891" spans="1:10" ht="15.75">
      <c r="A891" s="4"/>
      <c r="B891" s="4"/>
      <c r="C891" s="4"/>
      <c r="D891" s="4"/>
      <c r="E891" s="4"/>
      <c r="J891" s="7"/>
    </row>
    <row r="892" spans="1:10" ht="15.75">
      <c r="A892" s="4"/>
      <c r="B892" s="4"/>
      <c r="C892" s="4"/>
      <c r="D892" s="4"/>
      <c r="E892" s="4"/>
      <c r="J892" s="7"/>
    </row>
    <row r="893" spans="1:10" ht="15.75">
      <c r="A893" s="4"/>
      <c r="B893" s="4"/>
      <c r="C893" s="4"/>
      <c r="D893" s="4"/>
      <c r="E893" s="4"/>
      <c r="J893" s="7"/>
    </row>
    <row r="894" spans="1:10" ht="15.75">
      <c r="A894" s="4"/>
      <c r="B894" s="4"/>
      <c r="C894" s="4"/>
      <c r="D894" s="4"/>
      <c r="E894" s="4"/>
      <c r="J894" s="7"/>
    </row>
    <row r="895" spans="1:10" ht="15.75">
      <c r="A895" s="4"/>
      <c r="B895" s="4"/>
      <c r="C895" s="4"/>
      <c r="D895" s="4"/>
      <c r="E895" s="4"/>
      <c r="J895" s="7"/>
    </row>
    <row r="896" spans="1:10" ht="15.75">
      <c r="A896" s="4"/>
      <c r="B896" s="4"/>
      <c r="C896" s="4"/>
      <c r="D896" s="4"/>
      <c r="E896" s="4"/>
      <c r="J896" s="7"/>
    </row>
    <row r="897" spans="1:10" ht="15.75">
      <c r="A897" s="4"/>
      <c r="B897" s="4"/>
      <c r="C897" s="4"/>
      <c r="D897" s="4"/>
      <c r="E897" s="4"/>
      <c r="J897" s="7"/>
    </row>
    <row r="898" spans="1:10" ht="15.75">
      <c r="A898" s="4"/>
      <c r="B898" s="4"/>
      <c r="C898" s="4"/>
      <c r="D898" s="4"/>
      <c r="E898" s="4"/>
      <c r="J898" s="7"/>
    </row>
    <row r="899" spans="1:10" ht="15.75">
      <c r="A899" s="4"/>
      <c r="B899" s="4"/>
      <c r="C899" s="4"/>
      <c r="D899" s="4"/>
      <c r="E899" s="4"/>
      <c r="J899" s="7"/>
    </row>
    <row r="900" spans="1:10" ht="15.75">
      <c r="A900" s="4"/>
      <c r="B900" s="4"/>
      <c r="C900" s="4"/>
      <c r="D900" s="4"/>
      <c r="E900" s="4"/>
      <c r="J900" s="7"/>
    </row>
    <row r="901" spans="1:10" ht="15.75">
      <c r="A901" s="4"/>
      <c r="B901" s="4"/>
      <c r="C901" s="4"/>
      <c r="D901" s="4"/>
      <c r="E901" s="4"/>
      <c r="J901" s="7"/>
    </row>
    <row r="902" spans="1:10" ht="15.75">
      <c r="A902" s="4"/>
      <c r="B902" s="4"/>
      <c r="C902" s="4"/>
      <c r="D902" s="4"/>
      <c r="E902" s="4"/>
      <c r="J902" s="7"/>
    </row>
    <row r="903" spans="1:10" ht="15.75">
      <c r="A903" s="4"/>
      <c r="B903" s="4"/>
      <c r="C903" s="4"/>
      <c r="D903" s="4"/>
      <c r="E903" s="4"/>
      <c r="J903" s="7"/>
    </row>
    <row r="904" spans="1:10" ht="15.75">
      <c r="A904" s="4"/>
      <c r="B904" s="4"/>
      <c r="C904" s="4"/>
      <c r="D904" s="4"/>
      <c r="E904" s="4"/>
      <c r="J904" s="7"/>
    </row>
    <row r="905" spans="1:10" ht="15.75">
      <c r="A905" s="4"/>
      <c r="B905" s="4"/>
      <c r="C905" s="4"/>
      <c r="D905" s="4"/>
      <c r="E905" s="4"/>
      <c r="J905" s="7"/>
    </row>
    <row r="906" spans="1:10" ht="15.75">
      <c r="A906" s="4"/>
      <c r="B906" s="4"/>
      <c r="C906" s="4"/>
      <c r="D906" s="4"/>
      <c r="E906" s="4"/>
      <c r="J906" s="7"/>
    </row>
    <row r="907" spans="1:10" ht="15.75">
      <c r="A907" s="4"/>
      <c r="B907" s="4"/>
      <c r="C907" s="4"/>
      <c r="D907" s="4"/>
      <c r="E907" s="4"/>
      <c r="J907" s="7"/>
    </row>
    <row r="908" spans="1:10" ht="15.75">
      <c r="A908" s="4"/>
      <c r="B908" s="4"/>
      <c r="C908" s="4"/>
      <c r="D908" s="4"/>
      <c r="E908" s="4"/>
      <c r="J908" s="7"/>
    </row>
    <row r="909" spans="1:10" ht="15.75">
      <c r="A909" s="4"/>
      <c r="B909" s="4"/>
      <c r="C909" s="4"/>
      <c r="D909" s="4"/>
      <c r="E909" s="4"/>
      <c r="J909" s="7"/>
    </row>
    <row r="910" spans="1:10" ht="15.75">
      <c r="A910" s="4"/>
      <c r="B910" s="4"/>
      <c r="C910" s="4"/>
      <c r="D910" s="4"/>
      <c r="E910" s="4"/>
      <c r="J910" s="7"/>
    </row>
    <row r="911" spans="1:10" ht="15.75">
      <c r="A911" s="4"/>
      <c r="B911" s="4"/>
      <c r="C911" s="4"/>
      <c r="D911" s="4"/>
      <c r="E911" s="4"/>
      <c r="J911" s="7"/>
    </row>
    <row r="912" spans="1:10" ht="15.75">
      <c r="A912" s="4"/>
      <c r="B912" s="4"/>
      <c r="C912" s="4"/>
      <c r="D912" s="4"/>
      <c r="E912" s="4"/>
      <c r="J912" s="7"/>
    </row>
    <row r="913" spans="1:10" ht="15.75">
      <c r="A913" s="4"/>
      <c r="B913" s="4"/>
      <c r="C913" s="4"/>
      <c r="D913" s="4"/>
      <c r="E913" s="4"/>
      <c r="J913" s="7"/>
    </row>
    <row r="914" spans="1:10" ht="15.75">
      <c r="A914" s="4"/>
      <c r="B914" s="4"/>
      <c r="C914" s="4"/>
      <c r="D914" s="4"/>
      <c r="E914" s="4"/>
      <c r="J914" s="7"/>
    </row>
    <row r="915" spans="1:10" ht="15.75">
      <c r="A915" s="4"/>
      <c r="B915" s="4"/>
      <c r="C915" s="4"/>
      <c r="D915" s="4"/>
      <c r="E915" s="4"/>
      <c r="J915" s="7"/>
    </row>
    <row r="916" spans="1:10" ht="15.75">
      <c r="A916" s="4"/>
      <c r="B916" s="4"/>
      <c r="C916" s="4"/>
      <c r="D916" s="4"/>
      <c r="E916" s="4"/>
      <c r="J916" s="7"/>
    </row>
    <row r="917" spans="1:10" ht="15.75">
      <c r="A917" s="4"/>
      <c r="B917" s="4"/>
      <c r="C917" s="4"/>
      <c r="D917" s="4"/>
      <c r="E917" s="4"/>
      <c r="J917" s="7"/>
    </row>
    <row r="918" spans="1:10" ht="15.75">
      <c r="A918" s="4"/>
      <c r="B918" s="4"/>
      <c r="C918" s="4"/>
      <c r="D918" s="4"/>
      <c r="E918" s="4"/>
      <c r="J918" s="7"/>
    </row>
    <row r="919" spans="1:10" ht="15.75">
      <c r="A919" s="4"/>
      <c r="B919" s="4"/>
      <c r="C919" s="4"/>
      <c r="D919" s="4"/>
      <c r="E919" s="4"/>
      <c r="J919" s="7"/>
    </row>
    <row r="920" spans="1:10" ht="15.75">
      <c r="A920" s="4"/>
      <c r="B920" s="4"/>
      <c r="C920" s="4"/>
      <c r="D920" s="4"/>
      <c r="E920" s="4"/>
      <c r="J920" s="7"/>
    </row>
    <row r="921" spans="1:10" ht="15.75">
      <c r="A921" s="4"/>
      <c r="B921" s="4"/>
      <c r="C921" s="4"/>
      <c r="D921" s="4"/>
      <c r="E921" s="4"/>
      <c r="J921" s="7"/>
    </row>
    <row r="922" spans="1:10" ht="15.75">
      <c r="A922" s="4"/>
      <c r="B922" s="4"/>
      <c r="C922" s="4"/>
      <c r="D922" s="4"/>
      <c r="E922" s="4"/>
      <c r="J922" s="7"/>
    </row>
    <row r="923" spans="1:10" ht="15.75">
      <c r="A923" s="4"/>
      <c r="B923" s="4"/>
      <c r="C923" s="4"/>
      <c r="D923" s="4"/>
      <c r="E923" s="4"/>
      <c r="J923" s="7"/>
    </row>
    <row r="924" spans="1:10" ht="15.75">
      <c r="A924" s="4"/>
      <c r="B924" s="4"/>
      <c r="C924" s="4"/>
      <c r="D924" s="4"/>
      <c r="E924" s="4"/>
      <c r="J924" s="7"/>
    </row>
    <row r="925" spans="1:10" ht="15.75">
      <c r="A925" s="4"/>
      <c r="B925" s="4"/>
      <c r="C925" s="4"/>
      <c r="D925" s="4"/>
      <c r="E925" s="4"/>
      <c r="J925" s="7"/>
    </row>
    <row r="926" spans="1:10" ht="15.75">
      <c r="A926" s="4"/>
      <c r="B926" s="4"/>
      <c r="C926" s="4"/>
      <c r="D926" s="4"/>
      <c r="E926" s="4"/>
      <c r="J926" s="7"/>
    </row>
    <row r="927" spans="1:10" ht="15.75">
      <c r="A927" s="4"/>
      <c r="B927" s="4"/>
      <c r="C927" s="4"/>
      <c r="D927" s="4"/>
      <c r="E927" s="4"/>
      <c r="J927" s="7"/>
    </row>
    <row r="928" spans="1:10" ht="15.75">
      <c r="A928" s="4"/>
      <c r="B928" s="4"/>
      <c r="C928" s="4"/>
      <c r="D928" s="4"/>
      <c r="E928" s="4"/>
      <c r="J928" s="7"/>
    </row>
    <row r="929" spans="1:10" ht="15.75">
      <c r="A929" s="4"/>
      <c r="B929" s="4"/>
      <c r="C929" s="4"/>
      <c r="D929" s="4"/>
      <c r="E929" s="4"/>
      <c r="J929" s="7"/>
    </row>
    <row r="930" spans="1:10" ht="15.75">
      <c r="A930" s="4"/>
      <c r="B930" s="4"/>
      <c r="C930" s="4"/>
      <c r="D930" s="4"/>
      <c r="E930" s="4"/>
      <c r="J930" s="7"/>
    </row>
    <row r="931" spans="1:10" ht="15.75">
      <c r="A931" s="4"/>
      <c r="B931" s="4"/>
      <c r="C931" s="4"/>
      <c r="D931" s="4"/>
      <c r="E931" s="4"/>
      <c r="J931" s="7"/>
    </row>
    <row r="932" spans="1:10" ht="15.75">
      <c r="A932" s="4"/>
      <c r="B932" s="4"/>
      <c r="C932" s="4"/>
      <c r="D932" s="4"/>
      <c r="E932" s="4"/>
      <c r="J932" s="7"/>
    </row>
    <row r="933" spans="1:10" ht="15.75">
      <c r="A933" s="4"/>
      <c r="B933" s="4"/>
      <c r="C933" s="4"/>
      <c r="D933" s="4"/>
      <c r="E933" s="4"/>
      <c r="J933" s="7"/>
    </row>
    <row r="934" spans="1:10" ht="15.75">
      <c r="A934" s="4"/>
      <c r="B934" s="4"/>
      <c r="C934" s="4"/>
      <c r="D934" s="4"/>
      <c r="E934" s="4"/>
      <c r="J934" s="7"/>
    </row>
    <row r="935" spans="1:10" ht="15.75">
      <c r="A935" s="4"/>
      <c r="B935" s="4"/>
      <c r="C935" s="4"/>
      <c r="D935" s="4"/>
      <c r="E935" s="4"/>
      <c r="J935" s="7"/>
    </row>
    <row r="936" spans="1:10" ht="15.75">
      <c r="A936" s="4"/>
      <c r="B936" s="4"/>
      <c r="C936" s="4"/>
      <c r="D936" s="4"/>
      <c r="E936" s="4"/>
      <c r="J936" s="7"/>
    </row>
    <row r="937" spans="1:10" ht="15.75">
      <c r="A937" s="4"/>
      <c r="B937" s="4"/>
      <c r="C937" s="4"/>
      <c r="D937" s="4"/>
      <c r="E937" s="4"/>
      <c r="J937" s="7"/>
    </row>
    <row r="938" spans="1:10" ht="15.75">
      <c r="A938" s="4"/>
      <c r="B938" s="4"/>
      <c r="C938" s="4"/>
      <c r="D938" s="4"/>
      <c r="E938" s="4"/>
      <c r="J938" s="7"/>
    </row>
    <row r="939" spans="1:10" ht="15.75">
      <c r="A939" s="4"/>
      <c r="B939" s="4"/>
      <c r="C939" s="4"/>
      <c r="D939" s="4"/>
      <c r="E939" s="4"/>
      <c r="J939" s="7"/>
    </row>
    <row r="940" spans="1:10" ht="15.75">
      <c r="A940" s="4"/>
      <c r="B940" s="4"/>
      <c r="C940" s="4"/>
      <c r="D940" s="4"/>
      <c r="E940" s="4"/>
      <c r="J940" s="7"/>
    </row>
    <row r="941" spans="1:10" ht="15.75">
      <c r="A941" s="4"/>
      <c r="B941" s="4"/>
      <c r="C941" s="4"/>
      <c r="D941" s="4"/>
      <c r="E941" s="4"/>
      <c r="J941" s="7"/>
    </row>
    <row r="942" spans="1:10" ht="15.75">
      <c r="A942" s="4"/>
      <c r="B942" s="4"/>
      <c r="C942" s="4"/>
      <c r="D942" s="4"/>
      <c r="E942" s="4"/>
      <c r="J942" s="7"/>
    </row>
    <row r="943" spans="1:10" ht="15.75">
      <c r="A943" s="4"/>
      <c r="B943" s="4"/>
      <c r="C943" s="4"/>
      <c r="D943" s="4"/>
      <c r="E943" s="4"/>
      <c r="J943" s="7"/>
    </row>
    <row r="944" spans="1:10" ht="15.75">
      <c r="A944" s="4"/>
      <c r="B944" s="4"/>
      <c r="C944" s="4"/>
      <c r="D944" s="4"/>
      <c r="E944" s="4"/>
      <c r="J944" s="7"/>
    </row>
    <row r="945" spans="1:10" ht="15.75">
      <c r="A945" s="4"/>
      <c r="B945" s="4"/>
      <c r="C945" s="4"/>
      <c r="D945" s="4"/>
      <c r="E945" s="4"/>
      <c r="J945" s="7"/>
    </row>
    <row r="946" spans="1:10" ht="15.75">
      <c r="A946" s="4"/>
      <c r="B946" s="4"/>
      <c r="C946" s="4"/>
      <c r="D946" s="4"/>
      <c r="E946" s="4"/>
      <c r="J946" s="7"/>
    </row>
    <row r="947" spans="1:10" ht="15.75">
      <c r="A947" s="4"/>
      <c r="B947" s="4"/>
      <c r="C947" s="4"/>
      <c r="D947" s="4"/>
      <c r="E947" s="4"/>
      <c r="J947" s="7"/>
    </row>
    <row r="948" spans="1:10" ht="15.75">
      <c r="A948" s="4"/>
      <c r="B948" s="4"/>
      <c r="C948" s="4"/>
      <c r="D948" s="4"/>
      <c r="E948" s="4"/>
      <c r="J948" s="7"/>
    </row>
    <row r="949" spans="1:10" ht="15.75">
      <c r="A949" s="4"/>
      <c r="B949" s="4"/>
      <c r="C949" s="4"/>
      <c r="D949" s="4"/>
      <c r="E949" s="4"/>
      <c r="J949" s="7"/>
    </row>
    <row r="950" spans="1:10" ht="15.75">
      <c r="A950" s="4"/>
      <c r="B950" s="4"/>
      <c r="C950" s="4"/>
      <c r="D950" s="4"/>
      <c r="E950" s="4"/>
      <c r="J950" s="7"/>
    </row>
    <row r="951" spans="1:10" ht="15.75">
      <c r="A951" s="4"/>
      <c r="B951" s="4"/>
      <c r="C951" s="4"/>
      <c r="D951" s="4"/>
      <c r="E951" s="4"/>
      <c r="J951" s="7"/>
    </row>
    <row r="952" spans="1:10" ht="15.75">
      <c r="A952" s="4"/>
      <c r="B952" s="4"/>
      <c r="C952" s="4"/>
      <c r="D952" s="4"/>
      <c r="E952" s="4"/>
      <c r="J952" s="7"/>
    </row>
    <row r="953" spans="1:10" ht="15.75">
      <c r="A953" s="4"/>
      <c r="B953" s="4"/>
      <c r="C953" s="4"/>
      <c r="D953" s="4"/>
      <c r="E953" s="4"/>
      <c r="J953" s="7"/>
    </row>
    <row r="954" spans="1:10" ht="15.75">
      <c r="A954" s="4"/>
      <c r="B954" s="4"/>
      <c r="C954" s="4"/>
      <c r="D954" s="4"/>
      <c r="E954" s="4"/>
      <c r="J954" s="7"/>
    </row>
    <row r="955" spans="1:10" ht="15.75">
      <c r="A955" s="4"/>
      <c r="B955" s="4"/>
      <c r="C955" s="4"/>
      <c r="D955" s="4"/>
      <c r="E955" s="4"/>
      <c r="J955" s="7"/>
    </row>
    <row r="956" spans="1:10" ht="15.75">
      <c r="A956" s="4"/>
      <c r="B956" s="4"/>
      <c r="C956" s="4"/>
      <c r="D956" s="4"/>
      <c r="E956" s="4"/>
      <c r="J956" s="7"/>
    </row>
    <row r="957" spans="1:10" ht="15.75">
      <c r="A957" s="4"/>
      <c r="B957" s="4"/>
      <c r="C957" s="4"/>
      <c r="D957" s="4"/>
      <c r="E957" s="4"/>
      <c r="J957" s="7"/>
    </row>
    <row r="958" spans="1:10" ht="15.75">
      <c r="A958" s="4"/>
      <c r="B958" s="4"/>
      <c r="C958" s="4"/>
      <c r="D958" s="4"/>
      <c r="E958" s="4"/>
      <c r="J958" s="7"/>
    </row>
    <row r="959" spans="1:10" ht="15.75">
      <c r="A959" s="4"/>
      <c r="B959" s="4"/>
      <c r="C959" s="4"/>
      <c r="D959" s="4"/>
      <c r="E959" s="4"/>
      <c r="J959" s="7"/>
    </row>
    <row r="960" spans="1:10" ht="15.75">
      <c r="A960" s="4"/>
      <c r="B960" s="4"/>
      <c r="C960" s="4"/>
      <c r="D960" s="4"/>
      <c r="E960" s="4"/>
      <c r="J960" s="7"/>
    </row>
    <row r="961" spans="1:10" ht="15.75">
      <c r="A961" s="4"/>
      <c r="B961" s="4"/>
      <c r="C961" s="4"/>
      <c r="D961" s="4"/>
      <c r="E961" s="4"/>
      <c r="J961" s="7"/>
    </row>
    <row r="962" spans="1:10" ht="15.75">
      <c r="A962" s="4"/>
      <c r="B962" s="4"/>
      <c r="C962" s="4"/>
      <c r="D962" s="4"/>
      <c r="E962" s="4"/>
      <c r="J962" s="7"/>
    </row>
    <row r="963" spans="1:10" ht="15.75">
      <c r="A963" s="4"/>
      <c r="B963" s="4"/>
      <c r="C963" s="4"/>
      <c r="D963" s="4"/>
      <c r="E963" s="4"/>
      <c r="J963" s="7"/>
    </row>
    <row r="964" spans="1:10" ht="15.75">
      <c r="A964" s="4"/>
      <c r="B964" s="4"/>
      <c r="C964" s="4"/>
      <c r="D964" s="4"/>
      <c r="E964" s="4"/>
      <c r="J964" s="7"/>
    </row>
    <row r="965" spans="1:10" ht="15.75">
      <c r="A965" s="4"/>
      <c r="B965" s="4"/>
      <c r="C965" s="4"/>
      <c r="D965" s="4"/>
      <c r="E965" s="4"/>
      <c r="J965" s="7"/>
    </row>
    <row r="966" spans="1:10" ht="15.75">
      <c r="A966" s="4"/>
      <c r="B966" s="4"/>
      <c r="C966" s="4"/>
      <c r="D966" s="4"/>
      <c r="E966" s="4"/>
      <c r="J966" s="7"/>
    </row>
    <row r="967" spans="1:10" ht="15.75">
      <c r="A967" s="4"/>
      <c r="B967" s="4"/>
      <c r="C967" s="4"/>
      <c r="D967" s="4"/>
      <c r="E967" s="4"/>
      <c r="J967" s="7"/>
    </row>
    <row r="968" spans="1:10" ht="15.75">
      <c r="A968" s="4"/>
      <c r="B968" s="4"/>
      <c r="C968" s="4"/>
      <c r="D968" s="4"/>
      <c r="E968" s="4"/>
      <c r="J968" s="7"/>
    </row>
    <row r="969" spans="1:10" ht="15.75">
      <c r="A969" s="4"/>
      <c r="B969" s="4"/>
      <c r="C969" s="4"/>
      <c r="D969" s="4"/>
      <c r="E969" s="4"/>
      <c r="J969" s="7"/>
    </row>
    <row r="970" spans="1:10" ht="15.75">
      <c r="A970" s="4"/>
      <c r="B970" s="4"/>
      <c r="C970" s="4"/>
      <c r="D970" s="4"/>
      <c r="E970" s="4"/>
      <c r="J970" s="7"/>
    </row>
    <row r="971" spans="1:10" ht="15.75">
      <c r="A971" s="4"/>
      <c r="B971" s="4"/>
      <c r="C971" s="4"/>
      <c r="D971" s="4"/>
      <c r="E971" s="4"/>
      <c r="J971" s="7"/>
    </row>
    <row r="972" spans="1:10" ht="15.75">
      <c r="A972" s="4"/>
      <c r="B972" s="4"/>
      <c r="C972" s="4"/>
      <c r="D972" s="4"/>
      <c r="E972" s="4"/>
      <c r="J972" s="7"/>
    </row>
    <row r="973" spans="1:10" ht="15.75">
      <c r="A973" s="4"/>
      <c r="B973" s="4"/>
      <c r="C973" s="4"/>
      <c r="D973" s="4"/>
      <c r="E973" s="4"/>
      <c r="J973" s="7"/>
    </row>
    <row r="974" spans="1:10" ht="15.75">
      <c r="A974" s="4"/>
      <c r="B974" s="4"/>
      <c r="C974" s="4"/>
      <c r="D974" s="4"/>
      <c r="E974" s="4"/>
      <c r="J974" s="7"/>
    </row>
    <row r="975" spans="1:10" ht="15.75">
      <c r="A975" s="4"/>
      <c r="B975" s="4"/>
      <c r="C975" s="4"/>
      <c r="D975" s="4"/>
      <c r="E975" s="4"/>
      <c r="J975" s="7"/>
    </row>
    <row r="976" spans="1:10" ht="15.75">
      <c r="A976" s="4"/>
      <c r="B976" s="4"/>
      <c r="C976" s="4"/>
      <c r="D976" s="4"/>
      <c r="E976" s="4"/>
      <c r="J976" s="7"/>
    </row>
    <row r="977" spans="1:10" ht="15.75">
      <c r="A977" s="4"/>
      <c r="B977" s="4"/>
      <c r="C977" s="4"/>
      <c r="D977" s="4"/>
      <c r="E977" s="4"/>
      <c r="J977" s="7"/>
    </row>
    <row r="978" spans="1:10" ht="15.75">
      <c r="A978" s="4"/>
      <c r="B978" s="4"/>
      <c r="C978" s="4"/>
      <c r="D978" s="4"/>
      <c r="E978" s="4"/>
      <c r="J978" s="7"/>
    </row>
    <row r="979" spans="1:10" ht="15.75">
      <c r="A979" s="4"/>
      <c r="B979" s="4"/>
      <c r="C979" s="4"/>
      <c r="D979" s="4"/>
      <c r="E979" s="4"/>
      <c r="J979" s="7"/>
    </row>
    <row r="980" spans="1:10" ht="15.75">
      <c r="A980" s="4"/>
      <c r="B980" s="4"/>
      <c r="C980" s="4"/>
      <c r="D980" s="4"/>
      <c r="E980" s="4"/>
      <c r="J980" s="7"/>
    </row>
    <row r="981" spans="1:10" ht="15.75">
      <c r="A981" s="4"/>
      <c r="B981" s="4"/>
      <c r="C981" s="4"/>
      <c r="D981" s="4"/>
      <c r="E981" s="4"/>
      <c r="J981" s="7"/>
    </row>
    <row r="982" spans="1:10" ht="15.75">
      <c r="A982" s="4"/>
      <c r="B982" s="4"/>
      <c r="C982" s="4"/>
      <c r="D982" s="4"/>
      <c r="E982" s="4"/>
      <c r="J982" s="7"/>
    </row>
    <row r="983" spans="1:10" ht="15.75">
      <c r="A983" s="4"/>
      <c r="B983" s="4"/>
      <c r="C983" s="4"/>
      <c r="D983" s="4"/>
      <c r="E983" s="4"/>
      <c r="J983" s="7"/>
    </row>
    <row r="984" spans="1:10" ht="15.75">
      <c r="A984" s="4"/>
      <c r="B984" s="4"/>
      <c r="C984" s="4"/>
      <c r="D984" s="4"/>
      <c r="E984" s="4"/>
      <c r="J984" s="7"/>
    </row>
    <row r="985" spans="1:10" ht="15.75">
      <c r="A985" s="4"/>
      <c r="B985" s="4"/>
      <c r="C985" s="4"/>
      <c r="D985" s="4"/>
      <c r="E985" s="4"/>
      <c r="J985" s="7"/>
    </row>
    <row r="986" spans="1:10" ht="15.75">
      <c r="A986" s="4"/>
      <c r="B986" s="4"/>
      <c r="C986" s="4"/>
      <c r="D986" s="4"/>
      <c r="E986" s="4"/>
      <c r="J986" s="7"/>
    </row>
    <row r="987" spans="1:10" ht="15.75">
      <c r="A987" s="4"/>
      <c r="B987" s="4"/>
      <c r="C987" s="4"/>
      <c r="D987" s="4"/>
      <c r="E987" s="4"/>
      <c r="J987" s="7"/>
    </row>
    <row r="988" spans="1:10" ht="15.75">
      <c r="A988" s="4"/>
      <c r="B988" s="4"/>
      <c r="C988" s="4"/>
      <c r="D988" s="4"/>
      <c r="E988" s="4"/>
      <c r="J988" s="7"/>
    </row>
    <row r="989" spans="1:10" ht="15.75">
      <c r="A989" s="4"/>
      <c r="B989" s="4"/>
      <c r="C989" s="4"/>
      <c r="D989" s="4"/>
      <c r="E989" s="4"/>
      <c r="J989" s="7"/>
    </row>
    <row r="990" spans="1:10" ht="15.75">
      <c r="A990" s="4"/>
      <c r="B990" s="4"/>
      <c r="C990" s="4"/>
      <c r="D990" s="4"/>
      <c r="E990" s="4"/>
      <c r="J990" s="7"/>
    </row>
    <row r="991" spans="1:10" ht="15.75">
      <c r="A991" s="4"/>
      <c r="B991" s="4"/>
      <c r="C991" s="4"/>
      <c r="D991" s="4"/>
      <c r="E991" s="4"/>
      <c r="J991" s="7"/>
    </row>
    <row r="992" spans="1:10" ht="15.75">
      <c r="A992" s="4"/>
      <c r="B992" s="4"/>
      <c r="C992" s="4"/>
      <c r="D992" s="4"/>
      <c r="E992" s="4"/>
      <c r="J992" s="7"/>
    </row>
    <row r="993" spans="1:10" ht="15.75">
      <c r="A993" s="4"/>
      <c r="B993" s="4"/>
      <c r="C993" s="4"/>
      <c r="D993" s="4"/>
      <c r="E993" s="4"/>
      <c r="J993" s="7"/>
    </row>
    <row r="994" spans="1:10" ht="15.75">
      <c r="A994" s="4"/>
      <c r="B994" s="4"/>
      <c r="C994" s="4"/>
      <c r="D994" s="4"/>
      <c r="E994" s="4"/>
      <c r="J994" s="7"/>
    </row>
    <row r="995" spans="1:10" ht="15.75">
      <c r="A995" s="4"/>
      <c r="B995" s="4"/>
      <c r="C995" s="4"/>
      <c r="D995" s="4"/>
      <c r="E995" s="4"/>
      <c r="J995" s="7"/>
    </row>
    <row r="996" spans="1:10" ht="15.75">
      <c r="A996" s="4"/>
      <c r="B996" s="4"/>
      <c r="C996" s="4"/>
      <c r="D996" s="4"/>
      <c r="E996" s="4"/>
      <c r="J996" s="7"/>
    </row>
    <row r="997" spans="1:10" ht="15.75">
      <c r="A997" s="4"/>
      <c r="B997" s="4"/>
      <c r="C997" s="4"/>
      <c r="D997" s="4"/>
      <c r="E997" s="4"/>
      <c r="J997" s="4"/>
    </row>
    <row r="998" spans="1:10" ht="15.75">
      <c r="A998" s="4"/>
      <c r="B998" s="4"/>
      <c r="C998" s="4"/>
      <c r="D998" s="4"/>
      <c r="E998" s="4"/>
      <c r="J998" s="4"/>
    </row>
    <row r="999" spans="1:10" ht="15.75">
      <c r="A999" s="4"/>
      <c r="B999" s="4"/>
      <c r="C999" s="4"/>
      <c r="D999" s="4"/>
      <c r="E999" s="4"/>
    </row>
    <row r="1000" spans="1:10" ht="15.75">
      <c r="A1000" s="4"/>
      <c r="B1000" s="4"/>
      <c r="C1000" s="4"/>
      <c r="D1000" s="4"/>
      <c r="E1000" s="4"/>
    </row>
    <row r="1001" spans="1:10" ht="15.75">
      <c r="A1001" s="4"/>
      <c r="B1001" s="4"/>
      <c r="C1001" s="4"/>
      <c r="D1001" s="4"/>
      <c r="E1001" s="4"/>
    </row>
    <row r="1002" spans="1:10" ht="15.75">
      <c r="A1002" s="4"/>
      <c r="B1002" s="4"/>
      <c r="C1002" s="4"/>
      <c r="D1002" s="4"/>
      <c r="E1002" s="4"/>
    </row>
    <row r="1003" spans="1:10" ht="15.75">
      <c r="A1003" s="4"/>
      <c r="B1003" s="4"/>
      <c r="C1003" s="4"/>
      <c r="D1003" s="4"/>
      <c r="E1003" s="4"/>
    </row>
    <row r="1004" spans="1:10" ht="15.75">
      <c r="A1004" s="4"/>
      <c r="B1004" s="4"/>
      <c r="C1004" s="4"/>
      <c r="D1004" s="4"/>
      <c r="E1004" s="4"/>
    </row>
    <row r="1005" spans="1:10" ht="15.75">
      <c r="A1005" s="4"/>
      <c r="B1005" s="4"/>
      <c r="C1005" s="4"/>
      <c r="D1005" s="4"/>
      <c r="E1005" s="4"/>
    </row>
    <row r="1006" spans="1:10" ht="15.75">
      <c r="A1006" s="4"/>
      <c r="B1006" s="4"/>
      <c r="C1006" s="4"/>
      <c r="D1006" s="4"/>
      <c r="E1006" s="4"/>
    </row>
  </sheetData>
  <mergeCells count="29"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4:W5"/>
    <mergeCell ref="X4:X5"/>
    <mergeCell ref="Y4:Y5"/>
    <mergeCell ref="B1:F1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S201"/>
  <sheetViews>
    <sheetView workbookViewId="0"/>
  </sheetViews>
  <sheetFormatPr baseColWidth="10" defaultColWidth="11.25" defaultRowHeight="15" customHeight="1"/>
  <cols>
    <col min="1" max="1" width="2.625" customWidth="1"/>
    <col min="2" max="2" width="9.375" customWidth="1"/>
    <col min="3" max="3" width="10.375" customWidth="1"/>
    <col min="4" max="4" width="14.625" customWidth="1"/>
    <col min="5" max="5" width="8.625" customWidth="1"/>
    <col min="6" max="6" width="10.375" customWidth="1"/>
    <col min="7" max="7" width="12.5" customWidth="1"/>
    <col min="8" max="8" width="10.125" customWidth="1"/>
    <col min="9" max="9" width="8.625" customWidth="1"/>
    <col min="10" max="10" width="10.625" customWidth="1"/>
    <col min="11" max="12" width="9.5" customWidth="1"/>
    <col min="13" max="13" width="9.25" customWidth="1"/>
    <col min="14" max="14" width="9.75" customWidth="1"/>
    <col min="15" max="15" width="14.5" customWidth="1"/>
    <col min="16" max="16" width="22.5" customWidth="1"/>
  </cols>
  <sheetData>
    <row r="2" spans="2:1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5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2:1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>
      <c r="B5" s="137" t="s">
        <v>21</v>
      </c>
      <c r="C5" s="137" t="s">
        <v>130</v>
      </c>
      <c r="D5" s="137" t="s">
        <v>140</v>
      </c>
      <c r="E5" s="137" t="s">
        <v>133</v>
      </c>
      <c r="F5" s="137" t="s">
        <v>136</v>
      </c>
      <c r="G5" s="137" t="s">
        <v>132</v>
      </c>
      <c r="H5" s="137" t="s">
        <v>137</v>
      </c>
      <c r="I5" s="137" t="s">
        <v>128</v>
      </c>
      <c r="J5" s="137" t="s">
        <v>129</v>
      </c>
      <c r="K5" s="137" t="s">
        <v>144</v>
      </c>
      <c r="L5" s="137" t="s">
        <v>131</v>
      </c>
      <c r="M5" s="137" t="s">
        <v>127</v>
      </c>
      <c r="N5" s="137" t="s">
        <v>142</v>
      </c>
      <c r="O5" s="139" t="s">
        <v>145</v>
      </c>
    </row>
    <row r="6" spans="2:15"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</row>
    <row r="7" spans="2:15">
      <c r="B7" s="46">
        <f ca="1">principal!L6+cocina!L6+servicio!L6+panaderia!L6+pasteleria!L6</f>
        <v>1223142.0105268499</v>
      </c>
      <c r="C7" s="53">
        <f ca="1">principal!P6+cocina!P6+servicio!P6+panaderia!M6+pasteleria!O6</f>
        <v>377627.44483022002</v>
      </c>
      <c r="D7" s="53">
        <f ca="1">principal!V6+cocina!V6+servicio!V6+panaderia!N6+pasteleria!U6</f>
        <v>0</v>
      </c>
      <c r="E7" s="53">
        <f ca="1">principal!S6+cocina!S6+servicio!S6+panaderia!O6+pasteleria!S6</f>
        <v>548591.64390000002</v>
      </c>
      <c r="F7" s="46">
        <f ca="1">principal!T6+cocina!T6+servicio!T6+panaderia!P6+pasteleria!W6</f>
        <v>2020453.599524</v>
      </c>
      <c r="G7" s="53">
        <f ca="1">principal!R6+cocina!R6+servicio!R6+panaderia!Q6+pasteleria!R6</f>
        <v>503977.62263999996</v>
      </c>
      <c r="H7" s="46">
        <f ca="1">principal!U6+cocina!U6+servicio!U6+panaderia!R6+pasteleria!T6</f>
        <v>1314503.991068182</v>
      </c>
      <c r="I7" s="57">
        <f ca="1">principal!N6+cocina!N6+servicio!N6+panaderia!S6+pasteleria!N6</f>
        <v>1148980.6214000001</v>
      </c>
      <c r="J7" s="57">
        <f ca="1">principal!O6+cocina!O6+servicio!O6+panaderia!T6+pasteleria!P6</f>
        <v>883169.41518999997</v>
      </c>
      <c r="K7" s="53">
        <f ca="1">principal!X6+cocina!X6+servicio!X6+panaderia!U6+pasteleria!X6</f>
        <v>166960.898135</v>
      </c>
      <c r="L7" s="46">
        <f ca="1">principal!Q6+cocina!Q6+servicio!Q6+panaderia!V6+pasteleria!Q6</f>
        <v>6705722.9060879909</v>
      </c>
      <c r="M7" s="50">
        <f ca="1">principal!M6+cocina!M6+servicio!M6+panaderia!W6+pasteleria!M6</f>
        <v>436364.95153768279</v>
      </c>
      <c r="N7" s="53">
        <f ca="1">principal!W6+cocina!W6+servicio!W6+panaderia!X6+pasteleria!V6</f>
        <v>4012842.3196999999</v>
      </c>
      <c r="O7" s="46">
        <f ca="1">SUM(B7:N7)</f>
        <v>19342337.424539924</v>
      </c>
    </row>
    <row r="8" spans="2:1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5">
      <c r="B9" s="137" t="s">
        <v>21</v>
      </c>
      <c r="C9" s="137" t="s">
        <v>130</v>
      </c>
      <c r="D9" s="137" t="s">
        <v>140</v>
      </c>
      <c r="E9" s="137" t="s">
        <v>133</v>
      </c>
      <c r="F9" s="137" t="s">
        <v>136</v>
      </c>
      <c r="G9" s="137" t="s">
        <v>132</v>
      </c>
      <c r="H9" s="137" t="s">
        <v>137</v>
      </c>
      <c r="I9" s="137" t="s">
        <v>128</v>
      </c>
      <c r="J9" s="137" t="s">
        <v>129</v>
      </c>
      <c r="K9" s="137" t="s">
        <v>144</v>
      </c>
      <c r="L9" s="137" t="s">
        <v>131</v>
      </c>
      <c r="M9" s="137" t="s">
        <v>127</v>
      </c>
      <c r="N9" s="137" t="s">
        <v>142</v>
      </c>
      <c r="O9" s="139" t="s">
        <v>219</v>
      </c>
    </row>
    <row r="10" spans="2:15"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42"/>
    </row>
    <row r="11" spans="2:15">
      <c r="B11" s="46">
        <f ca="1">principal!L10+cocina!L10+servicio!L10+panaderia!L10+pasteleria!L10</f>
        <v>1455538.9925269515</v>
      </c>
      <c r="C11" s="53">
        <f ca="1">principal!P10+cocina!P10+servicio!P10+panaderia!M10+pasteleria!O10</f>
        <v>449376.65934796183</v>
      </c>
      <c r="D11" s="53">
        <f ca="1">principal!V10+cocina!V10+servicio!V10+panaderia!N10+pasteleria!U10</f>
        <v>0</v>
      </c>
      <c r="E11" s="53">
        <f ca="1">principal!S10+cocina!S10+servicio!S10+panaderia!O10+pasteleria!S10</f>
        <v>652824.05624100007</v>
      </c>
      <c r="F11" s="46">
        <f ca="1">principal!T10+cocina!T10+servicio!T10+panaderia!P10+pasteleria!W10</f>
        <v>2404339.7834335603</v>
      </c>
      <c r="G11" s="53">
        <f ca="1">principal!R10+cocina!R10+servicio!R10+panaderia!Q10+pasteleria!R10</f>
        <v>599733.37094159995</v>
      </c>
      <c r="H11" s="46">
        <f ca="1">principal!U10+cocina!U10+servicio!U10+panaderia!R10+pasteleria!T10</f>
        <v>1564259.7493711365</v>
      </c>
      <c r="I11" s="53">
        <f ca="1">principal!N10+cocina!N10+servicio!N10+panaderia!S10+pasteleria!N10</f>
        <v>1349963.634418</v>
      </c>
      <c r="J11" s="46">
        <f ca="1">principal!O10+cocina!O10+servicio!O10+panaderia!T10+pasteleria!P10</f>
        <v>1050971.6040761</v>
      </c>
      <c r="K11" s="57">
        <f ca="1">principal!X10+cocina!X10+servicio!X10+panaderia!U10+pasteleria!X10</f>
        <v>198683.46878065</v>
      </c>
      <c r="L11" s="57">
        <f ca="1">principal!Q10+cocina!Q10+servicio!Q10+panaderia!V10+pasteleria!Q10</f>
        <v>7979810.2582447072</v>
      </c>
      <c r="M11" s="50">
        <f ca="1">principal!M10+cocina!M10+servicio!M10+panaderia!W10+pasteleria!M10</f>
        <v>519274.29232984257</v>
      </c>
      <c r="N11" s="53">
        <f ca="1">principal!W10+cocina!W10+servicio!W10+panaderia!X10+pasteleria!V10</f>
        <v>4775282.3604429998</v>
      </c>
      <c r="O11" s="46">
        <f t="shared" ref="O11:O12" ca="1" si="0">SUM(B11:N11)</f>
        <v>23000058.230154511</v>
      </c>
    </row>
    <row r="12" spans="2:15">
      <c r="B12" s="124">
        <f t="shared" ref="B12:N12" ca="1" si="1">(B11*100)/$O$11</f>
        <v>6.3284143803542596</v>
      </c>
      <c r="C12" s="124">
        <f t="shared" ca="1" si="1"/>
        <v>1.9538066158406548</v>
      </c>
      <c r="D12" s="124">
        <f t="shared" ca="1" si="1"/>
        <v>0</v>
      </c>
      <c r="E12" s="124">
        <f t="shared" ca="1" si="1"/>
        <v>2.8383582759156107</v>
      </c>
      <c r="F12" s="124">
        <f t="shared" ca="1" si="1"/>
        <v>10.453624766398725</v>
      </c>
      <c r="G12" s="124">
        <f t="shared" ca="1" si="1"/>
        <v>2.6075297937955311</v>
      </c>
      <c r="H12" s="124">
        <f t="shared" ca="1" si="1"/>
        <v>6.801112126404508</v>
      </c>
      <c r="I12" s="124">
        <f t="shared" ca="1" si="1"/>
        <v>5.8693922463557655</v>
      </c>
      <c r="J12" s="124">
        <f t="shared" ca="1" si="1"/>
        <v>4.5694301882167006</v>
      </c>
      <c r="K12" s="124">
        <f t="shared" ca="1" si="1"/>
        <v>0.86383898159076655</v>
      </c>
      <c r="L12" s="124">
        <f t="shared" ca="1" si="1"/>
        <v>34.694739371497235</v>
      </c>
      <c r="M12" s="124">
        <f t="shared" ca="1" si="1"/>
        <v>2.2577085985332057</v>
      </c>
      <c r="N12" s="124">
        <f t="shared" ca="1" si="1"/>
        <v>20.762044655097032</v>
      </c>
      <c r="O12" s="30">
        <f t="shared" ca="1" si="0"/>
        <v>99.999999999999986</v>
      </c>
    </row>
    <row r="13" spans="2:1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1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25">
        <f ca="1">O11-M11</f>
        <v>22480783.937824667</v>
      </c>
    </row>
    <row r="15" spans="2:15">
      <c r="B15" s="4" t="s">
        <v>1261</v>
      </c>
      <c r="C15" s="125">
        <f ca="1">principal!G306</f>
        <v>10524160.234288501</v>
      </c>
      <c r="D15" s="125">
        <f ca="1">principal!I306</f>
        <v>12506427.373755317</v>
      </c>
      <c r="E15" s="126">
        <f t="shared" ref="E15:E20" ca="1" si="2">(D15*100)/$D$20</f>
        <v>54.533367964711992</v>
      </c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>
      <c r="B16" s="4" t="s">
        <v>1262</v>
      </c>
      <c r="C16" s="125">
        <f ca="1">cocina!G182</f>
        <v>1390169.1342097826</v>
      </c>
      <c r="D16" s="125">
        <f ca="1">cocina!I182</f>
        <v>1654301.2697096418</v>
      </c>
      <c r="E16" s="126">
        <f t="shared" ca="1" si="2"/>
        <v>7.2134605007087114</v>
      </c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9">
      <c r="B17" s="4" t="s">
        <v>1263</v>
      </c>
      <c r="C17" s="125">
        <f ca="1">servicio!G312</f>
        <v>1521512.1060702901</v>
      </c>
      <c r="D17" s="125">
        <f ca="1">servicio!I312</f>
        <v>1810599.4062236459</v>
      </c>
      <c r="E17" s="126">
        <f t="shared" ca="1" si="2"/>
        <v>7.8949871698359333</v>
      </c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9">
      <c r="B18" s="4" t="s">
        <v>1264</v>
      </c>
      <c r="C18" s="125">
        <f ca="1">panaderia!G157</f>
        <v>2692844.6729342001</v>
      </c>
      <c r="D18" s="125">
        <f ca="1">panaderia!I157</f>
        <v>3204485.1607916993</v>
      </c>
      <c r="E18" s="126">
        <f t="shared" ca="1" si="2"/>
        <v>13.972924736094338</v>
      </c>
      <c r="F18" s="4"/>
      <c r="G18" s="4"/>
      <c r="H18" s="4"/>
      <c r="I18" s="4"/>
      <c r="J18" s="127"/>
      <c r="K18" s="4"/>
      <c r="L18" s="4"/>
      <c r="M18" s="4"/>
      <c r="N18" s="4"/>
      <c r="O18" s="4"/>
    </row>
    <row r="19" spans="2:19">
      <c r="B19" s="4" t="s">
        <v>1265</v>
      </c>
      <c r="C19" s="125">
        <f ca="1">pasteleria!G251</f>
        <v>3157746.8525021523</v>
      </c>
      <c r="D19" s="125">
        <f ca="1">pasteleria!I251</f>
        <v>3757718.7544775605</v>
      </c>
      <c r="E19" s="126">
        <f t="shared" ca="1" si="2"/>
        <v>16.385259628649028</v>
      </c>
      <c r="F19" s="4"/>
      <c r="G19" s="4"/>
      <c r="H19" s="4"/>
      <c r="I19" s="4"/>
      <c r="J19" s="127"/>
      <c r="K19" s="4"/>
      <c r="L19" s="4"/>
      <c r="M19" s="4"/>
      <c r="N19" s="4"/>
      <c r="O19" s="4"/>
      <c r="S19" s="4"/>
    </row>
    <row r="20" spans="2:19">
      <c r="B20" s="4"/>
      <c r="C20" s="125">
        <f t="shared" ref="C20:D20" ca="1" si="3">SUM(C15:C19)</f>
        <v>19286433.000004925</v>
      </c>
      <c r="D20" s="125">
        <f t="shared" ca="1" si="3"/>
        <v>22933531.964957863</v>
      </c>
      <c r="E20" s="126">
        <f t="shared" ca="1" si="2"/>
        <v>100</v>
      </c>
      <c r="F20" s="4"/>
      <c r="G20" s="4"/>
      <c r="H20" s="4"/>
      <c r="I20" s="4"/>
      <c r="J20" s="127"/>
      <c r="K20" s="4"/>
      <c r="L20" s="4"/>
      <c r="M20" s="4"/>
      <c r="N20" s="4"/>
      <c r="O20" s="4"/>
    </row>
    <row r="21" spans="2:19">
      <c r="B21" s="4"/>
      <c r="C21" s="125">
        <f ca="1">C20-O7</f>
        <v>-55904.424534998834</v>
      </c>
      <c r="D21" s="125">
        <f ca="1">D20-O11</f>
        <v>-66526.265196647495</v>
      </c>
      <c r="E21" s="4"/>
      <c r="F21" s="4"/>
      <c r="G21" s="4"/>
      <c r="H21" s="4"/>
      <c r="I21" s="4"/>
      <c r="J21" s="127"/>
      <c r="K21" s="4"/>
      <c r="L21" s="4"/>
      <c r="M21" s="4"/>
      <c r="N21" s="4"/>
      <c r="O21" s="4"/>
    </row>
    <row r="22" spans="2:19">
      <c r="B22" s="4"/>
      <c r="C22" s="4"/>
      <c r="D22" s="4"/>
      <c r="E22" s="4"/>
      <c r="F22" s="4"/>
      <c r="G22" s="4"/>
      <c r="H22" s="4"/>
      <c r="I22" s="4"/>
      <c r="J22" s="127"/>
      <c r="K22" s="4"/>
      <c r="L22" s="4"/>
      <c r="M22" s="4"/>
      <c r="N22" s="4"/>
      <c r="O22" s="4"/>
    </row>
    <row r="23" spans="2:19">
      <c r="B23" s="4"/>
      <c r="C23" s="4"/>
      <c r="D23" s="4"/>
      <c r="E23" s="4"/>
      <c r="F23" s="4"/>
      <c r="G23" s="4"/>
      <c r="H23" s="4"/>
      <c r="I23" s="4"/>
      <c r="J23" s="127"/>
      <c r="K23" s="4"/>
      <c r="L23" s="4"/>
      <c r="M23" s="4"/>
      <c r="N23" s="4"/>
      <c r="O23" s="4"/>
    </row>
    <row r="24" spans="2:19">
      <c r="B24" s="4"/>
      <c r="C24" s="4"/>
      <c r="D24" s="4"/>
      <c r="E24" s="4"/>
      <c r="F24" s="4"/>
      <c r="G24" s="4"/>
      <c r="H24" s="4"/>
      <c r="I24" s="4"/>
      <c r="J24" s="128"/>
      <c r="K24" s="4"/>
      <c r="L24" s="4"/>
      <c r="M24" s="4"/>
      <c r="N24" s="4"/>
      <c r="O24" s="4"/>
    </row>
    <row r="25" spans="2:19">
      <c r="B25" s="4"/>
      <c r="C25" s="4"/>
      <c r="D25" s="4"/>
      <c r="E25" s="4"/>
      <c r="F25" s="4"/>
      <c r="G25" s="4"/>
      <c r="H25" s="4"/>
      <c r="I25" s="4"/>
      <c r="J25" s="127"/>
      <c r="K25" s="4"/>
      <c r="L25" s="4"/>
      <c r="M25" s="4"/>
      <c r="N25" s="4"/>
      <c r="O25" s="4"/>
    </row>
    <row r="26" spans="2:19">
      <c r="B26" s="4"/>
      <c r="C26" s="4"/>
      <c r="D26" s="4"/>
      <c r="E26" s="4"/>
      <c r="F26" s="4"/>
      <c r="G26" s="4"/>
      <c r="H26" s="4"/>
      <c r="I26" s="4"/>
      <c r="J26" s="127"/>
      <c r="K26" s="4"/>
      <c r="L26" s="4"/>
      <c r="M26" s="4"/>
      <c r="N26" s="4"/>
      <c r="O26" s="4"/>
    </row>
    <row r="27" spans="2:19">
      <c r="B27" s="4"/>
      <c r="C27" s="4"/>
      <c r="D27" s="4"/>
      <c r="E27" s="4"/>
      <c r="F27" s="4"/>
      <c r="G27" s="4"/>
      <c r="H27" s="4"/>
      <c r="I27" s="4"/>
      <c r="J27" s="127"/>
      <c r="K27" s="4"/>
      <c r="L27" s="4"/>
      <c r="M27" s="4"/>
      <c r="N27" s="4"/>
      <c r="O27" s="4"/>
    </row>
    <row r="28" spans="2:19">
      <c r="B28" s="4"/>
      <c r="C28" s="4"/>
      <c r="D28" s="4"/>
      <c r="E28" s="4"/>
      <c r="F28" s="4"/>
      <c r="G28" s="4"/>
      <c r="H28" s="4"/>
      <c r="I28" s="4"/>
      <c r="J28" s="127"/>
      <c r="K28" s="4"/>
      <c r="L28" s="4"/>
      <c r="M28" s="4"/>
      <c r="N28" s="4"/>
      <c r="O28" s="4"/>
    </row>
    <row r="29" spans="2:19">
      <c r="B29" s="4"/>
      <c r="C29" s="4"/>
      <c r="D29" s="4"/>
      <c r="E29" s="4"/>
      <c r="F29" s="4"/>
      <c r="G29" s="4"/>
      <c r="H29" s="4"/>
      <c r="I29" s="4"/>
      <c r="J29" s="127"/>
      <c r="K29" s="4"/>
      <c r="L29" s="4"/>
      <c r="M29" s="4"/>
      <c r="N29" s="4"/>
      <c r="O29" s="4"/>
    </row>
    <row r="30" spans="2:19">
      <c r="B30" s="4"/>
      <c r="C30" s="4"/>
      <c r="D30" s="4"/>
      <c r="E30" s="4"/>
      <c r="F30" s="4"/>
      <c r="G30" s="4"/>
      <c r="H30" s="4"/>
      <c r="I30" s="4"/>
      <c r="J30" s="127"/>
      <c r="K30" s="4"/>
      <c r="L30" s="4"/>
      <c r="M30" s="4"/>
      <c r="N30" s="4"/>
      <c r="O30" s="4"/>
    </row>
    <row r="31" spans="2:19">
      <c r="B31" s="4"/>
      <c r="C31" s="4"/>
      <c r="D31" s="4"/>
      <c r="E31" s="4"/>
      <c r="F31" s="4"/>
      <c r="G31" s="4"/>
      <c r="H31" s="4"/>
      <c r="I31" s="4"/>
      <c r="J31" s="127"/>
      <c r="K31" s="4"/>
      <c r="L31" s="4"/>
      <c r="M31" s="4"/>
      <c r="N31" s="4"/>
      <c r="O31" s="4"/>
    </row>
    <row r="32" spans="2:19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1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1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1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2:1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2:1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2: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2:1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2:1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2:1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2:1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2:1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2:1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2:1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2:1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2:1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2:1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2:1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2:1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2:1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2: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2:1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2:1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2:1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2: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2:1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2:1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2:1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2:1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2:1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2:1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2:1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2:1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2:1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2:1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2:1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2:1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2:1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2:1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2:1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2:1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2:1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2:1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2:1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2:1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2:1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2:1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2:1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2:1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2:1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2:1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2:1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2:1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2:1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2:1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2:1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2:1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2:1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2:1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2:1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2:1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2:1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2:1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2:1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2:1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2:1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2:1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2:1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2:1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2:1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2:1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2:1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2:1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2:1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2:1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2:1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2:1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2:1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2:1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2:1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2:1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2:1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2:1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2:1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2:1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2:1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2:1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2:1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2:1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2:1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2:1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2:1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2:1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2:1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2:1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2:1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2:1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2:1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2:1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2:1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2:1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2:1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2:1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2:1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2:1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2:1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2:1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2:1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2:1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2:1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2:1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2:1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2:1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2:1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2:1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2:1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2:1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2:1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2:1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2:1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2:1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2:1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2:1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2:1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2:1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2:1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2:1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2:1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2:1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2:1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2:1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2:1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2:1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2:1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2:1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2:1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2:1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2:1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2:1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2:1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2:1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2:1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2:1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2:1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2:1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2:1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2:1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2:1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2:1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2:1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2:1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2:1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2:1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2:1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2:1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2:1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2:1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2:1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2:1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2:1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2:1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2:1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2:1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2:1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2:1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</sheetData>
  <mergeCells count="28">
    <mergeCell ref="N9:N10"/>
    <mergeCell ref="O9:O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5:N6"/>
    <mergeCell ref="O5:O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91BD-3DFF-465E-B8D5-131AD6297E1D}">
  <dimension ref="A1:D959"/>
  <sheetViews>
    <sheetView workbookViewId="0">
      <selection activeCell="G16" sqref="G16"/>
    </sheetView>
  </sheetViews>
  <sheetFormatPr baseColWidth="10" defaultRowHeight="15.75"/>
  <cols>
    <col min="1" max="1" width="40.875" bestFit="1" customWidth="1"/>
    <col min="2" max="2" width="39" customWidth="1"/>
  </cols>
  <sheetData>
    <row r="1" spans="1:4">
      <c r="A1" s="148" t="s">
        <v>0</v>
      </c>
      <c r="B1" s="148" t="s">
        <v>2</v>
      </c>
      <c r="C1" s="149" t="s">
        <v>55</v>
      </c>
      <c r="D1" s="149" t="s">
        <v>57</v>
      </c>
    </row>
    <row r="2" spans="1:4">
      <c r="A2" s="150" t="s">
        <v>16</v>
      </c>
      <c r="B2" s="150" t="s">
        <v>17</v>
      </c>
      <c r="C2" s="149"/>
      <c r="D2" s="149"/>
    </row>
    <row r="3" spans="1:4">
      <c r="A3" s="150" t="s">
        <v>25</v>
      </c>
      <c r="B3" s="150" t="s">
        <v>26</v>
      </c>
      <c r="C3" s="149"/>
      <c r="D3" s="149"/>
    </row>
    <row r="4" spans="1:4">
      <c r="A4" s="150" t="s">
        <v>30</v>
      </c>
      <c r="B4" s="150" t="s">
        <v>31</v>
      </c>
      <c r="C4" s="149"/>
      <c r="D4" s="149"/>
    </row>
    <row r="5" spans="1:4">
      <c r="A5" s="150" t="s">
        <v>35</v>
      </c>
      <c r="B5" s="150" t="s">
        <v>36</v>
      </c>
      <c r="C5" s="149"/>
      <c r="D5" s="149"/>
    </row>
    <row r="6" spans="1:4">
      <c r="A6" s="150" t="s">
        <v>40</v>
      </c>
      <c r="B6" s="150" t="s">
        <v>41</v>
      </c>
      <c r="C6" s="149"/>
      <c r="D6" s="149"/>
    </row>
    <row r="7" spans="1:4">
      <c r="A7" s="150" t="s">
        <v>45</v>
      </c>
      <c r="B7" s="150" t="s">
        <v>46</v>
      </c>
      <c r="C7" s="149"/>
      <c r="D7" s="149"/>
    </row>
    <row r="8" spans="1:4">
      <c r="A8" s="150" t="s">
        <v>47</v>
      </c>
      <c r="B8" s="150" t="s">
        <v>48</v>
      </c>
      <c r="C8" s="149"/>
      <c r="D8" s="149"/>
    </row>
    <row r="9" spans="1:4">
      <c r="A9" s="150" t="s">
        <v>49</v>
      </c>
      <c r="B9" s="150" t="s">
        <v>50</v>
      </c>
      <c r="C9" s="149"/>
      <c r="D9" s="149"/>
    </row>
    <row r="10" spans="1:4">
      <c r="A10" s="150" t="s">
        <v>51</v>
      </c>
      <c r="B10" s="150" t="s">
        <v>52</v>
      </c>
      <c r="C10" s="149"/>
      <c r="D10" s="149"/>
    </row>
    <row r="11" spans="1:4">
      <c r="A11" s="150" t="s">
        <v>56</v>
      </c>
      <c r="B11" s="150" t="s">
        <v>58</v>
      </c>
      <c r="C11" s="149"/>
      <c r="D11" s="149"/>
    </row>
    <row r="12" spans="1:4">
      <c r="A12" s="150"/>
      <c r="B12" s="150" t="s">
        <v>66</v>
      </c>
      <c r="C12" s="149"/>
      <c r="D12" s="149"/>
    </row>
    <row r="13" spans="1:4">
      <c r="A13" s="150" t="s">
        <v>67</v>
      </c>
      <c r="B13" s="150" t="s">
        <v>68</v>
      </c>
      <c r="C13" s="149"/>
      <c r="D13" s="149"/>
    </row>
    <row r="14" spans="1:4">
      <c r="A14" s="150" t="s">
        <v>69</v>
      </c>
      <c r="B14" s="150" t="s">
        <v>70</v>
      </c>
      <c r="C14" s="149"/>
      <c r="D14" s="149"/>
    </row>
    <row r="15" spans="1:4">
      <c r="A15" s="150" t="s">
        <v>71</v>
      </c>
      <c r="B15" s="150" t="s">
        <v>72</v>
      </c>
      <c r="C15" s="149"/>
      <c r="D15" s="149"/>
    </row>
    <row r="16" spans="1:4">
      <c r="A16" s="150" t="s">
        <v>73</v>
      </c>
      <c r="B16" s="150" t="s">
        <v>74</v>
      </c>
      <c r="C16" s="149"/>
      <c r="D16" s="149"/>
    </row>
    <row r="17" spans="1:4">
      <c r="A17" s="150" t="s">
        <v>77</v>
      </c>
      <c r="B17" s="150" t="s">
        <v>78</v>
      </c>
      <c r="C17" s="149"/>
      <c r="D17" s="149"/>
    </row>
    <row r="18" spans="1:4">
      <c r="A18" s="150" t="s">
        <v>79</v>
      </c>
      <c r="B18" s="150" t="s">
        <v>80</v>
      </c>
      <c r="C18" s="149"/>
      <c r="D18" s="149"/>
    </row>
    <row r="19" spans="1:4">
      <c r="A19" s="150" t="s">
        <v>83</v>
      </c>
      <c r="B19" s="150" t="s">
        <v>84</v>
      </c>
      <c r="C19" s="149"/>
      <c r="D19" s="149"/>
    </row>
    <row r="20" spans="1:4">
      <c r="A20" s="150" t="s">
        <v>85</v>
      </c>
      <c r="B20" s="150" t="s">
        <v>86</v>
      </c>
      <c r="C20" s="149"/>
      <c r="D20" s="149"/>
    </row>
    <row r="21" spans="1:4">
      <c r="A21" s="150" t="s">
        <v>87</v>
      </c>
      <c r="B21" s="150" t="s">
        <v>88</v>
      </c>
      <c r="C21" s="149"/>
      <c r="D21" s="149"/>
    </row>
    <row r="22" spans="1:4">
      <c r="A22" s="150" t="s">
        <v>89</v>
      </c>
      <c r="B22" s="150" t="s">
        <v>90</v>
      </c>
      <c r="C22" s="149"/>
      <c r="D22" s="149"/>
    </row>
    <row r="23" spans="1:4">
      <c r="A23" s="150" t="s">
        <v>91</v>
      </c>
      <c r="B23" s="150" t="s">
        <v>92</v>
      </c>
      <c r="C23" s="149"/>
      <c r="D23" s="149"/>
    </row>
    <row r="24" spans="1:4">
      <c r="A24" s="150" t="s">
        <v>93</v>
      </c>
      <c r="B24" s="150" t="s">
        <v>94</v>
      </c>
      <c r="C24" s="149"/>
      <c r="D24" s="149"/>
    </row>
    <row r="25" spans="1:4">
      <c r="A25" s="150" t="s">
        <v>95</v>
      </c>
      <c r="B25" s="150" t="s">
        <v>96</v>
      </c>
      <c r="C25" s="149"/>
      <c r="D25" s="149"/>
    </row>
    <row r="26" spans="1:4">
      <c r="A26" s="150" t="s">
        <v>97</v>
      </c>
      <c r="B26" s="150" t="s">
        <v>98</v>
      </c>
      <c r="C26" s="149"/>
      <c r="D26" s="149"/>
    </row>
    <row r="27" spans="1:4">
      <c r="A27" s="150" t="s">
        <v>99</v>
      </c>
      <c r="B27" s="150" t="s">
        <v>100</v>
      </c>
      <c r="C27" s="149"/>
      <c r="D27" s="149"/>
    </row>
    <row r="28" spans="1:4">
      <c r="A28" s="150"/>
      <c r="B28" s="150" t="s">
        <v>103</v>
      </c>
      <c r="C28" s="149"/>
      <c r="D28" s="149"/>
    </row>
    <row r="29" spans="1:4">
      <c r="A29" s="150" t="s">
        <v>104</v>
      </c>
      <c r="B29" s="150" t="s">
        <v>105</v>
      </c>
      <c r="C29" s="149"/>
      <c r="D29" s="149"/>
    </row>
    <row r="30" spans="1:4">
      <c r="A30" s="150" t="s">
        <v>106</v>
      </c>
      <c r="B30" s="150" t="s">
        <v>107</v>
      </c>
      <c r="C30" s="149"/>
      <c r="D30" s="149"/>
    </row>
    <row r="31" spans="1:4">
      <c r="A31" s="150" t="s">
        <v>108</v>
      </c>
      <c r="B31" s="150" t="s">
        <v>109</v>
      </c>
      <c r="C31" s="149"/>
      <c r="D31" s="149"/>
    </row>
    <row r="32" spans="1:4">
      <c r="A32" s="150" t="s">
        <v>110</v>
      </c>
      <c r="B32" s="150" t="s">
        <v>111</v>
      </c>
      <c r="C32" s="149"/>
      <c r="D32" s="149"/>
    </row>
    <row r="33" spans="1:4">
      <c r="A33" s="150" t="s">
        <v>112</v>
      </c>
      <c r="B33" s="150" t="s">
        <v>113</v>
      </c>
      <c r="C33" s="149"/>
      <c r="D33" s="149"/>
    </row>
    <row r="34" spans="1:4">
      <c r="A34" s="150" t="s">
        <v>114</v>
      </c>
      <c r="B34" s="150" t="s">
        <v>115</v>
      </c>
      <c r="C34" s="149"/>
      <c r="D34" s="149"/>
    </row>
    <row r="35" spans="1:4">
      <c r="A35" s="150" t="s">
        <v>116</v>
      </c>
      <c r="B35" s="150" t="s">
        <v>117</v>
      </c>
      <c r="C35" s="149"/>
      <c r="D35" s="149"/>
    </row>
    <row r="36" spans="1:4">
      <c r="A36" s="150" t="s">
        <v>118</v>
      </c>
      <c r="B36" s="150" t="s">
        <v>119</v>
      </c>
      <c r="C36" s="149"/>
      <c r="D36" s="149"/>
    </row>
    <row r="37" spans="1:4">
      <c r="A37" s="150" t="s">
        <v>120</v>
      </c>
      <c r="B37" s="150" t="s">
        <v>121</v>
      </c>
      <c r="C37" s="149"/>
      <c r="D37" s="149"/>
    </row>
    <row r="38" spans="1:4">
      <c r="A38" s="150" t="s">
        <v>122</v>
      </c>
      <c r="B38" s="150" t="s">
        <v>123</v>
      </c>
      <c r="C38" s="149"/>
      <c r="D38" s="149"/>
    </row>
    <row r="39" spans="1:4">
      <c r="A39" s="150" t="s">
        <v>124</v>
      </c>
      <c r="B39" s="150" t="s">
        <v>125</v>
      </c>
      <c r="C39" s="149"/>
      <c r="D39" s="149"/>
    </row>
    <row r="40" spans="1:4">
      <c r="A40" s="150"/>
      <c r="B40" s="151" t="s">
        <v>126</v>
      </c>
      <c r="C40" s="149"/>
      <c r="D40" s="149"/>
    </row>
    <row r="41" spans="1:4">
      <c r="A41" s="150" t="s">
        <v>134</v>
      </c>
      <c r="B41" s="150" t="s">
        <v>135</v>
      </c>
      <c r="C41" s="149"/>
      <c r="D41" s="149"/>
    </row>
    <row r="42" spans="1:4">
      <c r="A42" s="150" t="s">
        <v>141</v>
      </c>
      <c r="B42" s="150" t="s">
        <v>143</v>
      </c>
      <c r="C42" s="149"/>
      <c r="D42" s="149"/>
    </row>
    <row r="43" spans="1:4">
      <c r="A43" s="150" t="s">
        <v>146</v>
      </c>
      <c r="B43" s="150" t="s">
        <v>147</v>
      </c>
      <c r="C43" s="149"/>
      <c r="D43" s="149"/>
    </row>
    <row r="44" spans="1:4">
      <c r="A44" s="150" t="s">
        <v>148</v>
      </c>
      <c r="B44" s="150" t="s">
        <v>149</v>
      </c>
      <c r="C44" s="149"/>
      <c r="D44" s="149"/>
    </row>
    <row r="45" spans="1:4">
      <c r="A45" s="150" t="s">
        <v>150</v>
      </c>
      <c r="B45" s="150" t="s">
        <v>151</v>
      </c>
      <c r="C45" s="149"/>
      <c r="D45" s="149"/>
    </row>
    <row r="46" spans="1:4">
      <c r="A46" s="150"/>
      <c r="B46" s="150" t="s">
        <v>152</v>
      </c>
      <c r="C46" s="149"/>
      <c r="D46" s="149"/>
    </row>
    <row r="47" spans="1:4">
      <c r="A47" s="150" t="s">
        <v>153</v>
      </c>
      <c r="B47" s="150" t="s">
        <v>154</v>
      </c>
      <c r="C47" s="149"/>
      <c r="D47" s="149"/>
    </row>
    <row r="48" spans="1:4">
      <c r="A48" s="150" t="s">
        <v>155</v>
      </c>
      <c r="B48" s="150" t="s">
        <v>156</v>
      </c>
      <c r="C48" s="149"/>
      <c r="D48" s="149"/>
    </row>
    <row r="49" spans="1:4">
      <c r="A49" s="150" t="s">
        <v>157</v>
      </c>
      <c r="B49" s="150" t="s">
        <v>158</v>
      </c>
      <c r="C49" s="149"/>
      <c r="D49" s="149"/>
    </row>
    <row r="50" spans="1:4">
      <c r="A50" s="150" t="s">
        <v>159</v>
      </c>
      <c r="B50" s="150" t="s">
        <v>160</v>
      </c>
      <c r="C50" s="149"/>
      <c r="D50" s="149"/>
    </row>
    <row r="51" spans="1:4">
      <c r="A51" s="150" t="s">
        <v>161</v>
      </c>
      <c r="B51" s="150" t="s">
        <v>162</v>
      </c>
      <c r="C51" s="149"/>
      <c r="D51" s="149"/>
    </row>
    <row r="52" spans="1:4">
      <c r="A52" s="150" t="s">
        <v>163</v>
      </c>
      <c r="B52" s="150" t="s">
        <v>164</v>
      </c>
      <c r="C52" s="149"/>
      <c r="D52" s="149"/>
    </row>
    <row r="53" spans="1:4">
      <c r="A53" s="150" t="s">
        <v>165</v>
      </c>
      <c r="B53" s="150" t="s">
        <v>166</v>
      </c>
      <c r="C53" s="149"/>
      <c r="D53" s="149"/>
    </row>
    <row r="54" spans="1:4">
      <c r="A54" s="150" t="s">
        <v>167</v>
      </c>
      <c r="B54" s="150" t="s">
        <v>168</v>
      </c>
      <c r="C54" s="149"/>
      <c r="D54" s="149"/>
    </row>
    <row r="55" spans="1:4">
      <c r="A55" s="150" t="s">
        <v>169</v>
      </c>
      <c r="B55" s="150" t="s">
        <v>170</v>
      </c>
      <c r="C55" s="149"/>
      <c r="D55" s="149"/>
    </row>
    <row r="56" spans="1:4">
      <c r="A56" s="150" t="s">
        <v>171</v>
      </c>
      <c r="B56" s="150" t="s">
        <v>172</v>
      </c>
      <c r="C56" s="149"/>
      <c r="D56" s="149"/>
    </row>
    <row r="57" spans="1:4">
      <c r="A57" s="150"/>
      <c r="B57" s="150" t="s">
        <v>173</v>
      </c>
      <c r="C57" s="149"/>
      <c r="D57" s="149"/>
    </row>
    <row r="58" spans="1:4">
      <c r="A58" s="150" t="s">
        <v>174</v>
      </c>
      <c r="B58" s="150" t="s">
        <v>175</v>
      </c>
      <c r="C58" s="149"/>
      <c r="D58" s="149"/>
    </row>
    <row r="59" spans="1:4">
      <c r="A59" s="150" t="s">
        <v>176</v>
      </c>
      <c r="B59" s="150" t="s">
        <v>177</v>
      </c>
      <c r="C59" s="149"/>
      <c r="D59" s="149"/>
    </row>
    <row r="60" spans="1:4">
      <c r="A60" s="150" t="s">
        <v>178</v>
      </c>
      <c r="B60" s="150" t="s">
        <v>179</v>
      </c>
      <c r="C60" s="149"/>
      <c r="D60" s="149"/>
    </row>
    <row r="61" spans="1:4">
      <c r="A61" s="150" t="s">
        <v>180</v>
      </c>
      <c r="B61" s="150" t="s">
        <v>181</v>
      </c>
      <c r="C61" s="149"/>
      <c r="D61" s="149"/>
    </row>
    <row r="62" spans="1:4">
      <c r="A62" s="150" t="s">
        <v>182</v>
      </c>
      <c r="B62" s="150" t="s">
        <v>183</v>
      </c>
      <c r="C62" s="149"/>
      <c r="D62" s="149"/>
    </row>
    <row r="63" spans="1:4">
      <c r="A63" s="150" t="s">
        <v>184</v>
      </c>
      <c r="B63" s="150" t="s">
        <v>185</v>
      </c>
      <c r="C63" s="149"/>
      <c r="D63" s="149"/>
    </row>
    <row r="64" spans="1:4">
      <c r="A64" s="150" t="s">
        <v>186</v>
      </c>
      <c r="B64" s="150" t="s">
        <v>187</v>
      </c>
      <c r="C64" s="149"/>
      <c r="D64" s="149"/>
    </row>
    <row r="65" spans="1:4">
      <c r="A65" s="150" t="s">
        <v>188</v>
      </c>
      <c r="B65" s="150" t="s">
        <v>189</v>
      </c>
      <c r="C65" s="149"/>
      <c r="D65" s="149"/>
    </row>
    <row r="66" spans="1:4">
      <c r="A66" s="150" t="s">
        <v>190</v>
      </c>
      <c r="B66" s="150" t="s">
        <v>191</v>
      </c>
      <c r="C66" s="149"/>
      <c r="D66" s="149"/>
    </row>
    <row r="67" spans="1:4">
      <c r="A67" s="150" t="s">
        <v>192</v>
      </c>
      <c r="B67" s="150" t="s">
        <v>193</v>
      </c>
      <c r="C67" s="149"/>
      <c r="D67" s="149"/>
    </row>
    <row r="68" spans="1:4">
      <c r="A68" s="150" t="s">
        <v>197</v>
      </c>
      <c r="B68" s="150" t="s">
        <v>198</v>
      </c>
      <c r="C68" s="149"/>
      <c r="D68" s="149"/>
    </row>
    <row r="69" spans="1:4">
      <c r="A69" s="150" t="s">
        <v>199</v>
      </c>
      <c r="B69" s="150" t="s">
        <v>200</v>
      </c>
      <c r="C69" s="149"/>
      <c r="D69" s="149"/>
    </row>
    <row r="70" spans="1:4">
      <c r="A70" s="150" t="s">
        <v>201</v>
      </c>
      <c r="B70" s="150" t="s">
        <v>202</v>
      </c>
      <c r="C70" s="149"/>
      <c r="D70" s="149"/>
    </row>
    <row r="71" spans="1:4">
      <c r="A71" s="150" t="s">
        <v>204</v>
      </c>
      <c r="B71" s="150" t="s">
        <v>205</v>
      </c>
      <c r="C71" s="149"/>
      <c r="D71" s="149"/>
    </row>
    <row r="72" spans="1:4">
      <c r="A72" s="150" t="s">
        <v>208</v>
      </c>
      <c r="B72" s="150" t="s">
        <v>209</v>
      </c>
      <c r="C72" s="149"/>
      <c r="D72" s="149"/>
    </row>
    <row r="73" spans="1:4">
      <c r="A73" s="150" t="s">
        <v>213</v>
      </c>
      <c r="B73" s="150" t="s">
        <v>214</v>
      </c>
      <c r="C73" s="149"/>
      <c r="D73" s="149"/>
    </row>
    <row r="74" spans="1:4">
      <c r="A74" s="150" t="s">
        <v>217</v>
      </c>
      <c r="B74" s="150" t="s">
        <v>218</v>
      </c>
      <c r="C74" s="149"/>
      <c r="D74" s="149"/>
    </row>
    <row r="75" spans="1:4">
      <c r="A75" s="150" t="s">
        <v>220</v>
      </c>
      <c r="B75" s="150" t="s">
        <v>221</v>
      </c>
      <c r="C75" s="149"/>
      <c r="D75" s="149"/>
    </row>
    <row r="76" spans="1:4">
      <c r="A76" s="150" t="s">
        <v>224</v>
      </c>
      <c r="B76" s="150" t="s">
        <v>225</v>
      </c>
      <c r="C76" s="149"/>
      <c r="D76" s="149"/>
    </row>
    <row r="77" spans="1:4">
      <c r="A77" s="150" t="s">
        <v>226</v>
      </c>
      <c r="B77" s="150" t="s">
        <v>227</v>
      </c>
      <c r="C77" s="149"/>
      <c r="D77" s="149"/>
    </row>
    <row r="78" spans="1:4">
      <c r="A78" s="150" t="s">
        <v>228</v>
      </c>
      <c r="B78" s="150" t="s">
        <v>229</v>
      </c>
      <c r="C78" s="149"/>
      <c r="D78" s="149"/>
    </row>
    <row r="79" spans="1:4">
      <c r="A79" s="150" t="s">
        <v>232</v>
      </c>
      <c r="B79" s="150" t="s">
        <v>233</v>
      </c>
      <c r="C79" s="149"/>
      <c r="D79" s="149"/>
    </row>
    <row r="80" spans="1:4">
      <c r="A80" s="150" t="s">
        <v>234</v>
      </c>
      <c r="B80" s="150" t="s">
        <v>235</v>
      </c>
      <c r="C80" s="149"/>
      <c r="D80" s="149"/>
    </row>
    <row r="81" spans="1:4">
      <c r="A81" s="150" t="s">
        <v>238</v>
      </c>
      <c r="B81" s="150" t="s">
        <v>239</v>
      </c>
      <c r="C81" s="149"/>
      <c r="D81" s="149"/>
    </row>
    <row r="82" spans="1:4">
      <c r="A82" s="150" t="s">
        <v>241</v>
      </c>
      <c r="B82" s="150" t="s">
        <v>242</v>
      </c>
      <c r="C82" s="149"/>
      <c r="D82" s="149"/>
    </row>
    <row r="83" spans="1:4">
      <c r="A83" s="150" t="s">
        <v>243</v>
      </c>
      <c r="B83" s="150" t="s">
        <v>244</v>
      </c>
      <c r="C83" s="149"/>
      <c r="D83" s="149"/>
    </row>
    <row r="84" spans="1:4">
      <c r="A84" s="150" t="s">
        <v>245</v>
      </c>
      <c r="B84" s="150" t="s">
        <v>246</v>
      </c>
      <c r="C84" s="149"/>
      <c r="D84" s="149"/>
    </row>
    <row r="85" spans="1:4">
      <c r="A85" s="150" t="s">
        <v>247</v>
      </c>
      <c r="B85" s="150" t="s">
        <v>248</v>
      </c>
      <c r="C85" s="149"/>
      <c r="D85" s="149"/>
    </row>
    <row r="86" spans="1:4">
      <c r="A86" s="150" t="s">
        <v>249</v>
      </c>
      <c r="B86" s="150" t="s">
        <v>250</v>
      </c>
      <c r="C86" s="149"/>
      <c r="D86" s="149"/>
    </row>
    <row r="87" spans="1:4">
      <c r="A87" s="150" t="s">
        <v>251</v>
      </c>
      <c r="B87" s="150" t="s">
        <v>252</v>
      </c>
      <c r="C87" s="149"/>
      <c r="D87" s="149"/>
    </row>
    <row r="88" spans="1:4">
      <c r="A88" s="150" t="s">
        <v>253</v>
      </c>
      <c r="B88" s="150" t="s">
        <v>254</v>
      </c>
      <c r="C88" s="149"/>
      <c r="D88" s="149"/>
    </row>
    <row r="89" spans="1:4">
      <c r="A89" s="150" t="s">
        <v>255</v>
      </c>
      <c r="B89" s="150" t="s">
        <v>256</v>
      </c>
      <c r="C89" s="149"/>
      <c r="D89" s="149"/>
    </row>
    <row r="90" spans="1:4">
      <c r="A90" s="150" t="s">
        <v>259</v>
      </c>
      <c r="B90" s="150" t="s">
        <v>260</v>
      </c>
      <c r="C90" s="149"/>
      <c r="D90" s="149"/>
    </row>
    <row r="91" spans="1:4">
      <c r="A91" s="150" t="s">
        <v>261</v>
      </c>
      <c r="B91" s="150" t="s">
        <v>262</v>
      </c>
      <c r="C91" s="149"/>
      <c r="D91" s="149"/>
    </row>
    <row r="92" spans="1:4">
      <c r="A92" s="150" t="s">
        <v>263</v>
      </c>
      <c r="B92" s="150" t="s">
        <v>264</v>
      </c>
      <c r="C92" s="149"/>
      <c r="D92" s="149"/>
    </row>
    <row r="93" spans="1:4">
      <c r="A93" s="150" t="s">
        <v>265</v>
      </c>
      <c r="B93" s="150" t="s">
        <v>266</v>
      </c>
      <c r="C93" s="149"/>
      <c r="D93" s="149"/>
    </row>
    <row r="94" spans="1:4">
      <c r="A94" s="150" t="s">
        <v>267</v>
      </c>
      <c r="B94" s="150" t="s">
        <v>268</v>
      </c>
      <c r="C94" s="149"/>
      <c r="D94" s="149"/>
    </row>
    <row r="95" spans="1:4">
      <c r="A95" s="150" t="s">
        <v>269</v>
      </c>
      <c r="B95" s="150" t="s">
        <v>270</v>
      </c>
      <c r="C95" s="149"/>
      <c r="D95" s="149"/>
    </row>
    <row r="96" spans="1:4">
      <c r="A96" s="150" t="s">
        <v>271</v>
      </c>
      <c r="B96" s="150" t="s">
        <v>272</v>
      </c>
      <c r="C96" s="149"/>
      <c r="D96" s="149"/>
    </row>
    <row r="97" spans="1:4">
      <c r="A97" s="150" t="s">
        <v>273</v>
      </c>
      <c r="B97" s="150" t="s">
        <v>274</v>
      </c>
      <c r="C97" s="149"/>
      <c r="D97" s="149"/>
    </row>
    <row r="98" spans="1:4">
      <c r="A98" s="150" t="s">
        <v>275</v>
      </c>
      <c r="B98" s="150" t="s">
        <v>276</v>
      </c>
      <c r="C98" s="149"/>
      <c r="D98" s="149"/>
    </row>
    <row r="99" spans="1:4">
      <c r="A99" s="150" t="s">
        <v>277</v>
      </c>
      <c r="B99" s="150" t="s">
        <v>278</v>
      </c>
      <c r="C99" s="149"/>
      <c r="D99" s="149"/>
    </row>
    <row r="100" spans="1:4">
      <c r="A100" s="150" t="s">
        <v>281</v>
      </c>
      <c r="B100" s="150" t="s">
        <v>282</v>
      </c>
      <c r="C100" s="149"/>
      <c r="D100" s="149"/>
    </row>
    <row r="101" spans="1:4">
      <c r="A101" s="150" t="s">
        <v>285</v>
      </c>
      <c r="B101" s="150" t="s">
        <v>286</v>
      </c>
      <c r="C101" s="149"/>
      <c r="D101" s="149"/>
    </row>
    <row r="102" spans="1:4">
      <c r="A102" s="150" t="s">
        <v>287</v>
      </c>
      <c r="B102" s="150" t="s">
        <v>288</v>
      </c>
      <c r="C102" s="149"/>
      <c r="D102" s="149"/>
    </row>
    <row r="103" spans="1:4">
      <c r="A103" s="150" t="s">
        <v>289</v>
      </c>
      <c r="B103" s="150" t="s">
        <v>290</v>
      </c>
      <c r="C103" s="149"/>
      <c r="D103" s="149"/>
    </row>
    <row r="104" spans="1:4">
      <c r="A104" s="150" t="s">
        <v>291</v>
      </c>
      <c r="B104" s="150" t="s">
        <v>292</v>
      </c>
      <c r="C104" s="149"/>
      <c r="D104" s="149"/>
    </row>
    <row r="105" spans="1:4">
      <c r="A105" s="150" t="s">
        <v>293</v>
      </c>
      <c r="B105" s="150" t="s">
        <v>294</v>
      </c>
      <c r="C105" s="149"/>
      <c r="D105" s="149"/>
    </row>
    <row r="106" spans="1:4">
      <c r="A106" s="150" t="s">
        <v>297</v>
      </c>
      <c r="B106" s="150" t="s">
        <v>298</v>
      </c>
      <c r="C106" s="149"/>
      <c r="D106" s="149"/>
    </row>
    <row r="107" spans="1:4">
      <c r="A107" s="150" t="s">
        <v>300</v>
      </c>
      <c r="B107" s="150" t="s">
        <v>301</v>
      </c>
      <c r="C107" s="149"/>
      <c r="D107" s="149"/>
    </row>
    <row r="108" spans="1:4">
      <c r="A108" s="150" t="s">
        <v>302</v>
      </c>
      <c r="B108" s="150" t="s">
        <v>303</v>
      </c>
      <c r="C108" s="149"/>
      <c r="D108" s="149"/>
    </row>
    <row r="109" spans="1:4">
      <c r="A109" s="150" t="s">
        <v>304</v>
      </c>
      <c r="B109" s="150" t="s">
        <v>305</v>
      </c>
      <c r="C109" s="149"/>
      <c r="D109" s="149"/>
    </row>
    <row r="110" spans="1:4">
      <c r="A110" s="150" t="s">
        <v>306</v>
      </c>
      <c r="B110" s="150" t="s">
        <v>307</v>
      </c>
      <c r="C110" s="149"/>
      <c r="D110" s="149"/>
    </row>
    <row r="111" spans="1:4">
      <c r="A111" s="150" t="s">
        <v>308</v>
      </c>
      <c r="B111" s="150" t="s">
        <v>309</v>
      </c>
      <c r="C111" s="149"/>
      <c r="D111" s="149"/>
    </row>
    <row r="112" spans="1:4">
      <c r="A112" s="150" t="s">
        <v>312</v>
      </c>
      <c r="B112" s="150" t="s">
        <v>313</v>
      </c>
      <c r="C112" s="149"/>
      <c r="D112" s="149"/>
    </row>
    <row r="113" spans="1:4">
      <c r="A113" s="150" t="s">
        <v>315</v>
      </c>
      <c r="B113" s="150" t="s">
        <v>316</v>
      </c>
      <c r="C113" s="149"/>
      <c r="D113" s="149"/>
    </row>
    <row r="114" spans="1:4">
      <c r="A114" s="150" t="s">
        <v>317</v>
      </c>
      <c r="B114" s="150" t="s">
        <v>318</v>
      </c>
      <c r="C114" s="149"/>
      <c r="D114" s="149"/>
    </row>
    <row r="115" spans="1:4">
      <c r="A115" s="150" t="s">
        <v>319</v>
      </c>
      <c r="B115" s="150" t="s">
        <v>320</v>
      </c>
      <c r="C115" s="149"/>
      <c r="D115" s="149"/>
    </row>
    <row r="116" spans="1:4">
      <c r="A116" s="150" t="s">
        <v>322</v>
      </c>
      <c r="B116" s="150" t="s">
        <v>323</v>
      </c>
      <c r="C116" s="149"/>
      <c r="D116" s="149"/>
    </row>
    <row r="117" spans="1:4">
      <c r="A117" s="150" t="s">
        <v>324</v>
      </c>
      <c r="B117" s="150" t="s">
        <v>325</v>
      </c>
      <c r="C117" s="149"/>
      <c r="D117" s="149"/>
    </row>
    <row r="118" spans="1:4">
      <c r="A118" s="150" t="s">
        <v>326</v>
      </c>
      <c r="B118" s="150" t="s">
        <v>327</v>
      </c>
      <c r="C118" s="149"/>
      <c r="D118" s="149"/>
    </row>
    <row r="119" spans="1:4">
      <c r="A119" s="150" t="s">
        <v>328</v>
      </c>
      <c r="B119" s="150" t="s">
        <v>329</v>
      </c>
      <c r="C119" s="149"/>
      <c r="D119" s="149"/>
    </row>
    <row r="120" spans="1:4">
      <c r="A120" s="150" t="s">
        <v>330</v>
      </c>
      <c r="B120" s="150" t="s">
        <v>331</v>
      </c>
      <c r="C120" s="149"/>
      <c r="D120" s="149"/>
    </row>
    <row r="121" spans="1:4">
      <c r="A121" s="150" t="s">
        <v>332</v>
      </c>
      <c r="B121" s="150" t="s">
        <v>333</v>
      </c>
      <c r="C121" s="149"/>
      <c r="D121" s="149"/>
    </row>
    <row r="122" spans="1:4">
      <c r="A122" s="150" t="s">
        <v>334</v>
      </c>
      <c r="B122" s="150" t="s">
        <v>335</v>
      </c>
      <c r="C122" s="149"/>
      <c r="D122" s="149"/>
    </row>
    <row r="123" spans="1:4">
      <c r="A123" s="150" t="s">
        <v>336</v>
      </c>
      <c r="B123" s="150" t="s">
        <v>337</v>
      </c>
      <c r="C123" s="149"/>
      <c r="D123" s="149"/>
    </row>
    <row r="124" spans="1:4">
      <c r="A124" s="150" t="s">
        <v>338</v>
      </c>
      <c r="B124" s="150" t="s">
        <v>339</v>
      </c>
      <c r="C124" s="149"/>
      <c r="D124" s="149"/>
    </row>
    <row r="125" spans="1:4">
      <c r="A125" s="150"/>
      <c r="B125" s="150" t="s">
        <v>340</v>
      </c>
      <c r="C125" s="149"/>
      <c r="D125" s="149"/>
    </row>
    <row r="126" spans="1:4">
      <c r="A126" s="150" t="s">
        <v>341</v>
      </c>
      <c r="B126" s="150" t="s">
        <v>342</v>
      </c>
      <c r="C126" s="149"/>
      <c r="D126" s="149"/>
    </row>
    <row r="127" spans="1:4">
      <c r="A127" s="150" t="s">
        <v>343</v>
      </c>
      <c r="B127" s="150" t="s">
        <v>344</v>
      </c>
      <c r="C127" s="149"/>
      <c r="D127" s="149"/>
    </row>
    <row r="128" spans="1:4">
      <c r="A128" s="150" t="s">
        <v>345</v>
      </c>
      <c r="B128" s="150" t="s">
        <v>346</v>
      </c>
      <c r="C128" s="149"/>
      <c r="D128" s="149"/>
    </row>
    <row r="129" spans="1:4">
      <c r="A129" s="150" t="s">
        <v>347</v>
      </c>
      <c r="B129" s="150" t="s">
        <v>348</v>
      </c>
      <c r="C129" s="149"/>
      <c r="D129" s="149"/>
    </row>
    <row r="130" spans="1:4">
      <c r="A130" s="150" t="s">
        <v>349</v>
      </c>
      <c r="B130" s="150" t="s">
        <v>350</v>
      </c>
      <c r="C130" s="149"/>
      <c r="D130" s="149"/>
    </row>
    <row r="131" spans="1:4">
      <c r="A131" s="150" t="s">
        <v>351</v>
      </c>
      <c r="B131" s="150" t="s">
        <v>352</v>
      </c>
      <c r="C131" s="149"/>
      <c r="D131" s="149"/>
    </row>
    <row r="132" spans="1:4">
      <c r="A132" s="150" t="s">
        <v>353</v>
      </c>
      <c r="B132" s="150" t="s">
        <v>354</v>
      </c>
      <c r="C132" s="149"/>
      <c r="D132" s="149"/>
    </row>
    <row r="133" spans="1:4">
      <c r="A133" s="150" t="s">
        <v>355</v>
      </c>
      <c r="B133" s="150" t="s">
        <v>356</v>
      </c>
      <c r="C133" s="149"/>
      <c r="D133" s="149"/>
    </row>
    <row r="134" spans="1:4">
      <c r="A134" s="150" t="s">
        <v>357</v>
      </c>
      <c r="B134" s="150" t="s">
        <v>358</v>
      </c>
      <c r="C134" s="149"/>
      <c r="D134" s="149"/>
    </row>
    <row r="135" spans="1:4">
      <c r="A135" s="150" t="s">
        <v>359</v>
      </c>
      <c r="B135" s="150" t="s">
        <v>360</v>
      </c>
      <c r="C135" s="149"/>
      <c r="D135" s="149"/>
    </row>
    <row r="136" spans="1:4">
      <c r="A136" s="150" t="s">
        <v>361</v>
      </c>
      <c r="B136" s="150" t="s">
        <v>362</v>
      </c>
      <c r="C136" s="149"/>
      <c r="D136" s="149"/>
    </row>
    <row r="137" spans="1:4">
      <c r="A137" s="150" t="s">
        <v>363</v>
      </c>
      <c r="B137" s="150" t="s">
        <v>364</v>
      </c>
      <c r="C137" s="149"/>
      <c r="D137" s="149"/>
    </row>
    <row r="138" spans="1:4">
      <c r="A138" s="150" t="s">
        <v>365</v>
      </c>
      <c r="B138" s="150" t="s">
        <v>366</v>
      </c>
      <c r="C138" s="149"/>
      <c r="D138" s="149"/>
    </row>
    <row r="139" spans="1:4">
      <c r="A139" s="150" t="s">
        <v>367</v>
      </c>
      <c r="B139" s="150" t="s">
        <v>368</v>
      </c>
      <c r="C139" s="149"/>
      <c r="D139" s="149"/>
    </row>
    <row r="140" spans="1:4">
      <c r="A140" s="150" t="s">
        <v>369</v>
      </c>
      <c r="B140" s="150" t="s">
        <v>370</v>
      </c>
      <c r="C140" s="149"/>
      <c r="D140" s="149"/>
    </row>
    <row r="141" spans="1:4">
      <c r="A141" s="150" t="s">
        <v>371</v>
      </c>
      <c r="B141" s="150" t="s">
        <v>372</v>
      </c>
      <c r="C141" s="149"/>
      <c r="D141" s="149"/>
    </row>
    <row r="142" spans="1:4">
      <c r="A142" s="150" t="s">
        <v>373</v>
      </c>
      <c r="B142" s="150" t="s">
        <v>374</v>
      </c>
      <c r="C142" s="149"/>
      <c r="D142" s="149"/>
    </row>
    <row r="143" spans="1:4">
      <c r="A143" s="150"/>
      <c r="B143" s="150" t="s">
        <v>375</v>
      </c>
      <c r="C143" s="149"/>
      <c r="D143" s="149"/>
    </row>
    <row r="144" spans="1:4">
      <c r="A144" s="150"/>
      <c r="B144" s="150" t="s">
        <v>376</v>
      </c>
      <c r="C144" s="149"/>
      <c r="D144" s="149"/>
    </row>
    <row r="145" spans="1:4">
      <c r="A145" s="150" t="s">
        <v>377</v>
      </c>
      <c r="B145" s="150" t="s">
        <v>378</v>
      </c>
      <c r="C145" s="149"/>
      <c r="D145" s="149"/>
    </row>
    <row r="146" spans="1:4">
      <c r="A146" s="150" t="s">
        <v>379</v>
      </c>
      <c r="B146" s="150" t="s">
        <v>380</v>
      </c>
      <c r="C146" s="149"/>
      <c r="D146" s="149"/>
    </row>
    <row r="147" spans="1:4">
      <c r="A147" s="150" t="s">
        <v>381</v>
      </c>
      <c r="B147" s="150" t="s">
        <v>382</v>
      </c>
      <c r="C147" s="149"/>
      <c r="D147" s="149"/>
    </row>
    <row r="148" spans="1:4">
      <c r="A148" s="150" t="s">
        <v>383</v>
      </c>
      <c r="B148" s="150" t="s">
        <v>384</v>
      </c>
      <c r="C148" s="149"/>
      <c r="D148" s="149"/>
    </row>
    <row r="149" spans="1:4">
      <c r="A149" s="150" t="s">
        <v>385</v>
      </c>
      <c r="B149" s="150" t="s">
        <v>386</v>
      </c>
      <c r="C149" s="149"/>
      <c r="D149" s="149"/>
    </row>
    <row r="150" spans="1:4">
      <c r="A150" s="150" t="s">
        <v>387</v>
      </c>
      <c r="B150" s="150" t="s">
        <v>388</v>
      </c>
      <c r="C150" s="149"/>
      <c r="D150" s="149"/>
    </row>
    <row r="151" spans="1:4">
      <c r="A151" s="150" t="s">
        <v>389</v>
      </c>
      <c r="B151" s="150" t="s">
        <v>390</v>
      </c>
      <c r="C151" s="149"/>
      <c r="D151" s="149"/>
    </row>
    <row r="152" spans="1:4">
      <c r="A152" s="150" t="s">
        <v>391</v>
      </c>
      <c r="B152" s="150" t="s">
        <v>392</v>
      </c>
      <c r="C152" s="149"/>
      <c r="D152" s="149"/>
    </row>
    <row r="153" spans="1:4">
      <c r="A153" s="150"/>
      <c r="B153" s="150" t="s">
        <v>393</v>
      </c>
      <c r="C153" s="149"/>
      <c r="D153" s="149"/>
    </row>
    <row r="154" spans="1:4">
      <c r="A154" s="150" t="s">
        <v>395</v>
      </c>
      <c r="B154" s="150" t="s">
        <v>396</v>
      </c>
      <c r="C154" s="149"/>
      <c r="D154" s="149"/>
    </row>
    <row r="155" spans="1:4">
      <c r="A155" s="150"/>
      <c r="B155" s="150" t="s">
        <v>397</v>
      </c>
      <c r="C155" s="149"/>
      <c r="D155" s="149"/>
    </row>
    <row r="156" spans="1:4">
      <c r="A156" s="150" t="s">
        <v>398</v>
      </c>
      <c r="B156" s="150" t="s">
        <v>399</v>
      </c>
      <c r="C156" s="149"/>
      <c r="D156" s="149"/>
    </row>
    <row r="157" spans="1:4">
      <c r="A157" s="150" t="s">
        <v>402</v>
      </c>
      <c r="B157" s="150" t="s">
        <v>403</v>
      </c>
      <c r="C157" s="149"/>
      <c r="D157" s="149"/>
    </row>
    <row r="158" spans="1:4">
      <c r="A158" s="150" t="s">
        <v>404</v>
      </c>
      <c r="B158" s="150" t="s">
        <v>405</v>
      </c>
      <c r="C158" s="149"/>
      <c r="D158" s="149"/>
    </row>
    <row r="159" spans="1:4">
      <c r="A159" s="150" t="s">
        <v>406</v>
      </c>
      <c r="B159" s="150" t="s">
        <v>407</v>
      </c>
      <c r="C159" s="149"/>
      <c r="D159" s="149"/>
    </row>
    <row r="160" spans="1:4">
      <c r="A160" s="150" t="s">
        <v>408</v>
      </c>
      <c r="B160" s="150" t="s">
        <v>409</v>
      </c>
      <c r="C160" s="149"/>
      <c r="D160" s="149"/>
    </row>
    <row r="161" spans="1:4">
      <c r="A161" s="150" t="s">
        <v>410</v>
      </c>
      <c r="B161" s="150" t="s">
        <v>411</v>
      </c>
      <c r="C161" s="149"/>
      <c r="D161" s="149"/>
    </row>
    <row r="162" spans="1:4">
      <c r="A162" s="150" t="s">
        <v>412</v>
      </c>
      <c r="B162" s="150" t="s">
        <v>413</v>
      </c>
      <c r="C162" s="149"/>
      <c r="D162" s="149"/>
    </row>
    <row r="163" spans="1:4">
      <c r="A163" s="150" t="s">
        <v>414</v>
      </c>
      <c r="B163" s="150" t="s">
        <v>415</v>
      </c>
      <c r="C163" s="149"/>
      <c r="D163" s="149"/>
    </row>
    <row r="164" spans="1:4">
      <c r="A164" s="150" t="s">
        <v>416</v>
      </c>
      <c r="B164" s="150" t="s">
        <v>417</v>
      </c>
      <c r="C164" s="149"/>
      <c r="D164" s="149"/>
    </row>
    <row r="165" spans="1:4">
      <c r="A165" s="150" t="s">
        <v>418</v>
      </c>
      <c r="B165" s="150" t="s">
        <v>419</v>
      </c>
      <c r="C165" s="149"/>
      <c r="D165" s="149"/>
    </row>
    <row r="166" spans="1:4">
      <c r="A166" s="150" t="s">
        <v>420</v>
      </c>
      <c r="B166" s="150" t="s">
        <v>421</v>
      </c>
      <c r="C166" s="149"/>
      <c r="D166" s="149"/>
    </row>
    <row r="167" spans="1:4">
      <c r="A167" s="150" t="s">
        <v>422</v>
      </c>
      <c r="B167" s="150" t="s">
        <v>423</v>
      </c>
      <c r="C167" s="149"/>
      <c r="D167" s="149"/>
    </row>
    <row r="168" spans="1:4">
      <c r="A168" s="150" t="s">
        <v>425</v>
      </c>
      <c r="B168" s="150" t="s">
        <v>426</v>
      </c>
      <c r="C168" s="149"/>
      <c r="D168" s="149"/>
    </row>
    <row r="169" spans="1:4">
      <c r="A169" s="150" t="s">
        <v>427</v>
      </c>
      <c r="B169" s="150" t="s">
        <v>428</v>
      </c>
      <c r="C169" s="149"/>
      <c r="D169" s="149"/>
    </row>
    <row r="170" spans="1:4">
      <c r="A170" s="150"/>
      <c r="B170" s="150" t="s">
        <v>429</v>
      </c>
      <c r="C170" s="149"/>
      <c r="D170" s="149"/>
    </row>
    <row r="171" spans="1:4">
      <c r="A171" s="150" t="s">
        <v>430</v>
      </c>
      <c r="B171" s="150" t="s">
        <v>431</v>
      </c>
      <c r="C171" s="149"/>
      <c r="D171" s="149"/>
    </row>
    <row r="172" spans="1:4">
      <c r="A172" s="150" t="s">
        <v>432</v>
      </c>
      <c r="B172" s="150" t="s">
        <v>433</v>
      </c>
      <c r="C172" s="149"/>
      <c r="D172" s="149"/>
    </row>
    <row r="173" spans="1:4">
      <c r="A173" s="150" t="s">
        <v>434</v>
      </c>
      <c r="B173" s="150" t="s">
        <v>435</v>
      </c>
      <c r="C173" s="149"/>
      <c r="D173" s="149"/>
    </row>
    <row r="174" spans="1:4">
      <c r="A174" s="150" t="s">
        <v>436</v>
      </c>
      <c r="B174" s="150" t="s">
        <v>437</v>
      </c>
      <c r="C174" s="149"/>
      <c r="D174" s="149"/>
    </row>
    <row r="175" spans="1:4">
      <c r="A175" s="150" t="s">
        <v>438</v>
      </c>
      <c r="B175" s="150" t="s">
        <v>439</v>
      </c>
      <c r="C175" s="149"/>
      <c r="D175" s="149"/>
    </row>
    <row r="176" spans="1:4">
      <c r="A176" s="150" t="s">
        <v>440</v>
      </c>
      <c r="B176" s="150" t="s">
        <v>441</v>
      </c>
      <c r="C176" s="149"/>
      <c r="D176" s="149"/>
    </row>
    <row r="177" spans="1:4">
      <c r="A177" s="150" t="s">
        <v>442</v>
      </c>
      <c r="B177" s="150" t="s">
        <v>443</v>
      </c>
      <c r="C177" s="149"/>
      <c r="D177" s="149"/>
    </row>
    <row r="178" spans="1:4">
      <c r="A178" s="150" t="s">
        <v>444</v>
      </c>
      <c r="B178" s="150" t="s">
        <v>445</v>
      </c>
      <c r="C178" s="149"/>
      <c r="D178" s="149"/>
    </row>
    <row r="179" spans="1:4">
      <c r="A179" s="150" t="s">
        <v>446</v>
      </c>
      <c r="B179" s="150" t="s">
        <v>447</v>
      </c>
      <c r="C179" s="149"/>
      <c r="D179" s="149"/>
    </row>
    <row r="180" spans="1:4">
      <c r="A180" s="150" t="s">
        <v>448</v>
      </c>
      <c r="B180" s="150" t="s">
        <v>449</v>
      </c>
      <c r="C180" s="149"/>
      <c r="D180" s="149"/>
    </row>
    <row r="181" spans="1:4">
      <c r="A181" s="150" t="s">
        <v>450</v>
      </c>
      <c r="B181" s="150" t="s">
        <v>451</v>
      </c>
      <c r="C181" s="149"/>
      <c r="D181" s="149"/>
    </row>
    <row r="182" spans="1:4">
      <c r="A182" s="150" t="s">
        <v>452</v>
      </c>
      <c r="B182" s="150" t="s">
        <v>453</v>
      </c>
      <c r="C182" s="149"/>
      <c r="D182" s="149"/>
    </row>
    <row r="183" spans="1:4">
      <c r="A183" s="150" t="s">
        <v>454</v>
      </c>
      <c r="B183" s="150" t="s">
        <v>455</v>
      </c>
      <c r="C183" s="149"/>
      <c r="D183" s="149"/>
    </row>
    <row r="184" spans="1:4">
      <c r="A184" s="150" t="s">
        <v>456</v>
      </c>
      <c r="B184" s="150" t="s">
        <v>457</v>
      </c>
      <c r="C184" s="149"/>
      <c r="D184" s="149"/>
    </row>
    <row r="185" spans="1:4">
      <c r="A185" s="150" t="s">
        <v>458</v>
      </c>
      <c r="B185" s="150" t="s">
        <v>459</v>
      </c>
      <c r="C185" s="149"/>
      <c r="D185" s="149"/>
    </row>
    <row r="186" spans="1:4">
      <c r="A186" s="150" t="s">
        <v>460</v>
      </c>
      <c r="B186" s="150" t="s">
        <v>461</v>
      </c>
      <c r="C186" s="149"/>
      <c r="D186" s="149"/>
    </row>
    <row r="187" spans="1:4">
      <c r="A187" s="150" t="s">
        <v>462</v>
      </c>
      <c r="B187" s="150" t="s">
        <v>463</v>
      </c>
      <c r="C187" s="149"/>
      <c r="D187" s="149"/>
    </row>
    <row r="188" spans="1:4">
      <c r="A188" s="150" t="s">
        <v>464</v>
      </c>
      <c r="B188" s="150" t="s">
        <v>465</v>
      </c>
      <c r="C188" s="149"/>
      <c r="D188" s="149"/>
    </row>
    <row r="189" spans="1:4">
      <c r="A189" s="150" t="s">
        <v>466</v>
      </c>
      <c r="B189" s="150" t="s">
        <v>467</v>
      </c>
      <c r="C189" s="149"/>
      <c r="D189" s="149"/>
    </row>
    <row r="190" spans="1:4">
      <c r="A190" s="150"/>
      <c r="B190" s="152" t="s">
        <v>468</v>
      </c>
      <c r="C190" s="149"/>
      <c r="D190" s="149"/>
    </row>
    <row r="191" spans="1:4">
      <c r="A191" s="150" t="s">
        <v>470</v>
      </c>
      <c r="B191" s="150" t="s">
        <v>471</v>
      </c>
      <c r="C191" s="149"/>
      <c r="D191" s="149"/>
    </row>
    <row r="192" spans="1:4">
      <c r="A192" s="150"/>
      <c r="B192" s="152" t="s">
        <v>472</v>
      </c>
      <c r="C192" s="149"/>
      <c r="D192" s="149"/>
    </row>
    <row r="193" spans="1:4">
      <c r="A193" s="150" t="s">
        <v>475</v>
      </c>
      <c r="B193" s="150" t="s">
        <v>476</v>
      </c>
      <c r="C193" s="149"/>
      <c r="D193" s="149"/>
    </row>
    <row r="194" spans="1:4">
      <c r="A194" s="150" t="s">
        <v>477</v>
      </c>
      <c r="B194" s="150" t="s">
        <v>478</v>
      </c>
      <c r="C194" s="149"/>
      <c r="D194" s="149"/>
    </row>
    <row r="195" spans="1:4">
      <c r="A195" s="150" t="s">
        <v>479</v>
      </c>
      <c r="B195" s="150" t="s">
        <v>480</v>
      </c>
      <c r="C195" s="149"/>
      <c r="D195" s="149"/>
    </row>
    <row r="196" spans="1:4">
      <c r="A196" s="150" t="s">
        <v>481</v>
      </c>
      <c r="B196" s="150" t="s">
        <v>482</v>
      </c>
      <c r="C196" s="149"/>
      <c r="D196" s="149"/>
    </row>
    <row r="197" spans="1:4">
      <c r="A197" s="150" t="s">
        <v>483</v>
      </c>
      <c r="B197" s="150" t="s">
        <v>484</v>
      </c>
      <c r="C197" s="149"/>
      <c r="D197" s="149"/>
    </row>
    <row r="198" spans="1:4">
      <c r="A198" s="150" t="s">
        <v>487</v>
      </c>
      <c r="B198" s="150" t="s">
        <v>488</v>
      </c>
      <c r="C198" s="149"/>
      <c r="D198" s="149"/>
    </row>
    <row r="199" spans="1:4">
      <c r="A199" s="150" t="s">
        <v>489</v>
      </c>
      <c r="B199" s="150" t="s">
        <v>490</v>
      </c>
      <c r="C199" s="149"/>
      <c r="D199" s="149"/>
    </row>
    <row r="200" spans="1:4">
      <c r="A200" s="150" t="s">
        <v>491</v>
      </c>
      <c r="B200" s="150" t="s">
        <v>492</v>
      </c>
      <c r="C200" s="149"/>
      <c r="D200" s="149"/>
    </row>
    <row r="201" spans="1:4">
      <c r="A201" s="150" t="s">
        <v>493</v>
      </c>
      <c r="B201" s="150" t="s">
        <v>494</v>
      </c>
      <c r="C201" s="149"/>
      <c r="D201" s="149"/>
    </row>
    <row r="202" spans="1:4">
      <c r="A202" s="150" t="s">
        <v>495</v>
      </c>
      <c r="B202" s="150" t="s">
        <v>496</v>
      </c>
      <c r="C202" s="149"/>
      <c r="D202" s="149"/>
    </row>
    <row r="203" spans="1:4">
      <c r="A203" s="150" t="s">
        <v>499</v>
      </c>
      <c r="B203" s="150" t="s">
        <v>500</v>
      </c>
      <c r="C203" s="149"/>
      <c r="D203" s="149"/>
    </row>
    <row r="204" spans="1:4">
      <c r="A204" s="150" t="s">
        <v>501</v>
      </c>
      <c r="B204" s="150" t="s">
        <v>502</v>
      </c>
      <c r="C204" s="149"/>
      <c r="D204" s="149"/>
    </row>
    <row r="205" spans="1:4">
      <c r="A205" s="150" t="s">
        <v>503</v>
      </c>
      <c r="B205" s="150" t="s">
        <v>504</v>
      </c>
      <c r="C205" s="149"/>
      <c r="D205" s="149"/>
    </row>
    <row r="206" spans="1:4">
      <c r="A206" s="150" t="s">
        <v>505</v>
      </c>
      <c r="B206" s="150" t="s">
        <v>506</v>
      </c>
      <c r="C206" s="149"/>
      <c r="D206" s="149"/>
    </row>
    <row r="207" spans="1:4">
      <c r="A207" s="150" t="s">
        <v>507</v>
      </c>
      <c r="B207" s="150" t="s">
        <v>508</v>
      </c>
      <c r="C207" s="149"/>
      <c r="D207" s="149"/>
    </row>
    <row r="208" spans="1:4">
      <c r="A208" s="150" t="s">
        <v>509</v>
      </c>
      <c r="B208" s="150" t="s">
        <v>510</v>
      </c>
      <c r="C208" s="149"/>
      <c r="D208" s="149"/>
    </row>
    <row r="209" spans="1:4">
      <c r="A209" s="150" t="s">
        <v>513</v>
      </c>
      <c r="B209" s="150" t="s">
        <v>514</v>
      </c>
      <c r="C209" s="149"/>
      <c r="D209" s="149"/>
    </row>
    <row r="210" spans="1:4">
      <c r="A210" s="153" t="s">
        <v>515</v>
      </c>
      <c r="B210" s="153" t="s">
        <v>516</v>
      </c>
      <c r="C210" s="149"/>
      <c r="D210" s="149"/>
    </row>
    <row r="211" spans="1:4">
      <c r="A211" s="150" t="s">
        <v>517</v>
      </c>
      <c r="B211" s="150" t="s">
        <v>518</v>
      </c>
      <c r="C211" s="149"/>
      <c r="D211" s="149"/>
    </row>
    <row r="212" spans="1:4">
      <c r="A212" s="150" t="s">
        <v>519</v>
      </c>
      <c r="B212" s="150" t="s">
        <v>520</v>
      </c>
      <c r="C212" s="149"/>
      <c r="D212" s="149"/>
    </row>
    <row r="213" spans="1:4">
      <c r="A213" s="150" t="s">
        <v>521</v>
      </c>
      <c r="B213" s="150" t="s">
        <v>522</v>
      </c>
      <c r="C213" s="149"/>
      <c r="D213" s="149"/>
    </row>
    <row r="214" spans="1:4">
      <c r="A214" s="150" t="s">
        <v>523</v>
      </c>
      <c r="B214" s="150" t="s">
        <v>524</v>
      </c>
      <c r="C214" s="149"/>
      <c r="D214" s="149"/>
    </row>
    <row r="215" spans="1:4">
      <c r="A215" s="150" t="s">
        <v>525</v>
      </c>
      <c r="B215" s="150" t="s">
        <v>526</v>
      </c>
      <c r="C215" s="149"/>
      <c r="D215" s="149"/>
    </row>
    <row r="216" spans="1:4">
      <c r="A216" s="150" t="s">
        <v>527</v>
      </c>
      <c r="B216" s="150" t="s">
        <v>528</v>
      </c>
      <c r="C216" s="149"/>
      <c r="D216" s="149"/>
    </row>
    <row r="217" spans="1:4">
      <c r="A217" s="150" t="s">
        <v>529</v>
      </c>
      <c r="B217" s="150" t="s">
        <v>530</v>
      </c>
      <c r="C217" s="149"/>
      <c r="D217" s="149"/>
    </row>
    <row r="218" spans="1:4">
      <c r="A218" s="150" t="s">
        <v>531</v>
      </c>
      <c r="B218" s="150" t="s">
        <v>532</v>
      </c>
      <c r="C218" s="149"/>
      <c r="D218" s="149"/>
    </row>
    <row r="219" spans="1:4">
      <c r="A219" s="150" t="s">
        <v>533</v>
      </c>
      <c r="B219" s="150" t="s">
        <v>534</v>
      </c>
      <c r="C219" s="149"/>
      <c r="D219" s="149"/>
    </row>
    <row r="220" spans="1:4">
      <c r="A220" s="150" t="s">
        <v>535</v>
      </c>
      <c r="B220" s="150" t="s">
        <v>536</v>
      </c>
      <c r="C220" s="149"/>
      <c r="D220" s="149"/>
    </row>
    <row r="221" spans="1:4">
      <c r="A221" s="150" t="s">
        <v>537</v>
      </c>
      <c r="B221" s="150" t="s">
        <v>538</v>
      </c>
      <c r="C221" s="149"/>
      <c r="D221" s="149"/>
    </row>
    <row r="222" spans="1:4">
      <c r="A222" s="150" t="s">
        <v>539</v>
      </c>
      <c r="B222" s="150" t="s">
        <v>540</v>
      </c>
      <c r="C222" s="149"/>
      <c r="D222" s="149"/>
    </row>
    <row r="223" spans="1:4">
      <c r="A223" s="150" t="s">
        <v>541</v>
      </c>
      <c r="B223" s="150" t="s">
        <v>542</v>
      </c>
      <c r="C223" s="149"/>
      <c r="D223" s="149"/>
    </row>
    <row r="224" spans="1:4">
      <c r="A224" s="150" t="s">
        <v>543</v>
      </c>
      <c r="B224" s="150" t="s">
        <v>544</v>
      </c>
      <c r="C224" s="149"/>
      <c r="D224" s="149"/>
    </row>
    <row r="225" spans="1:4">
      <c r="A225" s="150" t="s">
        <v>545</v>
      </c>
      <c r="B225" s="150" t="s">
        <v>546</v>
      </c>
      <c r="C225" s="149"/>
      <c r="D225" s="149"/>
    </row>
    <row r="226" spans="1:4">
      <c r="A226" s="150" t="s">
        <v>547</v>
      </c>
      <c r="B226" s="150" t="s">
        <v>548</v>
      </c>
      <c r="C226" s="149"/>
      <c r="D226" s="149"/>
    </row>
    <row r="227" spans="1:4">
      <c r="A227" s="150" t="s">
        <v>549</v>
      </c>
      <c r="B227" s="150" t="s">
        <v>550</v>
      </c>
      <c r="C227" s="149"/>
      <c r="D227" s="149"/>
    </row>
    <row r="228" spans="1:4">
      <c r="A228" s="150" t="s">
        <v>553</v>
      </c>
      <c r="B228" s="150" t="s">
        <v>554</v>
      </c>
      <c r="C228" s="149"/>
      <c r="D228" s="149"/>
    </row>
    <row r="229" spans="1:4">
      <c r="A229" s="150" t="s">
        <v>555</v>
      </c>
      <c r="B229" s="150" t="s">
        <v>556</v>
      </c>
      <c r="C229" s="149"/>
      <c r="D229" s="149"/>
    </row>
    <row r="230" spans="1:4">
      <c r="A230" s="150" t="s">
        <v>559</v>
      </c>
      <c r="B230" s="150" t="s">
        <v>560</v>
      </c>
      <c r="C230" s="149"/>
      <c r="D230" s="149"/>
    </row>
    <row r="231" spans="1:4">
      <c r="A231" s="150" t="s">
        <v>561</v>
      </c>
      <c r="B231" s="150" t="s">
        <v>562</v>
      </c>
      <c r="C231" s="149"/>
      <c r="D231" s="149"/>
    </row>
    <row r="232" spans="1:4">
      <c r="A232" s="150" t="s">
        <v>563</v>
      </c>
      <c r="B232" s="150" t="s">
        <v>564</v>
      </c>
      <c r="C232" s="149"/>
      <c r="D232" s="149"/>
    </row>
    <row r="233" spans="1:4">
      <c r="A233" s="150" t="s">
        <v>565</v>
      </c>
      <c r="B233" s="150" t="s">
        <v>566</v>
      </c>
      <c r="C233" s="149"/>
      <c r="D233" s="149"/>
    </row>
    <row r="234" spans="1:4">
      <c r="A234" s="150" t="s">
        <v>567</v>
      </c>
      <c r="B234" s="150" t="s">
        <v>568</v>
      </c>
      <c r="C234" s="149"/>
      <c r="D234" s="149"/>
    </row>
    <row r="235" spans="1:4">
      <c r="A235" s="150" t="s">
        <v>569</v>
      </c>
      <c r="B235" s="150" t="s">
        <v>570</v>
      </c>
      <c r="C235" s="149"/>
      <c r="D235" s="149"/>
    </row>
    <row r="236" spans="1:4">
      <c r="A236" s="150" t="s">
        <v>571</v>
      </c>
      <c r="B236" s="150" t="s">
        <v>572</v>
      </c>
      <c r="C236" s="149"/>
      <c r="D236" s="149"/>
    </row>
    <row r="237" spans="1:4">
      <c r="A237" s="150" t="s">
        <v>573</v>
      </c>
      <c r="B237" s="150" t="s">
        <v>574</v>
      </c>
      <c r="C237" s="149"/>
      <c r="D237" s="149"/>
    </row>
    <row r="238" spans="1:4">
      <c r="A238" s="150" t="s">
        <v>575</v>
      </c>
      <c r="B238" s="150" t="s">
        <v>576</v>
      </c>
      <c r="C238" s="149"/>
      <c r="D238" s="149"/>
    </row>
    <row r="239" spans="1:4">
      <c r="A239" s="150" t="s">
        <v>577</v>
      </c>
      <c r="B239" s="150" t="s">
        <v>578</v>
      </c>
      <c r="C239" s="149"/>
      <c r="D239" s="149"/>
    </row>
    <row r="240" spans="1:4">
      <c r="A240" s="150"/>
      <c r="B240" s="150" t="s">
        <v>579</v>
      </c>
      <c r="C240" s="149"/>
      <c r="D240" s="149"/>
    </row>
    <row r="241" spans="1:4">
      <c r="A241" s="150"/>
      <c r="B241" s="150" t="s">
        <v>580</v>
      </c>
      <c r="C241" s="149"/>
      <c r="D241" s="149"/>
    </row>
    <row r="242" spans="1:4">
      <c r="A242" s="150"/>
      <c r="B242" s="150" t="s">
        <v>581</v>
      </c>
      <c r="C242" s="149"/>
      <c r="D242" s="149"/>
    </row>
    <row r="243" spans="1:4">
      <c r="A243" s="150" t="s">
        <v>582</v>
      </c>
      <c r="B243" s="150" t="s">
        <v>583</v>
      </c>
      <c r="C243" s="149"/>
      <c r="D243" s="149"/>
    </row>
    <row r="244" spans="1:4">
      <c r="A244" s="150" t="s">
        <v>585</v>
      </c>
      <c r="B244" s="150" t="s">
        <v>586</v>
      </c>
      <c r="C244" s="149"/>
      <c r="D244" s="149"/>
    </row>
    <row r="245" spans="1:4">
      <c r="A245" s="150" t="s">
        <v>587</v>
      </c>
      <c r="B245" s="150" t="s">
        <v>588</v>
      </c>
      <c r="C245" s="149"/>
      <c r="D245" s="149"/>
    </row>
    <row r="246" spans="1:4">
      <c r="A246" s="150" t="s">
        <v>589</v>
      </c>
      <c r="B246" s="150" t="s">
        <v>590</v>
      </c>
      <c r="C246" s="149"/>
      <c r="D246" s="149"/>
    </row>
    <row r="247" spans="1:4">
      <c r="A247" s="150" t="s">
        <v>591</v>
      </c>
      <c r="B247" s="150" t="s">
        <v>592</v>
      </c>
      <c r="C247" s="149"/>
      <c r="D247" s="149"/>
    </row>
    <row r="248" spans="1:4">
      <c r="A248" s="150" t="s">
        <v>593</v>
      </c>
      <c r="B248" s="150" t="s">
        <v>594</v>
      </c>
      <c r="C248" s="149"/>
      <c r="D248" s="149"/>
    </row>
    <row r="249" spans="1:4">
      <c r="A249" s="150" t="s">
        <v>595</v>
      </c>
      <c r="B249" s="150" t="s">
        <v>596</v>
      </c>
      <c r="C249" s="149"/>
      <c r="D249" s="149"/>
    </row>
    <row r="250" spans="1:4">
      <c r="A250" s="150" t="s">
        <v>597</v>
      </c>
      <c r="B250" s="150" t="s">
        <v>598</v>
      </c>
      <c r="C250" s="149"/>
      <c r="D250" s="149"/>
    </row>
    <row r="251" spans="1:4">
      <c r="A251" s="150" t="s">
        <v>599</v>
      </c>
      <c r="B251" s="150" t="s">
        <v>600</v>
      </c>
      <c r="C251" s="149"/>
      <c r="D251" s="149"/>
    </row>
    <row r="252" spans="1:4">
      <c r="A252" s="150" t="s">
        <v>601</v>
      </c>
      <c r="B252" s="150" t="s">
        <v>602</v>
      </c>
      <c r="C252" s="149"/>
      <c r="D252" s="149"/>
    </row>
    <row r="253" spans="1:4">
      <c r="A253" s="150" t="s">
        <v>603</v>
      </c>
      <c r="B253" s="150" t="s">
        <v>604</v>
      </c>
      <c r="C253" s="149"/>
      <c r="D253" s="149"/>
    </row>
    <row r="254" spans="1:4">
      <c r="A254" s="150" t="s">
        <v>605</v>
      </c>
      <c r="B254" s="150" t="s">
        <v>606</v>
      </c>
      <c r="C254" s="149"/>
      <c r="D254" s="149"/>
    </row>
    <row r="255" spans="1:4">
      <c r="A255" s="150" t="s">
        <v>607</v>
      </c>
      <c r="B255" s="150" t="s">
        <v>608</v>
      </c>
      <c r="C255" s="149"/>
      <c r="D255" s="149"/>
    </row>
    <row r="256" spans="1:4">
      <c r="A256" s="150" t="s">
        <v>609</v>
      </c>
      <c r="B256" s="150" t="s">
        <v>610</v>
      </c>
      <c r="C256" s="149"/>
      <c r="D256" s="149"/>
    </row>
    <row r="257" spans="1:4">
      <c r="A257" s="150" t="s">
        <v>611</v>
      </c>
      <c r="B257" s="150" t="s">
        <v>612</v>
      </c>
      <c r="C257" s="149"/>
      <c r="D257" s="149"/>
    </row>
    <row r="258" spans="1:4">
      <c r="A258" s="150" t="s">
        <v>613</v>
      </c>
      <c r="B258" s="150" t="s">
        <v>614</v>
      </c>
      <c r="C258" s="149"/>
      <c r="D258" s="149"/>
    </row>
    <row r="259" spans="1:4">
      <c r="A259" s="150" t="s">
        <v>615</v>
      </c>
      <c r="B259" s="150" t="s">
        <v>616</v>
      </c>
      <c r="C259" s="149"/>
      <c r="D259" s="149"/>
    </row>
    <row r="260" spans="1:4">
      <c r="A260" s="150" t="s">
        <v>617</v>
      </c>
      <c r="B260" s="150" t="s">
        <v>618</v>
      </c>
      <c r="C260" s="149"/>
      <c r="D260" s="149"/>
    </row>
    <row r="261" spans="1:4">
      <c r="A261" s="150"/>
      <c r="B261" s="150" t="s">
        <v>619</v>
      </c>
      <c r="C261" s="149"/>
      <c r="D261" s="149"/>
    </row>
    <row r="262" spans="1:4">
      <c r="A262" s="150" t="s">
        <v>620</v>
      </c>
      <c r="B262" s="150" t="s">
        <v>621</v>
      </c>
      <c r="C262" s="149"/>
      <c r="D262" s="149"/>
    </row>
    <row r="263" spans="1:4">
      <c r="A263" s="150" t="s">
        <v>622</v>
      </c>
      <c r="B263" s="150" t="s">
        <v>623</v>
      </c>
      <c r="C263" s="149"/>
      <c r="D263" s="149"/>
    </row>
    <row r="264" spans="1:4">
      <c r="A264" s="150" t="s">
        <v>624</v>
      </c>
      <c r="B264" s="150" t="s">
        <v>625</v>
      </c>
      <c r="C264" s="149"/>
      <c r="D264" s="149"/>
    </row>
    <row r="265" spans="1:4">
      <c r="A265" s="150" t="s">
        <v>626</v>
      </c>
      <c r="B265" s="150" t="s">
        <v>627</v>
      </c>
      <c r="C265" s="149"/>
      <c r="D265" s="149"/>
    </row>
    <row r="266" spans="1:4">
      <c r="A266" s="150" t="s">
        <v>630</v>
      </c>
      <c r="B266" s="150" t="s">
        <v>631</v>
      </c>
      <c r="C266" s="149"/>
      <c r="D266" s="149"/>
    </row>
    <row r="267" spans="1:4">
      <c r="A267" s="150" t="s">
        <v>634</v>
      </c>
      <c r="B267" s="150" t="s">
        <v>635</v>
      </c>
      <c r="C267" s="149"/>
      <c r="D267" s="149"/>
    </row>
    <row r="268" spans="1:4">
      <c r="A268" s="150" t="s">
        <v>636</v>
      </c>
      <c r="B268" s="150" t="s">
        <v>637</v>
      </c>
      <c r="C268" s="149"/>
      <c r="D268" s="149"/>
    </row>
    <row r="269" spans="1:4">
      <c r="A269" s="150" t="s">
        <v>638</v>
      </c>
      <c r="B269" s="150" t="s">
        <v>639</v>
      </c>
      <c r="C269" s="149"/>
      <c r="D269" s="149"/>
    </row>
    <row r="270" spans="1:4">
      <c r="A270" s="150" t="s">
        <v>640</v>
      </c>
      <c r="B270" s="150" t="s">
        <v>641</v>
      </c>
      <c r="C270" s="149"/>
      <c r="D270" s="149"/>
    </row>
    <row r="271" spans="1:4">
      <c r="A271" s="150" t="s">
        <v>642</v>
      </c>
      <c r="B271" s="150" t="s">
        <v>643</v>
      </c>
      <c r="C271" s="149"/>
      <c r="D271" s="149"/>
    </row>
    <row r="272" spans="1:4">
      <c r="A272" s="150" t="s">
        <v>644</v>
      </c>
      <c r="B272" s="150" t="s">
        <v>645</v>
      </c>
      <c r="C272" s="149"/>
      <c r="D272" s="149"/>
    </row>
    <row r="273" spans="1:4">
      <c r="A273" s="150" t="s">
        <v>646</v>
      </c>
      <c r="B273" s="150" t="s">
        <v>647</v>
      </c>
      <c r="C273" s="149"/>
      <c r="D273" s="149"/>
    </row>
    <row r="274" spans="1:4">
      <c r="A274" s="150" t="s">
        <v>648</v>
      </c>
      <c r="B274" s="150" t="s">
        <v>649</v>
      </c>
      <c r="C274" s="149"/>
      <c r="D274" s="149"/>
    </row>
    <row r="275" spans="1:4">
      <c r="A275" s="150" t="s">
        <v>650</v>
      </c>
      <c r="B275" s="150" t="s">
        <v>651</v>
      </c>
      <c r="C275" s="149"/>
      <c r="D275" s="149"/>
    </row>
    <row r="276" spans="1:4">
      <c r="A276" s="150" t="s">
        <v>652</v>
      </c>
      <c r="B276" s="150" t="s">
        <v>653</v>
      </c>
      <c r="C276" s="149"/>
      <c r="D276" s="149"/>
    </row>
    <row r="277" spans="1:4">
      <c r="A277" s="150" t="s">
        <v>654</v>
      </c>
      <c r="B277" s="150" t="s">
        <v>655</v>
      </c>
      <c r="C277" s="149"/>
      <c r="D277" s="149"/>
    </row>
    <row r="278" spans="1:4">
      <c r="A278" s="150" t="s">
        <v>656</v>
      </c>
      <c r="B278" s="150" t="s">
        <v>657</v>
      </c>
      <c r="C278" s="149"/>
      <c r="D278" s="149"/>
    </row>
    <row r="279" spans="1:4">
      <c r="A279" s="150" t="s">
        <v>658</v>
      </c>
      <c r="B279" s="150" t="s">
        <v>659</v>
      </c>
      <c r="C279" s="149"/>
      <c r="D279" s="149"/>
    </row>
    <row r="280" spans="1:4">
      <c r="A280" s="150" t="s">
        <v>660</v>
      </c>
      <c r="B280" s="150" t="s">
        <v>661</v>
      </c>
      <c r="C280" s="149"/>
      <c r="D280" s="149"/>
    </row>
    <row r="281" spans="1:4">
      <c r="A281" s="150" t="s">
        <v>662</v>
      </c>
      <c r="B281" s="150" t="s">
        <v>663</v>
      </c>
      <c r="C281" s="149"/>
      <c r="D281" s="149"/>
    </row>
    <row r="282" spans="1:4">
      <c r="A282" s="150" t="s">
        <v>664</v>
      </c>
      <c r="B282" s="150" t="s">
        <v>665</v>
      </c>
      <c r="C282" s="149"/>
      <c r="D282" s="149"/>
    </row>
    <row r="283" spans="1:4">
      <c r="A283" s="150" t="s">
        <v>666</v>
      </c>
      <c r="B283" s="150" t="s">
        <v>667</v>
      </c>
      <c r="C283" s="149"/>
      <c r="D283" s="149"/>
    </row>
    <row r="284" spans="1:4">
      <c r="A284" s="150" t="s">
        <v>668</v>
      </c>
      <c r="B284" s="150" t="s">
        <v>669</v>
      </c>
      <c r="C284" s="149"/>
      <c r="D284" s="149"/>
    </row>
    <row r="285" spans="1:4">
      <c r="A285" s="150"/>
      <c r="B285" s="150" t="s">
        <v>670</v>
      </c>
      <c r="C285" s="149"/>
      <c r="D285" s="149"/>
    </row>
    <row r="286" spans="1:4">
      <c r="A286" s="150" t="s">
        <v>671</v>
      </c>
      <c r="B286" s="150" t="s">
        <v>672</v>
      </c>
      <c r="C286" s="149"/>
      <c r="D286" s="149"/>
    </row>
    <row r="287" spans="1:4">
      <c r="A287" s="150" t="s">
        <v>675</v>
      </c>
      <c r="B287" s="150" t="s">
        <v>676</v>
      </c>
      <c r="C287" s="149"/>
      <c r="D287" s="149"/>
    </row>
    <row r="288" spans="1:4">
      <c r="A288" s="150" t="s">
        <v>679</v>
      </c>
      <c r="B288" s="150" t="s">
        <v>680</v>
      </c>
      <c r="C288" s="149"/>
      <c r="D288" s="149"/>
    </row>
    <row r="289" spans="1:4">
      <c r="A289" s="150" t="s">
        <v>683</v>
      </c>
      <c r="B289" s="150" t="s">
        <v>684</v>
      </c>
      <c r="C289" s="149"/>
      <c r="D289" s="149"/>
    </row>
    <row r="290" spans="1:4">
      <c r="A290" s="150" t="s">
        <v>685</v>
      </c>
      <c r="B290" s="150" t="s">
        <v>686</v>
      </c>
      <c r="C290" s="149"/>
      <c r="D290" s="149"/>
    </row>
    <row r="291" spans="1:4">
      <c r="A291" s="150" t="s">
        <v>687</v>
      </c>
      <c r="B291" s="150" t="s">
        <v>688</v>
      </c>
      <c r="C291" s="149"/>
      <c r="D291" s="149"/>
    </row>
    <row r="292" spans="1:4">
      <c r="A292" s="150" t="s">
        <v>689</v>
      </c>
      <c r="B292" s="150" t="s">
        <v>690</v>
      </c>
      <c r="C292" s="149"/>
      <c r="D292" s="149"/>
    </row>
    <row r="293" spans="1:4">
      <c r="A293" s="150" t="s">
        <v>691</v>
      </c>
      <c r="B293" s="150" t="s">
        <v>692</v>
      </c>
      <c r="C293" s="149"/>
      <c r="D293" s="149"/>
    </row>
    <row r="294" spans="1:4">
      <c r="A294" s="150" t="s">
        <v>693</v>
      </c>
      <c r="B294" s="150" t="s">
        <v>694</v>
      </c>
      <c r="C294" s="149"/>
      <c r="D294" s="149"/>
    </row>
    <row r="295" spans="1:4">
      <c r="A295" s="150" t="s">
        <v>695</v>
      </c>
      <c r="B295" s="150" t="s">
        <v>696</v>
      </c>
      <c r="C295" s="149"/>
      <c r="D295" s="149"/>
    </row>
    <row r="296" spans="1:4">
      <c r="A296" s="150" t="s">
        <v>697</v>
      </c>
      <c r="B296" s="150" t="s">
        <v>698</v>
      </c>
      <c r="C296" s="149"/>
      <c r="D296" s="149"/>
    </row>
    <row r="297" spans="1:4">
      <c r="A297" s="150" t="s">
        <v>699</v>
      </c>
      <c r="B297" s="150" t="s">
        <v>700</v>
      </c>
      <c r="C297" s="149"/>
      <c r="D297" s="149"/>
    </row>
    <row r="298" spans="1:4">
      <c r="A298" s="150" t="s">
        <v>701</v>
      </c>
      <c r="B298" s="150" t="s">
        <v>702</v>
      </c>
      <c r="C298" s="149"/>
      <c r="D298" s="149"/>
    </row>
    <row r="299" spans="1:4">
      <c r="A299" s="150" t="s">
        <v>703</v>
      </c>
      <c r="B299" s="150" t="s">
        <v>704</v>
      </c>
      <c r="C299" s="149"/>
      <c r="D299" s="149"/>
    </row>
    <row r="300" spans="1:4">
      <c r="A300" s="150" t="s">
        <v>705</v>
      </c>
      <c r="B300" s="150" t="s">
        <v>706</v>
      </c>
      <c r="C300" s="149"/>
      <c r="D300" s="149"/>
    </row>
    <row r="301" spans="1:4">
      <c r="A301" s="150" t="s">
        <v>707</v>
      </c>
      <c r="B301" s="150" t="s">
        <v>708</v>
      </c>
      <c r="C301" s="149"/>
      <c r="D301" s="149"/>
    </row>
    <row r="302" spans="1:4">
      <c r="A302" s="150" t="s">
        <v>709</v>
      </c>
      <c r="B302" s="150" t="s">
        <v>710</v>
      </c>
      <c r="C302" s="149"/>
      <c r="D302" s="149"/>
    </row>
    <row r="303" spans="1:4">
      <c r="A303" s="150" t="s">
        <v>711</v>
      </c>
      <c r="B303" s="150" t="s">
        <v>712</v>
      </c>
      <c r="C303" s="149"/>
      <c r="D303" s="149"/>
    </row>
    <row r="304" spans="1:4">
      <c r="A304" s="150" t="s">
        <v>713</v>
      </c>
      <c r="B304" s="150" t="s">
        <v>714</v>
      </c>
      <c r="C304" s="149"/>
      <c r="D304" s="149"/>
    </row>
    <row r="305" spans="1:4">
      <c r="A305" s="150" t="s">
        <v>715</v>
      </c>
      <c r="B305" s="150" t="s">
        <v>716</v>
      </c>
      <c r="C305" s="149"/>
      <c r="D305" s="149"/>
    </row>
    <row r="306" spans="1:4">
      <c r="A306" s="150" t="s">
        <v>717</v>
      </c>
      <c r="B306" s="150" t="s">
        <v>718</v>
      </c>
      <c r="C306" s="149"/>
      <c r="D306" s="149"/>
    </row>
    <row r="307" spans="1:4">
      <c r="A307" s="150" t="s">
        <v>721</v>
      </c>
      <c r="B307" s="150" t="s">
        <v>722</v>
      </c>
      <c r="C307" s="149"/>
      <c r="D307" s="149"/>
    </row>
    <row r="308" spans="1:4">
      <c r="A308" s="150" t="s">
        <v>723</v>
      </c>
      <c r="B308" s="150" t="s">
        <v>724</v>
      </c>
      <c r="C308" s="149"/>
      <c r="D308" s="149"/>
    </row>
    <row r="309" spans="1:4">
      <c r="A309" s="150" t="s">
        <v>726</v>
      </c>
      <c r="B309" s="150" t="s">
        <v>727</v>
      </c>
      <c r="C309" s="149"/>
      <c r="D309" s="149"/>
    </row>
    <row r="310" spans="1:4">
      <c r="A310" s="150" t="s">
        <v>728</v>
      </c>
      <c r="B310" s="150" t="s">
        <v>729</v>
      </c>
      <c r="C310" s="149"/>
      <c r="D310" s="149"/>
    </row>
    <row r="311" spans="1:4">
      <c r="A311" s="150" t="s">
        <v>731</v>
      </c>
      <c r="B311" s="150" t="s">
        <v>732</v>
      </c>
      <c r="C311" s="149"/>
      <c r="D311" s="149"/>
    </row>
    <row r="312" spans="1:4">
      <c r="A312" s="150" t="s">
        <v>733</v>
      </c>
      <c r="B312" s="150" t="s">
        <v>734</v>
      </c>
      <c r="C312" s="149"/>
      <c r="D312" s="149"/>
    </row>
    <row r="313" spans="1:4">
      <c r="A313" s="150" t="s">
        <v>735</v>
      </c>
      <c r="B313" s="150" t="s">
        <v>736</v>
      </c>
      <c r="C313" s="149"/>
      <c r="D313" s="149"/>
    </row>
    <row r="314" spans="1:4">
      <c r="A314" s="150" t="s">
        <v>737</v>
      </c>
      <c r="B314" s="150" t="s">
        <v>738</v>
      </c>
      <c r="C314" s="149"/>
      <c r="D314" s="149"/>
    </row>
    <row r="315" spans="1:4">
      <c r="A315" s="150" t="s">
        <v>739</v>
      </c>
      <c r="B315" s="150" t="s">
        <v>740</v>
      </c>
      <c r="C315" s="149"/>
      <c r="D315" s="149"/>
    </row>
    <row r="316" spans="1:4">
      <c r="A316" s="150" t="s">
        <v>741</v>
      </c>
      <c r="B316" s="150" t="s">
        <v>742</v>
      </c>
      <c r="C316" s="149"/>
      <c r="D316" s="149"/>
    </row>
    <row r="317" spans="1:4">
      <c r="A317" s="150" t="s">
        <v>743</v>
      </c>
      <c r="B317" s="150" t="s">
        <v>744</v>
      </c>
      <c r="C317" s="149"/>
      <c r="D317" s="149"/>
    </row>
    <row r="318" spans="1:4">
      <c r="A318" s="150" t="s">
        <v>745</v>
      </c>
      <c r="B318" s="150" t="s">
        <v>746</v>
      </c>
      <c r="C318" s="149"/>
      <c r="D318" s="149"/>
    </row>
    <row r="319" spans="1:4">
      <c r="A319" s="150" t="s">
        <v>747</v>
      </c>
      <c r="B319" s="150" t="s">
        <v>748</v>
      </c>
      <c r="C319" s="149"/>
      <c r="D319" s="149"/>
    </row>
    <row r="320" spans="1:4">
      <c r="A320" s="150" t="s">
        <v>749</v>
      </c>
      <c r="B320" s="150" t="s">
        <v>750</v>
      </c>
      <c r="C320" s="149"/>
      <c r="D320" s="149"/>
    </row>
    <row r="321" spans="1:4">
      <c r="A321" s="150" t="s">
        <v>751</v>
      </c>
      <c r="B321" s="150" t="s">
        <v>752</v>
      </c>
      <c r="C321" s="149"/>
      <c r="D321" s="149"/>
    </row>
    <row r="322" spans="1:4">
      <c r="A322" s="150" t="s">
        <v>753</v>
      </c>
      <c r="B322" s="150" t="s">
        <v>754</v>
      </c>
      <c r="C322" s="149"/>
      <c r="D322" s="149"/>
    </row>
    <row r="323" spans="1:4">
      <c r="A323" s="150" t="s">
        <v>755</v>
      </c>
      <c r="B323" s="150" t="s">
        <v>756</v>
      </c>
      <c r="C323" s="149"/>
      <c r="D323" s="149"/>
    </row>
    <row r="324" spans="1:4">
      <c r="A324" s="150" t="s">
        <v>757</v>
      </c>
      <c r="B324" s="150" t="s">
        <v>758</v>
      </c>
      <c r="C324" s="149"/>
      <c r="D324" s="149"/>
    </row>
    <row r="325" spans="1:4">
      <c r="A325" s="150" t="s">
        <v>759</v>
      </c>
      <c r="B325" s="150" t="s">
        <v>760</v>
      </c>
      <c r="C325" s="149"/>
      <c r="D325" s="149"/>
    </row>
    <row r="326" spans="1:4">
      <c r="A326" s="150" t="s">
        <v>761</v>
      </c>
      <c r="B326" s="150" t="s">
        <v>762</v>
      </c>
      <c r="C326" s="149"/>
      <c r="D326" s="149"/>
    </row>
    <row r="327" spans="1:4">
      <c r="A327" s="150"/>
      <c r="B327" s="150" t="s">
        <v>765</v>
      </c>
      <c r="C327" s="149"/>
      <c r="D327" s="149"/>
    </row>
    <row r="328" spans="1:4">
      <c r="A328" s="150"/>
      <c r="B328" s="150" t="s">
        <v>767</v>
      </c>
      <c r="C328" s="149"/>
      <c r="D328" s="149"/>
    </row>
    <row r="329" spans="1:4">
      <c r="A329" s="150"/>
      <c r="B329" s="150" t="s">
        <v>768</v>
      </c>
      <c r="C329" s="149"/>
      <c r="D329" s="149"/>
    </row>
    <row r="330" spans="1:4">
      <c r="A330" s="150" t="s">
        <v>769</v>
      </c>
      <c r="B330" s="150" t="s">
        <v>770</v>
      </c>
      <c r="C330" s="149"/>
      <c r="D330" s="149"/>
    </row>
    <row r="331" spans="1:4">
      <c r="A331" s="150" t="s">
        <v>771</v>
      </c>
      <c r="B331" s="150" t="s">
        <v>772</v>
      </c>
      <c r="C331" s="149"/>
      <c r="D331" s="149"/>
    </row>
    <row r="332" spans="1:4">
      <c r="A332" s="150" t="s">
        <v>773</v>
      </c>
      <c r="B332" s="150" t="s">
        <v>774</v>
      </c>
      <c r="C332" s="149"/>
      <c r="D332" s="149"/>
    </row>
    <row r="333" spans="1:4">
      <c r="A333" s="150"/>
      <c r="B333" s="150" t="s">
        <v>775</v>
      </c>
      <c r="C333" s="149"/>
      <c r="D333" s="149"/>
    </row>
    <row r="334" spans="1:4">
      <c r="A334" s="150" t="s">
        <v>776</v>
      </c>
      <c r="B334" s="150" t="s">
        <v>777</v>
      </c>
      <c r="C334" s="149"/>
      <c r="D334" s="149"/>
    </row>
    <row r="335" spans="1:4">
      <c r="A335" s="150" t="s">
        <v>778</v>
      </c>
      <c r="B335" s="150" t="s">
        <v>779</v>
      </c>
      <c r="C335" s="149"/>
      <c r="D335" s="149"/>
    </row>
    <row r="336" spans="1:4">
      <c r="A336" s="150"/>
      <c r="B336" s="150" t="s">
        <v>780</v>
      </c>
      <c r="C336" s="149"/>
      <c r="D336" s="149"/>
    </row>
    <row r="337" spans="1:4">
      <c r="A337" s="150" t="s">
        <v>781</v>
      </c>
      <c r="B337" s="150" t="s">
        <v>782</v>
      </c>
      <c r="C337" s="149"/>
      <c r="D337" s="149"/>
    </row>
    <row r="338" spans="1:4">
      <c r="A338" s="150" t="s">
        <v>783</v>
      </c>
      <c r="B338" s="150" t="s">
        <v>784</v>
      </c>
      <c r="C338" s="149"/>
      <c r="D338" s="149"/>
    </row>
    <row r="339" spans="1:4">
      <c r="A339" s="150" t="s">
        <v>785</v>
      </c>
      <c r="B339" s="150" t="s">
        <v>786</v>
      </c>
      <c r="C339" s="149"/>
      <c r="D339" s="149"/>
    </row>
    <row r="340" spans="1:4">
      <c r="A340" s="150" t="s">
        <v>788</v>
      </c>
      <c r="B340" s="150" t="s">
        <v>789</v>
      </c>
      <c r="C340" s="149"/>
      <c r="D340" s="149"/>
    </row>
    <row r="341" spans="1:4">
      <c r="A341" s="150" t="s">
        <v>790</v>
      </c>
      <c r="B341" s="150" t="s">
        <v>791</v>
      </c>
      <c r="C341" s="149"/>
      <c r="D341" s="149"/>
    </row>
    <row r="342" spans="1:4">
      <c r="A342" s="150" t="s">
        <v>792</v>
      </c>
      <c r="B342" s="150" t="s">
        <v>793</v>
      </c>
      <c r="C342" s="149"/>
      <c r="D342" s="149"/>
    </row>
    <row r="343" spans="1:4">
      <c r="A343" s="150" t="s">
        <v>794</v>
      </c>
      <c r="B343" s="150" t="s">
        <v>795</v>
      </c>
      <c r="C343" s="149"/>
      <c r="D343" s="149"/>
    </row>
    <row r="344" spans="1:4">
      <c r="A344" s="150" t="s">
        <v>796</v>
      </c>
      <c r="B344" s="150" t="s">
        <v>797</v>
      </c>
      <c r="C344" s="149"/>
      <c r="D344" s="149"/>
    </row>
    <row r="345" spans="1:4">
      <c r="A345" s="150"/>
      <c r="B345" s="150" t="s">
        <v>798</v>
      </c>
      <c r="C345" s="149"/>
      <c r="D345" s="149"/>
    </row>
    <row r="346" spans="1:4">
      <c r="A346" s="150"/>
      <c r="B346" s="150" t="s">
        <v>799</v>
      </c>
      <c r="C346" s="149"/>
      <c r="D346" s="149"/>
    </row>
    <row r="347" spans="1:4">
      <c r="A347" s="150" t="s">
        <v>800</v>
      </c>
      <c r="B347" s="150" t="s">
        <v>801</v>
      </c>
      <c r="C347" s="149"/>
      <c r="D347" s="149"/>
    </row>
    <row r="348" spans="1:4">
      <c r="A348" s="150" t="s">
        <v>802</v>
      </c>
      <c r="B348" s="150" t="s">
        <v>803</v>
      </c>
      <c r="C348" s="149"/>
      <c r="D348" s="149"/>
    </row>
    <row r="349" spans="1:4">
      <c r="A349" s="150" t="s">
        <v>804</v>
      </c>
      <c r="B349" s="150" t="s">
        <v>805</v>
      </c>
      <c r="C349" s="149"/>
      <c r="D349" s="149"/>
    </row>
    <row r="350" spans="1:4">
      <c r="A350" s="150"/>
      <c r="B350" s="150" t="s">
        <v>807</v>
      </c>
      <c r="C350" s="149"/>
      <c r="D350" s="149"/>
    </row>
    <row r="351" spans="1:4">
      <c r="A351" s="150"/>
      <c r="B351" s="150" t="s">
        <v>810</v>
      </c>
      <c r="C351" s="149"/>
      <c r="D351" s="149"/>
    </row>
    <row r="352" spans="1:4">
      <c r="A352" s="150"/>
      <c r="B352" s="150" t="s">
        <v>811</v>
      </c>
      <c r="C352" s="149"/>
      <c r="D352" s="149"/>
    </row>
    <row r="353" spans="1:4">
      <c r="A353" s="150" t="s">
        <v>812</v>
      </c>
      <c r="B353" s="150" t="s">
        <v>813</v>
      </c>
      <c r="C353" s="149"/>
      <c r="D353" s="149"/>
    </row>
    <row r="354" spans="1:4">
      <c r="A354" s="150" t="s">
        <v>814</v>
      </c>
      <c r="B354" s="150" t="s">
        <v>815</v>
      </c>
      <c r="C354" s="149"/>
      <c r="D354" s="149"/>
    </row>
    <row r="355" spans="1:4">
      <c r="A355" s="150" t="s">
        <v>816</v>
      </c>
      <c r="B355" s="150" t="s">
        <v>817</v>
      </c>
      <c r="C355" s="149"/>
      <c r="D355" s="149"/>
    </row>
    <row r="356" spans="1:4">
      <c r="A356" s="150" t="s">
        <v>818</v>
      </c>
      <c r="B356" s="150" t="s">
        <v>819</v>
      </c>
      <c r="C356" s="149"/>
      <c r="D356" s="149"/>
    </row>
    <row r="357" spans="1:4">
      <c r="A357" s="150" t="s">
        <v>820</v>
      </c>
      <c r="B357" s="150" t="s">
        <v>821</v>
      </c>
      <c r="C357" s="149"/>
      <c r="D357" s="149"/>
    </row>
    <row r="358" spans="1:4">
      <c r="A358" s="150" t="s">
        <v>822</v>
      </c>
      <c r="B358" s="150" t="s">
        <v>823</v>
      </c>
      <c r="C358" s="149"/>
      <c r="D358" s="149"/>
    </row>
    <row r="359" spans="1:4">
      <c r="A359" s="150" t="s">
        <v>826</v>
      </c>
      <c r="B359" s="150" t="s">
        <v>827</v>
      </c>
      <c r="C359" s="149"/>
      <c r="D359" s="149"/>
    </row>
    <row r="360" spans="1:4">
      <c r="A360" s="150" t="s">
        <v>830</v>
      </c>
      <c r="B360" s="150" t="s">
        <v>831</v>
      </c>
      <c r="C360" s="149"/>
      <c r="D360" s="149"/>
    </row>
    <row r="361" spans="1:4">
      <c r="A361" s="150" t="s">
        <v>832</v>
      </c>
      <c r="B361" s="150" t="s">
        <v>833</v>
      </c>
      <c r="C361" s="149"/>
      <c r="D361" s="149"/>
    </row>
    <row r="362" spans="1:4">
      <c r="A362" s="150" t="s">
        <v>834</v>
      </c>
      <c r="B362" s="150" t="s">
        <v>835</v>
      </c>
      <c r="C362" s="149"/>
      <c r="D362" s="149"/>
    </row>
    <row r="363" spans="1:4">
      <c r="A363" s="150" t="s">
        <v>836</v>
      </c>
      <c r="B363" s="150" t="s">
        <v>837</v>
      </c>
      <c r="C363" s="149"/>
      <c r="D363" s="149"/>
    </row>
    <row r="364" spans="1:4">
      <c r="A364" s="150"/>
      <c r="B364" s="150" t="s">
        <v>838</v>
      </c>
      <c r="C364" s="149"/>
      <c r="D364" s="149"/>
    </row>
    <row r="365" spans="1:4">
      <c r="A365" s="150"/>
      <c r="B365" s="150" t="s">
        <v>839</v>
      </c>
      <c r="C365" s="149"/>
      <c r="D365" s="149"/>
    </row>
    <row r="366" spans="1:4">
      <c r="A366" s="150" t="s">
        <v>840</v>
      </c>
      <c r="B366" s="150" t="s">
        <v>841</v>
      </c>
      <c r="C366" s="149"/>
      <c r="D366" s="149"/>
    </row>
    <row r="367" spans="1:4">
      <c r="A367" s="150"/>
      <c r="B367" s="150" t="s">
        <v>842</v>
      </c>
      <c r="C367" s="149"/>
      <c r="D367" s="149"/>
    </row>
    <row r="368" spans="1:4">
      <c r="A368" s="150"/>
      <c r="B368" s="150" t="s">
        <v>842</v>
      </c>
      <c r="C368" s="149"/>
      <c r="D368" s="149"/>
    </row>
    <row r="369" spans="1:4">
      <c r="A369" s="150" t="s">
        <v>843</v>
      </c>
      <c r="B369" s="150" t="s">
        <v>844</v>
      </c>
      <c r="C369" s="149"/>
      <c r="D369" s="149"/>
    </row>
    <row r="370" spans="1:4">
      <c r="A370" s="150"/>
      <c r="B370" s="150" t="s">
        <v>845</v>
      </c>
      <c r="C370" s="149"/>
      <c r="D370" s="149"/>
    </row>
    <row r="371" spans="1:4">
      <c r="A371" s="150"/>
      <c r="B371" s="150" t="s">
        <v>846</v>
      </c>
      <c r="C371" s="149"/>
      <c r="D371" s="149"/>
    </row>
    <row r="372" spans="1:4">
      <c r="A372" s="150" t="s">
        <v>847</v>
      </c>
      <c r="B372" s="150" t="s">
        <v>848</v>
      </c>
      <c r="C372" s="149"/>
      <c r="D372" s="149"/>
    </row>
    <row r="373" spans="1:4">
      <c r="A373" s="150" t="s">
        <v>849</v>
      </c>
      <c r="B373" s="150" t="s">
        <v>850</v>
      </c>
      <c r="C373" s="149"/>
      <c r="D373" s="149"/>
    </row>
    <row r="374" spans="1:4">
      <c r="A374" s="150" t="s">
        <v>851</v>
      </c>
      <c r="B374" s="150" t="s">
        <v>852</v>
      </c>
      <c r="C374" s="149"/>
      <c r="D374" s="149"/>
    </row>
    <row r="375" spans="1:4">
      <c r="A375" s="150" t="s">
        <v>853</v>
      </c>
      <c r="B375" s="150" t="s">
        <v>854</v>
      </c>
      <c r="C375" s="149"/>
      <c r="D375" s="149"/>
    </row>
    <row r="376" spans="1:4">
      <c r="A376" s="150" t="s">
        <v>855</v>
      </c>
      <c r="B376" s="150" t="s">
        <v>856</v>
      </c>
      <c r="C376" s="149"/>
      <c r="D376" s="149"/>
    </row>
    <row r="377" spans="1:4">
      <c r="A377" s="150" t="s">
        <v>857</v>
      </c>
      <c r="B377" s="150" t="s">
        <v>858</v>
      </c>
      <c r="C377" s="149"/>
      <c r="D377" s="149"/>
    </row>
    <row r="378" spans="1:4">
      <c r="A378" s="150" t="s">
        <v>859</v>
      </c>
      <c r="B378" s="150" t="s">
        <v>860</v>
      </c>
      <c r="C378" s="149"/>
      <c r="D378" s="149"/>
    </row>
    <row r="379" spans="1:4">
      <c r="A379" s="150" t="s">
        <v>861</v>
      </c>
      <c r="B379" s="150" t="s">
        <v>862</v>
      </c>
      <c r="C379" s="149"/>
      <c r="D379" s="149"/>
    </row>
    <row r="380" spans="1:4">
      <c r="A380" s="150" t="s">
        <v>863</v>
      </c>
      <c r="B380" s="150" t="s">
        <v>864</v>
      </c>
      <c r="C380" s="149"/>
      <c r="D380" s="149"/>
    </row>
    <row r="381" spans="1:4">
      <c r="A381" s="150" t="s">
        <v>865</v>
      </c>
      <c r="B381" s="150" t="s">
        <v>866</v>
      </c>
      <c r="C381" s="149"/>
      <c r="D381" s="149"/>
    </row>
    <row r="382" spans="1:4">
      <c r="A382" s="150" t="s">
        <v>869</v>
      </c>
      <c r="B382" s="150" t="s">
        <v>870</v>
      </c>
      <c r="C382" s="149"/>
      <c r="D382" s="149"/>
    </row>
    <row r="383" spans="1:4">
      <c r="A383" s="150" t="s">
        <v>871</v>
      </c>
      <c r="B383" s="150" t="s">
        <v>872</v>
      </c>
      <c r="C383" s="149"/>
      <c r="D383" s="149"/>
    </row>
    <row r="384" spans="1:4">
      <c r="A384" s="150" t="s">
        <v>873</v>
      </c>
      <c r="B384" s="150" t="s">
        <v>874</v>
      </c>
      <c r="C384" s="149"/>
      <c r="D384" s="149"/>
    </row>
    <row r="385" spans="1:4">
      <c r="A385" s="150" t="s">
        <v>875</v>
      </c>
      <c r="B385" s="150" t="s">
        <v>876</v>
      </c>
      <c r="C385" s="149"/>
      <c r="D385" s="149"/>
    </row>
    <row r="386" spans="1:4">
      <c r="A386" s="150" t="s">
        <v>877</v>
      </c>
      <c r="B386" s="150" t="s">
        <v>878</v>
      </c>
      <c r="C386" s="149"/>
      <c r="D386" s="149"/>
    </row>
    <row r="387" spans="1:4">
      <c r="A387" s="150" t="s">
        <v>879</v>
      </c>
      <c r="B387" s="150" t="s">
        <v>880</v>
      </c>
      <c r="C387" s="149"/>
      <c r="D387" s="149"/>
    </row>
    <row r="388" spans="1:4">
      <c r="A388" s="150" t="s">
        <v>881</v>
      </c>
      <c r="B388" s="150" t="s">
        <v>882</v>
      </c>
      <c r="C388" s="149"/>
      <c r="D388" s="149"/>
    </row>
    <row r="389" spans="1:4">
      <c r="A389" s="150"/>
      <c r="B389" s="150" t="s">
        <v>883</v>
      </c>
      <c r="C389" s="149"/>
      <c r="D389" s="149"/>
    </row>
    <row r="390" spans="1:4">
      <c r="A390" s="150" t="s">
        <v>884</v>
      </c>
      <c r="B390" s="150" t="s">
        <v>885</v>
      </c>
      <c r="C390" s="149"/>
      <c r="D390" s="149"/>
    </row>
    <row r="391" spans="1:4">
      <c r="A391" s="150" t="s">
        <v>886</v>
      </c>
      <c r="B391" s="150" t="s">
        <v>887</v>
      </c>
      <c r="C391" s="149"/>
      <c r="D391" s="149"/>
    </row>
    <row r="392" spans="1:4">
      <c r="A392" s="150" t="s">
        <v>888</v>
      </c>
      <c r="B392" s="150" t="s">
        <v>889</v>
      </c>
      <c r="C392" s="149"/>
      <c r="D392" s="149"/>
    </row>
    <row r="393" spans="1:4">
      <c r="A393" s="150" t="s">
        <v>890</v>
      </c>
      <c r="B393" s="150" t="s">
        <v>891</v>
      </c>
      <c r="C393" s="149"/>
      <c r="D393" s="149"/>
    </row>
    <row r="394" spans="1:4">
      <c r="A394" s="150" t="s">
        <v>892</v>
      </c>
      <c r="B394" s="150" t="s">
        <v>893</v>
      </c>
      <c r="C394" s="149"/>
      <c r="D394" s="149"/>
    </row>
    <row r="395" spans="1:4">
      <c r="A395" s="150"/>
      <c r="B395" s="150" t="s">
        <v>894</v>
      </c>
      <c r="C395" s="149"/>
      <c r="D395" s="149"/>
    </row>
    <row r="396" spans="1:4">
      <c r="A396" s="150" t="s">
        <v>896</v>
      </c>
      <c r="B396" s="150" t="s">
        <v>897</v>
      </c>
      <c r="C396" s="149"/>
      <c r="D396" s="149"/>
    </row>
    <row r="397" spans="1:4">
      <c r="A397" s="150" t="s">
        <v>900</v>
      </c>
      <c r="B397" s="150" t="s">
        <v>901</v>
      </c>
      <c r="C397" s="149"/>
      <c r="D397" s="149"/>
    </row>
    <row r="398" spans="1:4">
      <c r="A398" s="150" t="s">
        <v>902</v>
      </c>
      <c r="B398" s="150" t="s">
        <v>903</v>
      </c>
      <c r="C398" s="149"/>
      <c r="D398" s="149"/>
    </row>
    <row r="399" spans="1:4">
      <c r="A399" s="150" t="s">
        <v>904</v>
      </c>
      <c r="B399" s="150" t="s">
        <v>905</v>
      </c>
      <c r="C399" s="149"/>
      <c r="D399" s="149"/>
    </row>
    <row r="400" spans="1:4">
      <c r="A400" s="150" t="s">
        <v>906</v>
      </c>
      <c r="B400" s="150" t="s">
        <v>907</v>
      </c>
      <c r="C400" s="149"/>
      <c r="D400" s="149"/>
    </row>
    <row r="401" spans="1:4">
      <c r="A401" s="150" t="s">
        <v>908</v>
      </c>
      <c r="B401" s="150" t="s">
        <v>909</v>
      </c>
      <c r="C401" s="149"/>
      <c r="D401" s="149"/>
    </row>
    <row r="402" spans="1:4">
      <c r="A402" s="150" t="s">
        <v>910</v>
      </c>
      <c r="B402" s="150" t="s">
        <v>911</v>
      </c>
      <c r="C402" s="149"/>
      <c r="D402" s="149"/>
    </row>
    <row r="403" spans="1:4">
      <c r="A403" s="150"/>
      <c r="B403" s="150" t="s">
        <v>912</v>
      </c>
      <c r="C403" s="149"/>
      <c r="D403" s="149"/>
    </row>
    <row r="404" spans="1:4">
      <c r="A404" s="150"/>
      <c r="B404" s="150" t="s">
        <v>913</v>
      </c>
      <c r="C404" s="149"/>
      <c r="D404" s="149"/>
    </row>
    <row r="405" spans="1:4">
      <c r="A405" s="150" t="s">
        <v>914</v>
      </c>
      <c r="B405" s="150" t="s">
        <v>915</v>
      </c>
      <c r="C405" s="149"/>
      <c r="D405" s="149"/>
    </row>
    <row r="406" spans="1:4">
      <c r="A406" s="150" t="s">
        <v>918</v>
      </c>
      <c r="B406" s="150" t="s">
        <v>919</v>
      </c>
      <c r="C406" s="149"/>
      <c r="D406" s="149"/>
    </row>
    <row r="407" spans="1:4">
      <c r="A407" s="150" t="s">
        <v>920</v>
      </c>
      <c r="B407" s="150" t="s">
        <v>921</v>
      </c>
      <c r="C407" s="149"/>
      <c r="D407" s="149"/>
    </row>
    <row r="408" spans="1:4">
      <c r="A408" s="150" t="s">
        <v>922</v>
      </c>
      <c r="B408" s="150" t="s">
        <v>923</v>
      </c>
      <c r="C408" s="149"/>
      <c r="D408" s="149"/>
    </row>
    <row r="409" spans="1:4">
      <c r="A409" s="150" t="s">
        <v>924</v>
      </c>
      <c r="B409" s="150" t="s">
        <v>925</v>
      </c>
      <c r="C409" s="149"/>
      <c r="D409" s="149"/>
    </row>
    <row r="410" spans="1:4">
      <c r="A410" s="150" t="s">
        <v>926</v>
      </c>
      <c r="B410" s="150" t="s">
        <v>927</v>
      </c>
      <c r="C410" s="149"/>
      <c r="D410" s="149"/>
    </row>
    <row r="411" spans="1:4">
      <c r="A411" s="150" t="s">
        <v>928</v>
      </c>
      <c r="B411" s="150" t="s">
        <v>929</v>
      </c>
      <c r="C411" s="149"/>
      <c r="D411" s="149"/>
    </row>
    <row r="412" spans="1:4">
      <c r="A412" s="150" t="s">
        <v>930</v>
      </c>
      <c r="B412" s="150" t="s">
        <v>931</v>
      </c>
      <c r="C412" s="149"/>
      <c r="D412" s="149"/>
    </row>
    <row r="413" spans="1:4">
      <c r="A413" s="150" t="s">
        <v>932</v>
      </c>
      <c r="B413" s="150" t="s">
        <v>933</v>
      </c>
      <c r="C413" s="149"/>
      <c r="D413" s="149"/>
    </row>
    <row r="414" spans="1:4">
      <c r="A414" s="150" t="s">
        <v>936</v>
      </c>
      <c r="B414" s="150" t="s">
        <v>937</v>
      </c>
      <c r="C414" s="149"/>
      <c r="D414" s="149"/>
    </row>
    <row r="415" spans="1:4">
      <c r="A415" s="150" t="s">
        <v>938</v>
      </c>
      <c r="B415" s="150" t="s">
        <v>939</v>
      </c>
      <c r="C415" s="149"/>
      <c r="D415" s="149"/>
    </row>
    <row r="416" spans="1:4">
      <c r="A416" s="150" t="s">
        <v>940</v>
      </c>
      <c r="B416" s="150" t="s">
        <v>941</v>
      </c>
      <c r="C416" s="149"/>
      <c r="D416" s="149"/>
    </row>
    <row r="417" spans="1:4">
      <c r="A417" s="150" t="s">
        <v>942</v>
      </c>
      <c r="B417" s="150" t="s">
        <v>943</v>
      </c>
      <c r="C417" s="149"/>
      <c r="D417" s="149"/>
    </row>
    <row r="418" spans="1:4">
      <c r="A418" s="150" t="s">
        <v>944</v>
      </c>
      <c r="B418" s="150" t="s">
        <v>945</v>
      </c>
      <c r="C418" s="149"/>
      <c r="D418" s="149"/>
    </row>
    <row r="419" spans="1:4">
      <c r="A419" s="150" t="s">
        <v>946</v>
      </c>
      <c r="B419" s="150" t="s">
        <v>947</v>
      </c>
      <c r="C419" s="149"/>
      <c r="D419" s="149"/>
    </row>
    <row r="420" spans="1:4">
      <c r="A420" s="150" t="s">
        <v>948</v>
      </c>
      <c r="B420" s="150" t="s">
        <v>949</v>
      </c>
      <c r="C420" s="149"/>
      <c r="D420" s="149"/>
    </row>
    <row r="421" spans="1:4">
      <c r="A421" s="150" t="s">
        <v>950</v>
      </c>
      <c r="B421" s="150" t="s">
        <v>951</v>
      </c>
      <c r="C421" s="149"/>
      <c r="D421" s="149"/>
    </row>
    <row r="422" spans="1:4">
      <c r="A422" s="150" t="s">
        <v>952</v>
      </c>
      <c r="B422" s="150" t="s">
        <v>953</v>
      </c>
      <c r="C422" s="149"/>
      <c r="D422" s="149"/>
    </row>
    <row r="423" spans="1:4">
      <c r="A423" s="150" t="s">
        <v>954</v>
      </c>
      <c r="B423" s="150" t="s">
        <v>955</v>
      </c>
      <c r="C423" s="149"/>
      <c r="D423" s="149"/>
    </row>
    <row r="424" spans="1:4">
      <c r="A424" s="150" t="s">
        <v>956</v>
      </c>
      <c r="B424" s="150" t="s">
        <v>957</v>
      </c>
      <c r="C424" s="149"/>
      <c r="D424" s="149"/>
    </row>
    <row r="425" spans="1:4">
      <c r="A425" s="150" t="s">
        <v>958</v>
      </c>
      <c r="B425" s="150" t="s">
        <v>959</v>
      </c>
      <c r="C425" s="149"/>
      <c r="D425" s="149"/>
    </row>
    <row r="426" spans="1:4">
      <c r="A426" s="150"/>
      <c r="B426" s="150" t="s">
        <v>960</v>
      </c>
      <c r="C426" s="149"/>
      <c r="D426" s="149"/>
    </row>
    <row r="427" spans="1:4">
      <c r="A427" s="150" t="s">
        <v>961</v>
      </c>
      <c r="B427" s="150" t="s">
        <v>962</v>
      </c>
      <c r="C427" s="149"/>
      <c r="D427" s="149"/>
    </row>
    <row r="428" spans="1:4">
      <c r="A428" s="150" t="s">
        <v>963</v>
      </c>
      <c r="B428" s="150" t="s">
        <v>964</v>
      </c>
      <c r="C428" s="149"/>
      <c r="D428" s="149"/>
    </row>
    <row r="429" spans="1:4">
      <c r="A429" s="150" t="s">
        <v>965</v>
      </c>
      <c r="B429" s="150" t="s">
        <v>966</v>
      </c>
      <c r="C429" s="149"/>
      <c r="D429" s="149"/>
    </row>
    <row r="430" spans="1:4">
      <c r="A430" s="150" t="s">
        <v>967</v>
      </c>
      <c r="B430" s="150" t="s">
        <v>968</v>
      </c>
      <c r="C430" s="149"/>
      <c r="D430" s="149"/>
    </row>
    <row r="431" spans="1:4">
      <c r="A431" s="150" t="s">
        <v>969</v>
      </c>
      <c r="B431" s="150" t="s">
        <v>970</v>
      </c>
      <c r="C431" s="149"/>
      <c r="D431" s="149"/>
    </row>
    <row r="432" spans="1:4">
      <c r="A432" s="150" t="s">
        <v>971</v>
      </c>
      <c r="B432" s="150" t="s">
        <v>972</v>
      </c>
      <c r="C432" s="149"/>
      <c r="D432" s="149"/>
    </row>
    <row r="433" spans="1:4">
      <c r="A433" s="150" t="s">
        <v>973</v>
      </c>
      <c r="B433" s="150" t="s">
        <v>974</v>
      </c>
      <c r="C433" s="149"/>
      <c r="D433" s="149"/>
    </row>
    <row r="434" spans="1:4">
      <c r="A434" s="150" t="s">
        <v>975</v>
      </c>
      <c r="B434" s="150" t="s">
        <v>976</v>
      </c>
      <c r="C434" s="149"/>
      <c r="D434" s="149"/>
    </row>
    <row r="435" spans="1:4">
      <c r="A435" s="150" t="s">
        <v>977</v>
      </c>
      <c r="B435" s="150" t="s">
        <v>978</v>
      </c>
      <c r="C435" s="149"/>
      <c r="D435" s="149"/>
    </row>
    <row r="436" spans="1:4">
      <c r="A436" s="150" t="s">
        <v>979</v>
      </c>
      <c r="B436" s="150" t="s">
        <v>980</v>
      </c>
      <c r="C436" s="149"/>
      <c r="D436" s="149"/>
    </row>
    <row r="437" spans="1:4">
      <c r="A437" s="150" t="s">
        <v>981</v>
      </c>
      <c r="B437" s="150" t="s">
        <v>982</v>
      </c>
      <c r="C437" s="149"/>
      <c r="D437" s="149"/>
    </row>
    <row r="438" spans="1:4">
      <c r="A438" s="150" t="s">
        <v>983</v>
      </c>
      <c r="B438" s="150" t="s">
        <v>984</v>
      </c>
      <c r="C438" s="149"/>
      <c r="D438" s="149"/>
    </row>
    <row r="439" spans="1:4">
      <c r="A439" s="150" t="s">
        <v>985</v>
      </c>
      <c r="B439" s="150" t="s">
        <v>986</v>
      </c>
      <c r="C439" s="149"/>
      <c r="D439" s="149"/>
    </row>
    <row r="440" spans="1:4">
      <c r="A440" s="150" t="s">
        <v>987</v>
      </c>
      <c r="B440" s="150" t="s">
        <v>988</v>
      </c>
      <c r="C440" s="149"/>
      <c r="D440" s="149"/>
    </row>
    <row r="441" spans="1:4">
      <c r="A441" s="150" t="s">
        <v>989</v>
      </c>
      <c r="B441" s="150" t="s">
        <v>990</v>
      </c>
      <c r="C441" s="149"/>
      <c r="D441" s="149"/>
    </row>
    <row r="442" spans="1:4">
      <c r="A442" s="150" t="s">
        <v>991</v>
      </c>
      <c r="B442" s="150" t="s">
        <v>992</v>
      </c>
      <c r="C442" s="149"/>
      <c r="D442" s="149"/>
    </row>
    <row r="443" spans="1:4">
      <c r="A443" s="150" t="s">
        <v>993</v>
      </c>
      <c r="B443" s="150" t="s">
        <v>994</v>
      </c>
      <c r="C443" s="149"/>
      <c r="D443" s="149"/>
    </row>
    <row r="444" spans="1:4">
      <c r="A444" s="150" t="s">
        <v>995</v>
      </c>
      <c r="B444" s="150" t="s">
        <v>996</v>
      </c>
      <c r="C444" s="149"/>
      <c r="D444" s="149"/>
    </row>
    <row r="445" spans="1:4">
      <c r="A445" s="150" t="s">
        <v>997</v>
      </c>
      <c r="B445" s="150" t="s">
        <v>998</v>
      </c>
      <c r="C445" s="149"/>
      <c r="D445" s="149"/>
    </row>
    <row r="446" spans="1:4">
      <c r="A446" s="150"/>
      <c r="B446" s="150" t="s">
        <v>999</v>
      </c>
      <c r="C446" s="149"/>
      <c r="D446" s="149"/>
    </row>
    <row r="447" spans="1:4">
      <c r="A447" s="150" t="s">
        <v>1000</v>
      </c>
      <c r="B447" s="150" t="s">
        <v>1001</v>
      </c>
      <c r="C447" s="149"/>
      <c r="D447" s="149"/>
    </row>
    <row r="448" spans="1:4">
      <c r="A448" s="150" t="s">
        <v>1004</v>
      </c>
      <c r="B448" s="150" t="s">
        <v>1005</v>
      </c>
      <c r="C448" s="149"/>
      <c r="D448" s="149"/>
    </row>
    <row r="449" spans="1:4">
      <c r="A449" s="150" t="s">
        <v>1006</v>
      </c>
      <c r="B449" s="150" t="s">
        <v>1007</v>
      </c>
      <c r="C449" s="149"/>
      <c r="D449" s="149"/>
    </row>
    <row r="450" spans="1:4">
      <c r="A450" s="150" t="s">
        <v>1008</v>
      </c>
      <c r="B450" s="150" t="s">
        <v>1009</v>
      </c>
      <c r="C450" s="149"/>
      <c r="D450" s="149"/>
    </row>
    <row r="451" spans="1:4">
      <c r="A451" s="150" t="s">
        <v>1010</v>
      </c>
      <c r="B451" s="150" t="s">
        <v>1011</v>
      </c>
      <c r="C451" s="149"/>
      <c r="D451" s="149"/>
    </row>
    <row r="452" spans="1:4">
      <c r="A452" s="150" t="s">
        <v>1012</v>
      </c>
      <c r="B452" s="150" t="s">
        <v>1013</v>
      </c>
      <c r="C452" s="149"/>
      <c r="D452" s="149"/>
    </row>
    <row r="453" spans="1:4">
      <c r="A453" s="150"/>
      <c r="B453" s="150" t="s">
        <v>1014</v>
      </c>
      <c r="C453" s="149"/>
      <c r="D453" s="149"/>
    </row>
    <row r="454" spans="1:4">
      <c r="A454" s="150"/>
      <c r="B454" s="150" t="s">
        <v>1015</v>
      </c>
      <c r="C454" s="149"/>
      <c r="D454" s="149"/>
    </row>
    <row r="455" spans="1:4">
      <c r="A455" s="150"/>
      <c r="B455" s="150" t="s">
        <v>1016</v>
      </c>
      <c r="C455" s="149"/>
      <c r="D455" s="149"/>
    </row>
    <row r="456" spans="1:4">
      <c r="A456" s="150" t="s">
        <v>1017</v>
      </c>
      <c r="B456" s="150" t="s">
        <v>1018</v>
      </c>
      <c r="C456" s="149"/>
      <c r="D456" s="149"/>
    </row>
    <row r="457" spans="1:4">
      <c r="A457" s="150" t="s">
        <v>1019</v>
      </c>
      <c r="B457" s="150" t="s">
        <v>1020</v>
      </c>
      <c r="C457" s="149"/>
      <c r="D457" s="149"/>
    </row>
    <row r="458" spans="1:4">
      <c r="A458" s="150" t="s">
        <v>1021</v>
      </c>
      <c r="B458" s="150" t="s">
        <v>1022</v>
      </c>
      <c r="C458" s="149"/>
      <c r="D458" s="149"/>
    </row>
    <row r="459" spans="1:4">
      <c r="A459" s="150" t="s">
        <v>1023</v>
      </c>
      <c r="B459" s="150" t="s">
        <v>1024</v>
      </c>
      <c r="C459" s="149"/>
      <c r="D459" s="149"/>
    </row>
    <row r="460" spans="1:4">
      <c r="A460" s="150" t="s">
        <v>1025</v>
      </c>
      <c r="B460" s="150" t="s">
        <v>1026</v>
      </c>
      <c r="C460" s="149"/>
      <c r="D460" s="149"/>
    </row>
    <row r="461" spans="1:4">
      <c r="A461" s="150"/>
      <c r="B461" s="150" t="s">
        <v>1027</v>
      </c>
      <c r="C461" s="149"/>
      <c r="D461" s="149"/>
    </row>
    <row r="462" spans="1:4">
      <c r="A462" s="150"/>
      <c r="B462" s="150" t="s">
        <v>1028</v>
      </c>
      <c r="C462" s="149"/>
      <c r="D462" s="149"/>
    </row>
    <row r="463" spans="1:4">
      <c r="A463" s="150" t="s">
        <v>1029</v>
      </c>
      <c r="B463" s="150" t="s">
        <v>1030</v>
      </c>
      <c r="C463" s="149"/>
      <c r="D463" s="149"/>
    </row>
    <row r="464" spans="1:4">
      <c r="A464" s="150" t="s">
        <v>1031</v>
      </c>
      <c r="B464" s="150" t="s">
        <v>1032</v>
      </c>
      <c r="C464" s="149"/>
      <c r="D464" s="149"/>
    </row>
    <row r="465" spans="1:4">
      <c r="A465" s="150" t="s">
        <v>1033</v>
      </c>
      <c r="B465" s="150" t="s">
        <v>1034</v>
      </c>
      <c r="C465" s="149"/>
      <c r="D465" s="149"/>
    </row>
    <row r="466" spans="1:4">
      <c r="A466" s="150" t="s">
        <v>1035</v>
      </c>
      <c r="B466" s="150" t="s">
        <v>1036</v>
      </c>
      <c r="C466" s="149"/>
      <c r="D466" s="149"/>
    </row>
    <row r="467" spans="1:4">
      <c r="A467" s="150" t="s">
        <v>1037</v>
      </c>
      <c r="B467" s="150" t="s">
        <v>1038</v>
      </c>
      <c r="C467" s="149"/>
      <c r="D467" s="149"/>
    </row>
    <row r="468" spans="1:4">
      <c r="A468" s="150"/>
      <c r="B468" s="150" t="s">
        <v>1039</v>
      </c>
      <c r="C468" s="149"/>
      <c r="D468" s="149"/>
    </row>
    <row r="469" spans="1:4">
      <c r="A469" s="150" t="s">
        <v>1040</v>
      </c>
      <c r="B469" s="150" t="s">
        <v>1041</v>
      </c>
      <c r="C469" s="149"/>
      <c r="D469" s="149"/>
    </row>
    <row r="470" spans="1:4">
      <c r="A470" s="150" t="s">
        <v>1042</v>
      </c>
      <c r="B470" s="150" t="s">
        <v>1043</v>
      </c>
      <c r="C470" s="149"/>
      <c r="D470" s="149"/>
    </row>
    <row r="471" spans="1:4">
      <c r="A471" s="150" t="s">
        <v>1044</v>
      </c>
      <c r="B471" s="150" t="s">
        <v>1045</v>
      </c>
      <c r="C471" s="149"/>
      <c r="D471" s="149"/>
    </row>
    <row r="472" spans="1:4">
      <c r="A472" s="150" t="s">
        <v>1046</v>
      </c>
      <c r="B472" s="150" t="s">
        <v>1047</v>
      </c>
      <c r="C472" s="149"/>
      <c r="D472" s="149"/>
    </row>
    <row r="473" spans="1:4">
      <c r="A473" s="150" t="s">
        <v>1048</v>
      </c>
      <c r="B473" s="150" t="s">
        <v>1049</v>
      </c>
      <c r="C473" s="149"/>
      <c r="D473" s="149"/>
    </row>
    <row r="474" spans="1:4">
      <c r="A474" s="150" t="s">
        <v>1050</v>
      </c>
      <c r="B474" s="150" t="s">
        <v>1051</v>
      </c>
      <c r="C474" s="149"/>
      <c r="D474" s="149"/>
    </row>
    <row r="475" spans="1:4">
      <c r="A475" s="150" t="s">
        <v>1052</v>
      </c>
      <c r="B475" s="150" t="s">
        <v>1053</v>
      </c>
      <c r="C475" s="149"/>
      <c r="D475" s="149"/>
    </row>
    <row r="476" spans="1:4">
      <c r="A476" s="150"/>
      <c r="B476" s="150" t="s">
        <v>1054</v>
      </c>
      <c r="C476" s="149"/>
      <c r="D476" s="149"/>
    </row>
    <row r="477" spans="1:4">
      <c r="A477" s="150" t="s">
        <v>1055</v>
      </c>
      <c r="B477" s="150" t="s">
        <v>1056</v>
      </c>
      <c r="C477" s="149"/>
      <c r="D477" s="149"/>
    </row>
    <row r="478" spans="1:4">
      <c r="A478" s="150" t="s">
        <v>1059</v>
      </c>
      <c r="B478" s="150" t="s">
        <v>1060</v>
      </c>
      <c r="C478" s="149"/>
      <c r="D478" s="149"/>
    </row>
    <row r="479" spans="1:4">
      <c r="A479" s="150" t="s">
        <v>1061</v>
      </c>
      <c r="B479" s="150" t="s">
        <v>1062</v>
      </c>
      <c r="C479" s="149"/>
      <c r="D479" s="149"/>
    </row>
    <row r="480" spans="1:4">
      <c r="A480" s="150" t="s">
        <v>1064</v>
      </c>
      <c r="B480" s="150" t="s">
        <v>1065</v>
      </c>
      <c r="C480" s="149"/>
      <c r="D480" s="149"/>
    </row>
    <row r="481" spans="1:4">
      <c r="A481" s="150" t="s">
        <v>1066</v>
      </c>
      <c r="B481" s="150" t="s">
        <v>1067</v>
      </c>
      <c r="C481" s="149"/>
      <c r="D481" s="149"/>
    </row>
    <row r="482" spans="1:4">
      <c r="A482" s="150" t="s">
        <v>1068</v>
      </c>
      <c r="B482" s="150" t="s">
        <v>1069</v>
      </c>
      <c r="C482" s="149"/>
      <c r="D482" s="149"/>
    </row>
    <row r="483" spans="1:4">
      <c r="A483" s="150"/>
      <c r="B483" s="150" t="s">
        <v>1070</v>
      </c>
      <c r="C483" s="149"/>
      <c r="D483" s="149"/>
    </row>
    <row r="484" spans="1:4">
      <c r="A484" s="150" t="s">
        <v>1071</v>
      </c>
      <c r="B484" s="150" t="s">
        <v>1072</v>
      </c>
      <c r="C484" s="149"/>
      <c r="D484" s="149"/>
    </row>
    <row r="485" spans="1:4">
      <c r="A485" s="150" t="s">
        <v>1073</v>
      </c>
      <c r="B485" s="150" t="s">
        <v>1074</v>
      </c>
      <c r="C485" s="149"/>
      <c r="D485" s="149"/>
    </row>
    <row r="486" spans="1:4">
      <c r="A486" s="150" t="s">
        <v>1075</v>
      </c>
      <c r="B486" s="150" t="s">
        <v>1076</v>
      </c>
      <c r="C486" s="149"/>
      <c r="D486" s="149"/>
    </row>
    <row r="487" spans="1:4">
      <c r="A487" s="150"/>
      <c r="B487" s="150" t="s">
        <v>1077</v>
      </c>
      <c r="C487" s="149"/>
      <c r="D487" s="149"/>
    </row>
    <row r="488" spans="1:4">
      <c r="A488" s="150"/>
      <c r="B488" s="150" t="s">
        <v>1078</v>
      </c>
      <c r="C488" s="149"/>
      <c r="D488" s="149"/>
    </row>
    <row r="489" spans="1:4">
      <c r="A489" s="150"/>
      <c r="B489" s="150" t="s">
        <v>1079</v>
      </c>
      <c r="C489" s="149"/>
      <c r="D489" s="149"/>
    </row>
    <row r="490" spans="1:4">
      <c r="A490" s="150"/>
      <c r="B490" s="150" t="s">
        <v>1081</v>
      </c>
      <c r="C490" s="149"/>
      <c r="D490" s="149"/>
    </row>
    <row r="491" spans="1:4">
      <c r="A491" s="150"/>
      <c r="B491" s="150" t="s">
        <v>1083</v>
      </c>
      <c r="C491" s="149"/>
      <c r="D491" s="149"/>
    </row>
    <row r="492" spans="1:4">
      <c r="A492" s="150"/>
      <c r="B492" s="150" t="s">
        <v>1085</v>
      </c>
      <c r="C492" s="149"/>
      <c r="D492" s="149"/>
    </row>
    <row r="493" spans="1:4">
      <c r="A493" s="150"/>
      <c r="B493" s="150" t="s">
        <v>1087</v>
      </c>
      <c r="C493" s="149"/>
      <c r="D493" s="149"/>
    </row>
    <row r="494" spans="1:4">
      <c r="A494" s="150"/>
      <c r="B494" s="150" t="s">
        <v>1089</v>
      </c>
      <c r="C494" s="149"/>
      <c r="D494" s="149"/>
    </row>
    <row r="495" spans="1:4">
      <c r="A495" s="150" t="s">
        <v>1091</v>
      </c>
      <c r="B495" s="150" t="s">
        <v>1092</v>
      </c>
      <c r="C495" s="149"/>
      <c r="D495" s="149"/>
    </row>
    <row r="496" spans="1:4">
      <c r="A496" s="150" t="s">
        <v>1093</v>
      </c>
      <c r="B496" s="150" t="s">
        <v>1094</v>
      </c>
      <c r="C496" s="149"/>
      <c r="D496" s="149"/>
    </row>
    <row r="497" spans="1:4">
      <c r="A497" s="150" t="s">
        <v>1095</v>
      </c>
      <c r="B497" s="150" t="s">
        <v>1096</v>
      </c>
      <c r="C497" s="149"/>
      <c r="D497" s="149"/>
    </row>
    <row r="498" spans="1:4">
      <c r="A498" s="150" t="s">
        <v>1097</v>
      </c>
      <c r="B498" s="150" t="s">
        <v>1098</v>
      </c>
      <c r="C498" s="149"/>
      <c r="D498" s="149"/>
    </row>
    <row r="499" spans="1:4">
      <c r="A499" s="150" t="s">
        <v>1099</v>
      </c>
      <c r="B499" s="150" t="s">
        <v>1100</v>
      </c>
      <c r="C499" s="149"/>
      <c r="D499" s="149"/>
    </row>
    <row r="500" spans="1:4">
      <c r="A500" s="150" t="s">
        <v>1101</v>
      </c>
      <c r="B500" s="150" t="s">
        <v>1102</v>
      </c>
      <c r="C500" s="149"/>
      <c r="D500" s="149"/>
    </row>
    <row r="501" spans="1:4">
      <c r="A501" s="150" t="s">
        <v>1103</v>
      </c>
      <c r="B501" s="150" t="s">
        <v>1104</v>
      </c>
      <c r="C501" s="149"/>
      <c r="D501" s="149"/>
    </row>
    <row r="502" spans="1:4">
      <c r="A502" s="150" t="s">
        <v>1105</v>
      </c>
      <c r="B502" s="150" t="s">
        <v>1106</v>
      </c>
      <c r="C502" s="149"/>
      <c r="D502" s="149"/>
    </row>
    <row r="503" spans="1:4">
      <c r="A503" s="150" t="s">
        <v>1107</v>
      </c>
      <c r="B503" s="150" t="s">
        <v>1108</v>
      </c>
      <c r="C503" s="149"/>
      <c r="D503" s="149"/>
    </row>
    <row r="504" spans="1:4">
      <c r="A504" s="150" t="s">
        <v>1109</v>
      </c>
      <c r="B504" s="150" t="s">
        <v>1110</v>
      </c>
      <c r="C504" s="149"/>
      <c r="D504" s="149"/>
    </row>
    <row r="505" spans="1:4">
      <c r="A505" s="150" t="s">
        <v>1111</v>
      </c>
      <c r="B505" s="150" t="s">
        <v>1112</v>
      </c>
      <c r="C505" s="149"/>
      <c r="D505" s="149"/>
    </row>
    <row r="506" spans="1:4">
      <c r="A506" s="150" t="s">
        <v>1113</v>
      </c>
      <c r="B506" s="150" t="s">
        <v>1114</v>
      </c>
      <c r="C506" s="149"/>
      <c r="D506" s="149"/>
    </row>
    <row r="507" spans="1:4">
      <c r="A507" s="150" t="s">
        <v>1115</v>
      </c>
      <c r="B507" s="150" t="s">
        <v>1116</v>
      </c>
      <c r="C507" s="149"/>
      <c r="D507" s="149"/>
    </row>
    <row r="508" spans="1:4">
      <c r="A508" s="150" t="s">
        <v>1117</v>
      </c>
      <c r="B508" s="150" t="s">
        <v>1118</v>
      </c>
      <c r="C508" s="149"/>
      <c r="D508" s="149"/>
    </row>
    <row r="509" spans="1:4">
      <c r="A509" s="150" t="s">
        <v>1119</v>
      </c>
      <c r="B509" s="150" t="s">
        <v>1120</v>
      </c>
      <c r="C509" s="149"/>
      <c r="D509" s="149"/>
    </row>
    <row r="510" spans="1:4">
      <c r="A510" s="150" t="s">
        <v>1121</v>
      </c>
      <c r="B510" s="150" t="s">
        <v>1122</v>
      </c>
      <c r="C510" s="149"/>
      <c r="D510" s="149"/>
    </row>
    <row r="511" spans="1:4">
      <c r="A511" s="150" t="s">
        <v>1123</v>
      </c>
      <c r="B511" s="150" t="s">
        <v>1124</v>
      </c>
      <c r="C511" s="149"/>
      <c r="D511" s="149"/>
    </row>
    <row r="512" spans="1:4">
      <c r="A512" s="150" t="s">
        <v>1125</v>
      </c>
      <c r="B512" s="150" t="s">
        <v>1126</v>
      </c>
      <c r="C512" s="149"/>
      <c r="D512" s="149"/>
    </row>
    <row r="513" spans="1:4">
      <c r="A513" s="150" t="s">
        <v>1127</v>
      </c>
      <c r="B513" s="150" t="s">
        <v>1128</v>
      </c>
      <c r="C513" s="149"/>
      <c r="D513" s="149"/>
    </row>
    <row r="514" spans="1:4">
      <c r="A514" s="150" t="s">
        <v>1129</v>
      </c>
      <c r="B514" s="150" t="s">
        <v>1130</v>
      </c>
      <c r="C514" s="149"/>
      <c r="D514" s="149"/>
    </row>
    <row r="515" spans="1:4">
      <c r="A515" s="150" t="s">
        <v>1131</v>
      </c>
      <c r="B515" s="150" t="s">
        <v>1132</v>
      </c>
      <c r="C515" s="149"/>
      <c r="D515" s="149"/>
    </row>
    <row r="516" spans="1:4">
      <c r="A516" s="150" t="s">
        <v>1133</v>
      </c>
      <c r="B516" s="150" t="s">
        <v>1134</v>
      </c>
      <c r="C516" s="149"/>
      <c r="D516" s="149"/>
    </row>
    <row r="517" spans="1:4">
      <c r="A517" s="150" t="s">
        <v>1135</v>
      </c>
      <c r="B517" s="150" t="s">
        <v>1136</v>
      </c>
      <c r="C517" s="149"/>
      <c r="D517" s="149"/>
    </row>
    <row r="518" spans="1:4">
      <c r="A518" s="150" t="s">
        <v>1137</v>
      </c>
      <c r="B518" s="150" t="s">
        <v>1138</v>
      </c>
      <c r="C518" s="149"/>
      <c r="D518" s="149"/>
    </row>
    <row r="519" spans="1:4">
      <c r="A519" s="150" t="s">
        <v>1139</v>
      </c>
      <c r="B519" s="150" t="s">
        <v>1140</v>
      </c>
      <c r="C519" s="149"/>
      <c r="D519" s="149"/>
    </row>
    <row r="520" spans="1:4">
      <c r="A520" s="150" t="s">
        <v>1141</v>
      </c>
      <c r="B520" s="150" t="s">
        <v>1142</v>
      </c>
      <c r="C520" s="149"/>
      <c r="D520" s="149"/>
    </row>
    <row r="521" spans="1:4">
      <c r="A521" s="150" t="s">
        <v>1143</v>
      </c>
      <c r="B521" s="150" t="s">
        <v>1144</v>
      </c>
      <c r="C521" s="149"/>
      <c r="D521" s="149"/>
    </row>
    <row r="522" spans="1:4">
      <c r="A522" s="150" t="s">
        <v>1145</v>
      </c>
      <c r="B522" s="150" t="s">
        <v>1146</v>
      </c>
      <c r="C522" s="149"/>
      <c r="D522" s="149"/>
    </row>
    <row r="523" spans="1:4">
      <c r="A523" s="150" t="s">
        <v>1147</v>
      </c>
      <c r="B523" s="150" t="s">
        <v>1148</v>
      </c>
      <c r="C523" s="149"/>
      <c r="D523" s="149"/>
    </row>
    <row r="524" spans="1:4">
      <c r="A524" s="150"/>
      <c r="B524" s="150" t="s">
        <v>1149</v>
      </c>
      <c r="C524" s="149"/>
      <c r="D524" s="149"/>
    </row>
    <row r="525" spans="1:4">
      <c r="A525" s="150"/>
      <c r="B525" s="150" t="s">
        <v>1150</v>
      </c>
      <c r="C525" s="149"/>
      <c r="D525" s="149"/>
    </row>
    <row r="526" spans="1:4">
      <c r="A526" s="150"/>
      <c r="B526" s="150" t="s">
        <v>1151</v>
      </c>
      <c r="C526" s="149"/>
      <c r="D526" s="149"/>
    </row>
    <row r="527" spans="1:4">
      <c r="A527" s="150"/>
      <c r="B527" s="150" t="s">
        <v>1152</v>
      </c>
      <c r="C527" s="149"/>
      <c r="D527" s="149"/>
    </row>
    <row r="528" spans="1:4">
      <c r="A528" s="150" t="s">
        <v>1153</v>
      </c>
      <c r="B528" s="150" t="s">
        <v>1154</v>
      </c>
      <c r="C528" s="149"/>
      <c r="D528" s="149"/>
    </row>
    <row r="529" spans="1:4">
      <c r="A529" s="150" t="s">
        <v>1155</v>
      </c>
      <c r="B529" s="150" t="s">
        <v>1156</v>
      </c>
      <c r="C529" s="149"/>
      <c r="D529" s="149"/>
    </row>
    <row r="530" spans="1:4">
      <c r="A530" s="150"/>
      <c r="B530" s="150" t="s">
        <v>1157</v>
      </c>
      <c r="C530" s="149"/>
      <c r="D530" s="149"/>
    </row>
    <row r="531" spans="1:4">
      <c r="A531" s="150"/>
      <c r="B531" s="150" t="s">
        <v>1158</v>
      </c>
      <c r="C531" s="149"/>
      <c r="D531" s="149"/>
    </row>
    <row r="532" spans="1:4">
      <c r="A532" s="150" t="s">
        <v>1159</v>
      </c>
      <c r="B532" s="150" t="s">
        <v>1160</v>
      </c>
      <c r="C532" s="149"/>
      <c r="D532" s="149"/>
    </row>
    <row r="533" spans="1:4">
      <c r="A533" s="150" t="s">
        <v>1161</v>
      </c>
      <c r="B533" s="150" t="s">
        <v>1162</v>
      </c>
      <c r="C533" s="149"/>
      <c r="D533" s="149"/>
    </row>
    <row r="534" spans="1:4">
      <c r="A534" s="150" t="s">
        <v>1163</v>
      </c>
      <c r="B534" s="150" t="s">
        <v>1164</v>
      </c>
      <c r="C534" s="149"/>
      <c r="D534" s="149"/>
    </row>
    <row r="535" spans="1:4">
      <c r="A535" s="150"/>
      <c r="B535" s="150" t="s">
        <v>1165</v>
      </c>
      <c r="C535" s="149"/>
      <c r="D535" s="149"/>
    </row>
    <row r="536" spans="1:4">
      <c r="A536" s="150" t="s">
        <v>1166</v>
      </c>
      <c r="B536" s="150" t="s">
        <v>1167</v>
      </c>
      <c r="C536" s="149"/>
      <c r="D536" s="149"/>
    </row>
    <row r="537" spans="1:4">
      <c r="A537" s="150" t="s">
        <v>1168</v>
      </c>
      <c r="B537" s="150" t="s">
        <v>1169</v>
      </c>
      <c r="C537" s="149"/>
      <c r="D537" s="149"/>
    </row>
    <row r="538" spans="1:4">
      <c r="A538" s="150" t="s">
        <v>1170</v>
      </c>
      <c r="B538" s="150" t="s">
        <v>1171</v>
      </c>
      <c r="C538" s="149"/>
      <c r="D538" s="149"/>
    </row>
    <row r="539" spans="1:4">
      <c r="A539" s="150"/>
      <c r="B539" s="150" t="s">
        <v>1172</v>
      </c>
      <c r="C539" s="149"/>
      <c r="D539" s="149"/>
    </row>
    <row r="540" spans="1:4">
      <c r="A540" s="150" t="s">
        <v>1173</v>
      </c>
      <c r="B540" s="150" t="s">
        <v>1174</v>
      </c>
      <c r="C540" s="149"/>
      <c r="D540" s="149"/>
    </row>
    <row r="541" spans="1:4">
      <c r="A541" s="150" t="s">
        <v>1175</v>
      </c>
      <c r="B541" s="150" t="s">
        <v>1176</v>
      </c>
      <c r="C541" s="149"/>
      <c r="D541" s="149"/>
    </row>
    <row r="542" spans="1:4">
      <c r="A542" s="150"/>
      <c r="B542" s="150" t="s">
        <v>1177</v>
      </c>
      <c r="C542" s="149"/>
      <c r="D542" s="149"/>
    </row>
    <row r="543" spans="1:4">
      <c r="A543" s="150" t="s">
        <v>1178</v>
      </c>
      <c r="B543" s="150" t="s">
        <v>1179</v>
      </c>
      <c r="C543" s="149"/>
      <c r="D543" s="149"/>
    </row>
    <row r="544" spans="1:4">
      <c r="A544" s="150" t="s">
        <v>1180</v>
      </c>
      <c r="B544" s="150" t="s">
        <v>1181</v>
      </c>
      <c r="C544" s="149"/>
      <c r="D544" s="149"/>
    </row>
    <row r="545" spans="1:4">
      <c r="A545" s="150" t="s">
        <v>1182</v>
      </c>
      <c r="B545" s="150" t="s">
        <v>1183</v>
      </c>
      <c r="C545" s="149"/>
      <c r="D545" s="149"/>
    </row>
    <row r="546" spans="1:4">
      <c r="A546" s="150"/>
      <c r="B546" s="150" t="s">
        <v>1184</v>
      </c>
      <c r="C546" s="149"/>
      <c r="D546" s="149"/>
    </row>
    <row r="547" spans="1:4">
      <c r="A547" s="150" t="s">
        <v>1185</v>
      </c>
      <c r="B547" s="150" t="s">
        <v>1186</v>
      </c>
      <c r="C547" s="149"/>
      <c r="D547" s="149"/>
    </row>
    <row r="548" spans="1:4">
      <c r="A548" s="150" t="s">
        <v>1187</v>
      </c>
      <c r="B548" s="150" t="s">
        <v>1188</v>
      </c>
      <c r="C548" s="149"/>
      <c r="D548" s="149"/>
    </row>
    <row r="549" spans="1:4">
      <c r="A549" s="150" t="s">
        <v>1189</v>
      </c>
      <c r="B549" s="150" t="s">
        <v>1190</v>
      </c>
      <c r="C549" s="149"/>
      <c r="D549" s="149"/>
    </row>
    <row r="550" spans="1:4">
      <c r="A550" s="150" t="s">
        <v>1191</v>
      </c>
      <c r="B550" s="150" t="s">
        <v>1192</v>
      </c>
      <c r="C550" s="149"/>
      <c r="D550" s="149"/>
    </row>
    <row r="551" spans="1:4">
      <c r="A551" s="150" t="s">
        <v>1193</v>
      </c>
      <c r="B551" s="150" t="s">
        <v>1194</v>
      </c>
      <c r="C551" s="149"/>
      <c r="D551" s="149"/>
    </row>
    <row r="552" spans="1:4">
      <c r="A552" s="150" t="s">
        <v>1195</v>
      </c>
      <c r="B552" s="150" t="s">
        <v>1196</v>
      </c>
      <c r="C552" s="149"/>
      <c r="D552" s="149"/>
    </row>
    <row r="553" spans="1:4">
      <c r="A553" s="150" t="s">
        <v>1197</v>
      </c>
      <c r="B553" s="150" t="s">
        <v>1198</v>
      </c>
      <c r="C553" s="149"/>
      <c r="D553" s="149"/>
    </row>
    <row r="554" spans="1:4">
      <c r="A554" s="150" t="s">
        <v>1199</v>
      </c>
      <c r="B554" s="150" t="s">
        <v>1200</v>
      </c>
      <c r="C554" s="149"/>
      <c r="D554" s="149"/>
    </row>
    <row r="555" spans="1:4">
      <c r="A555" s="150" t="s">
        <v>1201</v>
      </c>
      <c r="B555" s="150" t="s">
        <v>1202</v>
      </c>
      <c r="C555" s="149"/>
      <c r="D555" s="149"/>
    </row>
    <row r="556" spans="1:4">
      <c r="A556" s="150" t="s">
        <v>1203</v>
      </c>
      <c r="B556" s="150" t="s">
        <v>1204</v>
      </c>
      <c r="C556" s="149"/>
      <c r="D556" s="149"/>
    </row>
    <row r="557" spans="1:4">
      <c r="A557" s="150" t="s">
        <v>1205</v>
      </c>
      <c r="B557" s="150" t="s">
        <v>1206</v>
      </c>
      <c r="C557" s="149"/>
      <c r="D557" s="149"/>
    </row>
    <row r="558" spans="1:4">
      <c r="A558" s="150" t="s">
        <v>1207</v>
      </c>
      <c r="B558" s="150" t="s">
        <v>1208</v>
      </c>
      <c r="C558" s="149"/>
      <c r="D558" s="149"/>
    </row>
    <row r="559" spans="1:4">
      <c r="A559" s="150" t="s">
        <v>1209</v>
      </c>
      <c r="B559" s="150" t="s">
        <v>1210</v>
      </c>
      <c r="C559" s="149"/>
      <c r="D559" s="149"/>
    </row>
    <row r="560" spans="1:4">
      <c r="A560" s="150" t="s">
        <v>1211</v>
      </c>
      <c r="B560" s="150" t="s">
        <v>1212</v>
      </c>
      <c r="C560" s="149"/>
      <c r="D560" s="149"/>
    </row>
    <row r="561" spans="1:4">
      <c r="A561" s="150" t="s">
        <v>1213</v>
      </c>
      <c r="B561" s="150" t="s">
        <v>1214</v>
      </c>
      <c r="C561" s="149"/>
      <c r="D561" s="149"/>
    </row>
    <row r="562" spans="1:4">
      <c r="A562" s="150" t="s">
        <v>1215</v>
      </c>
      <c r="B562" s="150" t="s">
        <v>1216</v>
      </c>
      <c r="C562" s="149"/>
      <c r="D562" s="149"/>
    </row>
    <row r="563" spans="1:4">
      <c r="A563" s="150" t="s">
        <v>1217</v>
      </c>
      <c r="B563" s="150" t="s">
        <v>1218</v>
      </c>
      <c r="C563" s="149"/>
      <c r="D563" s="149"/>
    </row>
    <row r="564" spans="1:4">
      <c r="A564" s="150" t="s">
        <v>1219</v>
      </c>
      <c r="B564" s="150" t="s">
        <v>1220</v>
      </c>
      <c r="C564" s="149"/>
      <c r="D564" s="149"/>
    </row>
    <row r="565" spans="1:4">
      <c r="A565" s="150" t="s">
        <v>1221</v>
      </c>
      <c r="B565" s="150" t="s">
        <v>1222</v>
      </c>
      <c r="C565" s="149"/>
      <c r="D565" s="149"/>
    </row>
    <row r="566" spans="1:4">
      <c r="A566" s="150" t="s">
        <v>1223</v>
      </c>
      <c r="B566" s="150" t="s">
        <v>1224</v>
      </c>
      <c r="C566" s="149"/>
      <c r="D566" s="149"/>
    </row>
    <row r="567" spans="1:4">
      <c r="A567" s="150" t="s">
        <v>1225</v>
      </c>
      <c r="B567" s="150" t="s">
        <v>1226</v>
      </c>
      <c r="C567" s="149"/>
      <c r="D567" s="149"/>
    </row>
    <row r="568" spans="1:4">
      <c r="A568" s="150" t="s">
        <v>1227</v>
      </c>
      <c r="B568" s="150" t="s">
        <v>1228</v>
      </c>
      <c r="C568" s="149"/>
      <c r="D568" s="149"/>
    </row>
    <row r="569" spans="1:4">
      <c r="A569" s="150" t="s">
        <v>1229</v>
      </c>
      <c r="B569" s="150" t="s">
        <v>1230</v>
      </c>
      <c r="C569" s="149"/>
      <c r="D569" s="149"/>
    </row>
    <row r="570" spans="1:4">
      <c r="A570" s="150"/>
      <c r="B570" s="150" t="s">
        <v>1231</v>
      </c>
      <c r="C570" s="149"/>
      <c r="D570" s="149"/>
    </row>
    <row r="571" spans="1:4">
      <c r="A571" s="150" t="s">
        <v>1232</v>
      </c>
      <c r="B571" s="150" t="s">
        <v>1233</v>
      </c>
      <c r="C571" s="149"/>
      <c r="D571" s="149"/>
    </row>
    <row r="572" spans="1:4">
      <c r="A572" s="150"/>
      <c r="B572" s="150" t="s">
        <v>1234</v>
      </c>
      <c r="C572" s="149"/>
      <c r="D572" s="149"/>
    </row>
    <row r="573" spans="1:4">
      <c r="A573" s="150" t="s">
        <v>1235</v>
      </c>
      <c r="B573" s="150" t="s">
        <v>1236</v>
      </c>
      <c r="C573" s="149"/>
      <c r="D573" s="149"/>
    </row>
    <row r="574" spans="1:4">
      <c r="A574" s="150" t="s">
        <v>1237</v>
      </c>
      <c r="B574" s="150" t="s">
        <v>1238</v>
      </c>
      <c r="C574" s="149"/>
      <c r="D574" s="149"/>
    </row>
    <row r="575" spans="1:4">
      <c r="A575" s="150" t="s">
        <v>1239</v>
      </c>
      <c r="B575" s="150" t="s">
        <v>1240</v>
      </c>
      <c r="C575" s="149"/>
      <c r="D575" s="149"/>
    </row>
    <row r="576" spans="1:4">
      <c r="A576" s="150" t="s">
        <v>1241</v>
      </c>
      <c r="B576" s="150" t="s">
        <v>1242</v>
      </c>
      <c r="C576" s="149"/>
      <c r="D576" s="149"/>
    </row>
    <row r="577" spans="1:4">
      <c r="A577" s="150" t="s">
        <v>1243</v>
      </c>
      <c r="B577" s="150" t="s">
        <v>1244</v>
      </c>
      <c r="C577" s="149"/>
      <c r="D577" s="149"/>
    </row>
    <row r="578" spans="1:4">
      <c r="A578" s="150" t="s">
        <v>1245</v>
      </c>
      <c r="B578" s="150" t="s">
        <v>1246</v>
      </c>
      <c r="C578" s="149"/>
      <c r="D578" s="149"/>
    </row>
    <row r="579" spans="1:4">
      <c r="A579" s="150" t="s">
        <v>1247</v>
      </c>
      <c r="B579" s="150" t="s">
        <v>1248</v>
      </c>
      <c r="C579" s="149"/>
      <c r="D579" s="149"/>
    </row>
    <row r="580" spans="1:4">
      <c r="A580" s="150" t="s">
        <v>1249</v>
      </c>
      <c r="B580" s="150" t="s">
        <v>1250</v>
      </c>
      <c r="C580" s="149"/>
      <c r="D580" s="149"/>
    </row>
    <row r="581" spans="1:4">
      <c r="A581" s="4"/>
      <c r="B581" s="4"/>
    </row>
    <row r="582" spans="1:4">
      <c r="A582" s="4"/>
      <c r="B582" s="4"/>
    </row>
    <row r="583" spans="1:4">
      <c r="A583" s="4"/>
      <c r="B583" s="4"/>
    </row>
    <row r="584" spans="1:4">
      <c r="A584" s="4"/>
      <c r="B584" s="4"/>
    </row>
    <row r="585" spans="1:4">
      <c r="A585" s="4"/>
      <c r="B585" s="4"/>
    </row>
    <row r="586" spans="1:4">
      <c r="A586" s="4"/>
      <c r="B586" s="4"/>
    </row>
    <row r="587" spans="1:4">
      <c r="A587" s="4"/>
      <c r="B587" s="4"/>
    </row>
    <row r="588" spans="1:4">
      <c r="A588" s="4"/>
      <c r="B588" s="4"/>
    </row>
    <row r="589" spans="1:4">
      <c r="A589" s="4"/>
      <c r="B589" s="4"/>
    </row>
    <row r="590" spans="1:4">
      <c r="A590" s="4"/>
      <c r="B590" s="4"/>
    </row>
    <row r="591" spans="1:4">
      <c r="A591" s="4"/>
      <c r="B591" s="4"/>
    </row>
    <row r="592" spans="1:4">
      <c r="A592" s="4"/>
      <c r="B592" s="4"/>
    </row>
    <row r="593" spans="1:2">
      <c r="A593" s="4"/>
      <c r="B593" s="4"/>
    </row>
    <row r="594" spans="1:2">
      <c r="A594" s="4"/>
      <c r="B594" s="4"/>
    </row>
    <row r="595" spans="1:2">
      <c r="A595" s="4"/>
      <c r="B595" s="4"/>
    </row>
    <row r="596" spans="1:2">
      <c r="A596" s="4"/>
      <c r="B596" s="4"/>
    </row>
    <row r="597" spans="1:2">
      <c r="A597" s="4"/>
      <c r="B597" s="4"/>
    </row>
    <row r="598" spans="1:2">
      <c r="A598" s="4"/>
      <c r="B598" s="4"/>
    </row>
    <row r="599" spans="1:2">
      <c r="A599" s="4"/>
      <c r="B599" s="4"/>
    </row>
    <row r="600" spans="1:2">
      <c r="A600" s="4"/>
      <c r="B600" s="4"/>
    </row>
    <row r="601" spans="1:2">
      <c r="A601" s="4"/>
      <c r="B601" s="4"/>
    </row>
    <row r="602" spans="1:2">
      <c r="A602" s="4"/>
      <c r="B602" s="4"/>
    </row>
    <row r="603" spans="1:2">
      <c r="A603" s="4"/>
      <c r="B603" s="4"/>
    </row>
    <row r="604" spans="1:2">
      <c r="A604" s="4"/>
      <c r="B604" s="4"/>
    </row>
    <row r="605" spans="1:2">
      <c r="A605" s="4"/>
      <c r="B605" s="4"/>
    </row>
    <row r="606" spans="1:2">
      <c r="A606" s="4"/>
      <c r="B606" s="4"/>
    </row>
    <row r="607" spans="1:2">
      <c r="A607" s="4"/>
      <c r="B607" s="4"/>
    </row>
    <row r="608" spans="1:2">
      <c r="A608" s="4"/>
      <c r="B608" s="4"/>
    </row>
    <row r="609" spans="1:2">
      <c r="A609" s="4"/>
      <c r="B609" s="4"/>
    </row>
    <row r="610" spans="1:2">
      <c r="A610" s="4"/>
      <c r="B610" s="4"/>
    </row>
    <row r="611" spans="1:2">
      <c r="A611" s="4"/>
      <c r="B611" s="4"/>
    </row>
    <row r="612" spans="1:2">
      <c r="A612" s="4"/>
      <c r="B612" s="4"/>
    </row>
    <row r="613" spans="1:2">
      <c r="A613" s="4"/>
      <c r="B613" s="4"/>
    </row>
    <row r="614" spans="1:2">
      <c r="A614" s="4"/>
      <c r="B614" s="4"/>
    </row>
    <row r="615" spans="1:2">
      <c r="A615" s="4"/>
      <c r="B615" s="4"/>
    </row>
    <row r="616" spans="1:2">
      <c r="A616" s="4"/>
      <c r="B616" s="4"/>
    </row>
    <row r="617" spans="1:2">
      <c r="A617" s="4"/>
      <c r="B617" s="4"/>
    </row>
    <row r="618" spans="1:2">
      <c r="A618" s="4"/>
      <c r="B618" s="4"/>
    </row>
    <row r="619" spans="1:2">
      <c r="A619" s="4"/>
      <c r="B619" s="4"/>
    </row>
    <row r="620" spans="1:2">
      <c r="A620" s="4"/>
      <c r="B620" s="4"/>
    </row>
    <row r="621" spans="1:2">
      <c r="A621" s="4"/>
      <c r="B621" s="4"/>
    </row>
    <row r="622" spans="1:2">
      <c r="A622" s="4"/>
      <c r="B622" s="4"/>
    </row>
    <row r="623" spans="1:2">
      <c r="A623" s="4"/>
      <c r="B623" s="4"/>
    </row>
    <row r="624" spans="1:2">
      <c r="A624" s="4"/>
      <c r="B624" s="4"/>
    </row>
    <row r="625" spans="1:2">
      <c r="A625" s="4"/>
      <c r="B625" s="4"/>
    </row>
    <row r="626" spans="1:2">
      <c r="A626" s="4"/>
      <c r="B626" s="4"/>
    </row>
    <row r="627" spans="1:2">
      <c r="A627" s="4"/>
      <c r="B627" s="4"/>
    </row>
    <row r="628" spans="1:2">
      <c r="A628" s="4"/>
      <c r="B628" s="4"/>
    </row>
    <row r="629" spans="1:2">
      <c r="A629" s="4"/>
      <c r="B629" s="4"/>
    </row>
    <row r="630" spans="1:2">
      <c r="A630" s="4"/>
      <c r="B630" s="4"/>
    </row>
    <row r="631" spans="1:2">
      <c r="A631" s="4"/>
      <c r="B631" s="4"/>
    </row>
    <row r="632" spans="1:2">
      <c r="A632" s="4"/>
      <c r="B632" s="4"/>
    </row>
    <row r="633" spans="1:2">
      <c r="A633" s="4"/>
      <c r="B633" s="4"/>
    </row>
    <row r="634" spans="1:2">
      <c r="A634" s="4"/>
      <c r="B634" s="4"/>
    </row>
    <row r="635" spans="1:2">
      <c r="A635" s="4"/>
      <c r="B635" s="4"/>
    </row>
    <row r="636" spans="1:2">
      <c r="A636" s="4"/>
      <c r="B636" s="4"/>
    </row>
    <row r="637" spans="1:2">
      <c r="A637" s="4"/>
      <c r="B637" s="4"/>
    </row>
    <row r="638" spans="1:2">
      <c r="A638" s="4"/>
      <c r="B638" s="4"/>
    </row>
    <row r="639" spans="1:2">
      <c r="A639" s="4"/>
      <c r="B639" s="4"/>
    </row>
    <row r="640" spans="1:2">
      <c r="A640" s="4"/>
      <c r="B640" s="4"/>
    </row>
    <row r="641" spans="1:2">
      <c r="A641" s="4"/>
      <c r="B641" s="4"/>
    </row>
    <row r="642" spans="1:2">
      <c r="A642" s="4"/>
      <c r="B642" s="4"/>
    </row>
    <row r="643" spans="1:2">
      <c r="A643" s="4"/>
      <c r="B643" s="4"/>
    </row>
    <row r="644" spans="1:2">
      <c r="A644" s="4"/>
      <c r="B644" s="4"/>
    </row>
    <row r="645" spans="1:2">
      <c r="A645" s="4"/>
      <c r="B645" s="4"/>
    </row>
    <row r="646" spans="1:2">
      <c r="A646" s="4"/>
      <c r="B646" s="4"/>
    </row>
    <row r="647" spans="1:2">
      <c r="A647" s="4"/>
      <c r="B647" s="4"/>
    </row>
    <row r="648" spans="1:2">
      <c r="A648" s="4"/>
      <c r="B648" s="4"/>
    </row>
    <row r="649" spans="1:2">
      <c r="A649" s="4"/>
      <c r="B649" s="4"/>
    </row>
    <row r="650" spans="1:2">
      <c r="A650" s="4"/>
      <c r="B650" s="4"/>
    </row>
    <row r="651" spans="1:2">
      <c r="A651" s="4"/>
      <c r="B651" s="4"/>
    </row>
    <row r="652" spans="1:2">
      <c r="A652" s="4"/>
      <c r="B652" s="4"/>
    </row>
    <row r="653" spans="1:2">
      <c r="A653" s="4"/>
      <c r="B653" s="4"/>
    </row>
    <row r="654" spans="1:2">
      <c r="A654" s="4"/>
      <c r="B654" s="4"/>
    </row>
    <row r="655" spans="1:2">
      <c r="A655" s="4"/>
      <c r="B655" s="4"/>
    </row>
    <row r="656" spans="1:2">
      <c r="A656" s="4"/>
      <c r="B656" s="4"/>
    </row>
    <row r="657" spans="1:2">
      <c r="A657" s="4"/>
      <c r="B657" s="4"/>
    </row>
    <row r="658" spans="1:2">
      <c r="A658" s="4"/>
      <c r="B658" s="4"/>
    </row>
    <row r="659" spans="1:2">
      <c r="A659" s="4"/>
      <c r="B659" s="4"/>
    </row>
    <row r="660" spans="1:2">
      <c r="A660" s="4"/>
      <c r="B660" s="4"/>
    </row>
    <row r="661" spans="1:2">
      <c r="A661" s="4"/>
      <c r="B661" s="4"/>
    </row>
    <row r="662" spans="1:2">
      <c r="A662" s="4"/>
      <c r="B662" s="4"/>
    </row>
    <row r="663" spans="1:2">
      <c r="A663" s="4"/>
      <c r="B663" s="4"/>
    </row>
    <row r="664" spans="1:2">
      <c r="A664" s="4"/>
      <c r="B664" s="4"/>
    </row>
    <row r="665" spans="1:2">
      <c r="A665" s="4"/>
      <c r="B665" s="4"/>
    </row>
    <row r="666" spans="1:2">
      <c r="A666" s="4"/>
      <c r="B666" s="4"/>
    </row>
    <row r="667" spans="1:2">
      <c r="A667" s="4"/>
      <c r="B667" s="4"/>
    </row>
    <row r="668" spans="1:2">
      <c r="A668" s="4"/>
      <c r="B668" s="4"/>
    </row>
    <row r="669" spans="1:2">
      <c r="A669" s="4"/>
      <c r="B669" s="4"/>
    </row>
    <row r="670" spans="1:2">
      <c r="A670" s="4"/>
      <c r="B670" s="4"/>
    </row>
    <row r="671" spans="1:2">
      <c r="A671" s="4"/>
      <c r="B671" s="4"/>
    </row>
    <row r="672" spans="1:2">
      <c r="A672" s="4"/>
      <c r="B672" s="4"/>
    </row>
    <row r="673" spans="1:2">
      <c r="A673" s="4"/>
      <c r="B673" s="4"/>
    </row>
    <row r="674" spans="1:2">
      <c r="A674" s="4"/>
      <c r="B674" s="4"/>
    </row>
    <row r="675" spans="1:2">
      <c r="A675" s="4"/>
      <c r="B675" s="4"/>
    </row>
    <row r="676" spans="1:2">
      <c r="A676" s="4"/>
      <c r="B676" s="4"/>
    </row>
    <row r="677" spans="1:2">
      <c r="A677" s="4"/>
      <c r="B677" s="4"/>
    </row>
    <row r="678" spans="1:2">
      <c r="A678" s="4"/>
      <c r="B678" s="4"/>
    </row>
    <row r="679" spans="1:2">
      <c r="A679" s="4"/>
      <c r="B679" s="4"/>
    </row>
    <row r="680" spans="1:2">
      <c r="A680" s="4"/>
      <c r="B680" s="4"/>
    </row>
    <row r="681" spans="1:2">
      <c r="A681" s="4"/>
      <c r="B681" s="4"/>
    </row>
    <row r="682" spans="1:2">
      <c r="A682" s="4"/>
      <c r="B682" s="4"/>
    </row>
    <row r="683" spans="1:2">
      <c r="A683" s="4"/>
      <c r="B683" s="4"/>
    </row>
    <row r="684" spans="1:2">
      <c r="A684" s="4"/>
      <c r="B684" s="4"/>
    </row>
    <row r="685" spans="1:2">
      <c r="A685" s="4"/>
      <c r="B685" s="4"/>
    </row>
    <row r="686" spans="1:2">
      <c r="A686" s="4"/>
      <c r="B686" s="4"/>
    </row>
    <row r="687" spans="1:2">
      <c r="A687" s="4"/>
      <c r="B687" s="4"/>
    </row>
    <row r="688" spans="1:2">
      <c r="A688" s="4"/>
      <c r="B688" s="4"/>
    </row>
    <row r="689" spans="1:2">
      <c r="A689" s="4"/>
      <c r="B689" s="4"/>
    </row>
    <row r="690" spans="1:2">
      <c r="A690" s="4"/>
      <c r="B690" s="4"/>
    </row>
    <row r="691" spans="1:2">
      <c r="A691" s="4"/>
      <c r="B691" s="4"/>
    </row>
    <row r="692" spans="1:2">
      <c r="A692" s="4"/>
      <c r="B692" s="4"/>
    </row>
    <row r="693" spans="1:2">
      <c r="A693" s="4"/>
      <c r="B693" s="4"/>
    </row>
    <row r="694" spans="1:2">
      <c r="A694" s="4"/>
      <c r="B694" s="4"/>
    </row>
    <row r="695" spans="1:2">
      <c r="A695" s="4"/>
      <c r="B695" s="4"/>
    </row>
    <row r="696" spans="1:2">
      <c r="A696" s="4"/>
      <c r="B696" s="4"/>
    </row>
    <row r="697" spans="1:2">
      <c r="A697" s="4"/>
      <c r="B697" s="4"/>
    </row>
    <row r="698" spans="1:2">
      <c r="A698" s="4"/>
      <c r="B698" s="4"/>
    </row>
    <row r="699" spans="1:2">
      <c r="A699" s="4"/>
      <c r="B699" s="4"/>
    </row>
    <row r="700" spans="1:2">
      <c r="A700" s="4"/>
      <c r="B700" s="4"/>
    </row>
    <row r="701" spans="1:2">
      <c r="A701" s="4"/>
      <c r="B701" s="4"/>
    </row>
    <row r="702" spans="1:2">
      <c r="A702" s="4"/>
      <c r="B702" s="4"/>
    </row>
    <row r="703" spans="1:2">
      <c r="A703" s="4"/>
      <c r="B703" s="4"/>
    </row>
    <row r="704" spans="1:2">
      <c r="A704" s="4"/>
      <c r="B704" s="4"/>
    </row>
    <row r="705" spans="1:2">
      <c r="A705" s="4"/>
      <c r="B705" s="4"/>
    </row>
    <row r="706" spans="1:2">
      <c r="A706" s="4"/>
      <c r="B706" s="4"/>
    </row>
    <row r="707" spans="1:2">
      <c r="A707" s="4"/>
      <c r="B707" s="4"/>
    </row>
    <row r="708" spans="1:2">
      <c r="A708" s="4"/>
      <c r="B708" s="4"/>
    </row>
    <row r="709" spans="1:2">
      <c r="A709" s="4"/>
      <c r="B709" s="4"/>
    </row>
    <row r="710" spans="1:2">
      <c r="A710" s="4"/>
      <c r="B710" s="4"/>
    </row>
    <row r="711" spans="1:2">
      <c r="A711" s="4"/>
      <c r="B711" s="4"/>
    </row>
    <row r="712" spans="1:2">
      <c r="A712" s="4"/>
      <c r="B712" s="4"/>
    </row>
    <row r="713" spans="1:2">
      <c r="A713" s="4"/>
      <c r="B713" s="4"/>
    </row>
    <row r="714" spans="1:2">
      <c r="A714" s="4"/>
      <c r="B714" s="4"/>
    </row>
    <row r="715" spans="1:2">
      <c r="A715" s="4"/>
      <c r="B715" s="4"/>
    </row>
    <row r="716" spans="1:2">
      <c r="A716" s="4"/>
      <c r="B716" s="4"/>
    </row>
    <row r="717" spans="1:2">
      <c r="A717" s="4"/>
      <c r="B717" s="4"/>
    </row>
    <row r="718" spans="1:2">
      <c r="A718" s="4"/>
      <c r="B718" s="4"/>
    </row>
    <row r="719" spans="1:2">
      <c r="A719" s="4"/>
      <c r="B719" s="4"/>
    </row>
    <row r="720" spans="1:2">
      <c r="A720" s="4"/>
      <c r="B720" s="4"/>
    </row>
    <row r="721" spans="1:2">
      <c r="A721" s="4"/>
      <c r="B721" s="4"/>
    </row>
    <row r="722" spans="1:2">
      <c r="A722" s="4"/>
      <c r="B722" s="4"/>
    </row>
    <row r="723" spans="1:2">
      <c r="A723" s="4"/>
      <c r="B723" s="4"/>
    </row>
    <row r="724" spans="1:2">
      <c r="A724" s="4"/>
      <c r="B724" s="4"/>
    </row>
    <row r="725" spans="1:2">
      <c r="A725" s="4"/>
      <c r="B725" s="4"/>
    </row>
    <row r="726" spans="1:2">
      <c r="A726" s="4"/>
      <c r="B726" s="4"/>
    </row>
    <row r="727" spans="1:2">
      <c r="A727" s="4"/>
      <c r="B727" s="4"/>
    </row>
    <row r="728" spans="1:2">
      <c r="A728" s="4"/>
      <c r="B728" s="4"/>
    </row>
    <row r="729" spans="1:2">
      <c r="A729" s="4"/>
      <c r="B729" s="4"/>
    </row>
    <row r="730" spans="1:2">
      <c r="A730" s="4"/>
      <c r="B730" s="4"/>
    </row>
    <row r="731" spans="1:2">
      <c r="A731" s="4"/>
      <c r="B731" s="4"/>
    </row>
    <row r="732" spans="1:2">
      <c r="A732" s="4"/>
      <c r="B732" s="4"/>
    </row>
    <row r="733" spans="1:2">
      <c r="A733" s="4"/>
      <c r="B733" s="4"/>
    </row>
    <row r="734" spans="1:2">
      <c r="A734" s="4"/>
      <c r="B734" s="4"/>
    </row>
    <row r="735" spans="1:2">
      <c r="A735" s="4"/>
      <c r="B735" s="4"/>
    </row>
    <row r="736" spans="1:2">
      <c r="A736" s="4"/>
      <c r="B736" s="4"/>
    </row>
    <row r="737" spans="1:2">
      <c r="A737" s="4"/>
      <c r="B737" s="4"/>
    </row>
    <row r="738" spans="1:2">
      <c r="A738" s="4"/>
      <c r="B738" s="4"/>
    </row>
    <row r="739" spans="1:2">
      <c r="A739" s="4"/>
      <c r="B739" s="4"/>
    </row>
    <row r="740" spans="1:2">
      <c r="A740" s="4"/>
      <c r="B740" s="4"/>
    </row>
    <row r="741" spans="1:2">
      <c r="A741" s="4"/>
      <c r="B741" s="4"/>
    </row>
    <row r="742" spans="1:2">
      <c r="A742" s="4"/>
      <c r="B742" s="4"/>
    </row>
    <row r="743" spans="1:2">
      <c r="A743" s="4"/>
      <c r="B743" s="4"/>
    </row>
    <row r="744" spans="1:2">
      <c r="A744" s="4"/>
      <c r="B744" s="4"/>
    </row>
    <row r="745" spans="1:2">
      <c r="A745" s="4"/>
      <c r="B745" s="4"/>
    </row>
    <row r="746" spans="1:2">
      <c r="A746" s="4"/>
      <c r="B746" s="4"/>
    </row>
    <row r="747" spans="1:2">
      <c r="A747" s="4"/>
      <c r="B747" s="4"/>
    </row>
    <row r="748" spans="1:2">
      <c r="A748" s="4"/>
      <c r="B748" s="4"/>
    </row>
    <row r="749" spans="1:2">
      <c r="A749" s="4"/>
      <c r="B749" s="4"/>
    </row>
    <row r="750" spans="1:2">
      <c r="A750" s="4"/>
      <c r="B750" s="4"/>
    </row>
    <row r="751" spans="1:2">
      <c r="A751" s="4"/>
      <c r="B751" s="4"/>
    </row>
    <row r="752" spans="1:2">
      <c r="A752" s="4"/>
      <c r="B752" s="4"/>
    </row>
    <row r="753" spans="1:2">
      <c r="A753" s="4"/>
      <c r="B753" s="4"/>
    </row>
    <row r="754" spans="1:2">
      <c r="A754" s="4"/>
      <c r="B754" s="4"/>
    </row>
    <row r="755" spans="1:2">
      <c r="A755" s="4"/>
      <c r="B755" s="4"/>
    </row>
    <row r="756" spans="1:2">
      <c r="A756" s="4"/>
      <c r="B756" s="4"/>
    </row>
    <row r="757" spans="1:2">
      <c r="A757" s="4"/>
      <c r="B757" s="4"/>
    </row>
    <row r="758" spans="1:2">
      <c r="A758" s="4"/>
      <c r="B758" s="4"/>
    </row>
    <row r="759" spans="1:2">
      <c r="A759" s="4"/>
      <c r="B759" s="4"/>
    </row>
    <row r="760" spans="1:2">
      <c r="A760" s="4"/>
      <c r="B760" s="4"/>
    </row>
    <row r="761" spans="1:2">
      <c r="A761" s="4"/>
      <c r="B761" s="4"/>
    </row>
    <row r="762" spans="1:2">
      <c r="A762" s="4"/>
      <c r="B762" s="4"/>
    </row>
    <row r="763" spans="1:2">
      <c r="A763" s="4"/>
      <c r="B763" s="4"/>
    </row>
    <row r="764" spans="1:2">
      <c r="A764" s="4"/>
      <c r="B764" s="4"/>
    </row>
    <row r="765" spans="1:2">
      <c r="A765" s="4"/>
      <c r="B765" s="4"/>
    </row>
    <row r="766" spans="1:2">
      <c r="A766" s="4"/>
      <c r="B766" s="4"/>
    </row>
    <row r="767" spans="1:2">
      <c r="A767" s="4"/>
      <c r="B767" s="4"/>
    </row>
    <row r="768" spans="1:2">
      <c r="A768" s="4"/>
      <c r="B768" s="4"/>
    </row>
    <row r="769" spans="1:2">
      <c r="A769" s="4"/>
      <c r="B769" s="4"/>
    </row>
    <row r="770" spans="1:2">
      <c r="A770" s="4"/>
      <c r="B770" s="4"/>
    </row>
    <row r="771" spans="1:2">
      <c r="A771" s="4"/>
      <c r="B771" s="4"/>
    </row>
    <row r="772" spans="1:2">
      <c r="A772" s="4"/>
      <c r="B772" s="4"/>
    </row>
    <row r="773" spans="1:2">
      <c r="A773" s="4"/>
      <c r="B773" s="4"/>
    </row>
    <row r="774" spans="1:2">
      <c r="A774" s="4"/>
      <c r="B774" s="4"/>
    </row>
    <row r="775" spans="1:2">
      <c r="A775" s="4"/>
      <c r="B775" s="4"/>
    </row>
    <row r="776" spans="1:2">
      <c r="A776" s="4"/>
      <c r="B776" s="4"/>
    </row>
    <row r="777" spans="1:2">
      <c r="A777" s="4"/>
      <c r="B777" s="4"/>
    </row>
    <row r="778" spans="1:2">
      <c r="A778" s="4"/>
      <c r="B778" s="4"/>
    </row>
    <row r="779" spans="1:2">
      <c r="A779" s="4"/>
      <c r="B779" s="4"/>
    </row>
    <row r="780" spans="1:2">
      <c r="A780" s="4"/>
      <c r="B780" s="4"/>
    </row>
    <row r="781" spans="1:2">
      <c r="A781" s="4"/>
      <c r="B781" s="4"/>
    </row>
    <row r="782" spans="1:2">
      <c r="A782" s="4"/>
      <c r="B782" s="4"/>
    </row>
    <row r="783" spans="1:2">
      <c r="A783" s="4"/>
      <c r="B783" s="4"/>
    </row>
    <row r="784" spans="1:2">
      <c r="A784" s="4"/>
      <c r="B784" s="4"/>
    </row>
    <row r="785" spans="1:2">
      <c r="A785" s="4"/>
      <c r="B785" s="4"/>
    </row>
    <row r="786" spans="1:2">
      <c r="A786" s="4"/>
      <c r="B786" s="4"/>
    </row>
    <row r="787" spans="1:2">
      <c r="A787" s="4"/>
      <c r="B787" s="4"/>
    </row>
    <row r="788" spans="1:2">
      <c r="A788" s="4"/>
      <c r="B788" s="4"/>
    </row>
    <row r="789" spans="1:2">
      <c r="A789" s="4"/>
      <c r="B789" s="4"/>
    </row>
    <row r="790" spans="1:2">
      <c r="A790" s="4"/>
      <c r="B790" s="4"/>
    </row>
    <row r="791" spans="1:2">
      <c r="A791" s="4"/>
      <c r="B791" s="4"/>
    </row>
    <row r="792" spans="1:2">
      <c r="A792" s="4"/>
      <c r="B792" s="4"/>
    </row>
    <row r="793" spans="1:2">
      <c r="A793" s="4"/>
      <c r="B793" s="4"/>
    </row>
    <row r="794" spans="1:2">
      <c r="A794" s="4"/>
      <c r="B794" s="4"/>
    </row>
    <row r="795" spans="1:2">
      <c r="A795" s="4"/>
      <c r="B795" s="4"/>
    </row>
    <row r="796" spans="1:2">
      <c r="A796" s="4"/>
      <c r="B796" s="4"/>
    </row>
    <row r="797" spans="1:2">
      <c r="A797" s="4"/>
      <c r="B797" s="4"/>
    </row>
    <row r="798" spans="1:2">
      <c r="A798" s="4"/>
      <c r="B798" s="4"/>
    </row>
    <row r="799" spans="1:2">
      <c r="A799" s="4"/>
      <c r="B799" s="4"/>
    </row>
    <row r="800" spans="1:2">
      <c r="A800" s="4"/>
      <c r="B800" s="4"/>
    </row>
    <row r="801" spans="1:2">
      <c r="A801" s="4"/>
      <c r="B801" s="4"/>
    </row>
    <row r="802" spans="1:2">
      <c r="A802" s="4"/>
      <c r="B802" s="4"/>
    </row>
    <row r="803" spans="1:2">
      <c r="A803" s="4"/>
      <c r="B803" s="4"/>
    </row>
    <row r="804" spans="1:2">
      <c r="A804" s="4"/>
      <c r="B804" s="4"/>
    </row>
    <row r="805" spans="1:2">
      <c r="A805" s="4"/>
      <c r="B805" s="4"/>
    </row>
    <row r="806" spans="1:2">
      <c r="A806" s="4"/>
      <c r="B806" s="4"/>
    </row>
    <row r="807" spans="1:2">
      <c r="A807" s="4"/>
      <c r="B807" s="4"/>
    </row>
    <row r="808" spans="1:2">
      <c r="A808" s="4"/>
      <c r="B808" s="4"/>
    </row>
    <row r="809" spans="1:2">
      <c r="A809" s="4"/>
      <c r="B809" s="4"/>
    </row>
    <row r="810" spans="1:2">
      <c r="A810" s="4"/>
      <c r="B810" s="4"/>
    </row>
    <row r="811" spans="1:2">
      <c r="A811" s="4"/>
      <c r="B811" s="4"/>
    </row>
    <row r="812" spans="1:2">
      <c r="A812" s="4"/>
      <c r="B812" s="4"/>
    </row>
    <row r="813" spans="1:2">
      <c r="A813" s="4"/>
      <c r="B813" s="4"/>
    </row>
    <row r="814" spans="1:2">
      <c r="A814" s="4"/>
      <c r="B814" s="4"/>
    </row>
    <row r="815" spans="1:2">
      <c r="A815" s="4"/>
      <c r="B815" s="4"/>
    </row>
    <row r="816" spans="1:2">
      <c r="A816" s="4"/>
      <c r="B816" s="4"/>
    </row>
    <row r="817" spans="1:2">
      <c r="A817" s="4"/>
      <c r="B817" s="4"/>
    </row>
    <row r="818" spans="1:2">
      <c r="A818" s="4"/>
      <c r="B818" s="4"/>
    </row>
    <row r="819" spans="1:2">
      <c r="A819" s="4"/>
      <c r="B819" s="4"/>
    </row>
    <row r="820" spans="1:2">
      <c r="A820" s="4"/>
      <c r="B820" s="4"/>
    </row>
    <row r="821" spans="1:2">
      <c r="A821" s="4"/>
      <c r="B821" s="4"/>
    </row>
    <row r="822" spans="1:2">
      <c r="A822" s="4"/>
      <c r="B822" s="4"/>
    </row>
    <row r="823" spans="1:2">
      <c r="A823" s="4"/>
      <c r="B823" s="4"/>
    </row>
    <row r="824" spans="1:2">
      <c r="A824" s="4"/>
      <c r="B824" s="4"/>
    </row>
    <row r="825" spans="1:2">
      <c r="A825" s="4"/>
      <c r="B825" s="4"/>
    </row>
    <row r="826" spans="1:2">
      <c r="A826" s="4"/>
      <c r="B826" s="4"/>
    </row>
    <row r="827" spans="1:2">
      <c r="A827" s="4"/>
      <c r="B827" s="4"/>
    </row>
    <row r="828" spans="1:2">
      <c r="A828" s="4"/>
      <c r="B828" s="4"/>
    </row>
    <row r="829" spans="1:2">
      <c r="A829" s="4"/>
      <c r="B829" s="4"/>
    </row>
    <row r="830" spans="1:2">
      <c r="A830" s="4"/>
      <c r="B830" s="4"/>
    </row>
    <row r="831" spans="1:2">
      <c r="A831" s="4"/>
      <c r="B831" s="4"/>
    </row>
    <row r="832" spans="1:2">
      <c r="A832" s="4"/>
      <c r="B832" s="4"/>
    </row>
    <row r="833" spans="1:2">
      <c r="A833" s="4"/>
      <c r="B833" s="4"/>
    </row>
    <row r="834" spans="1:2">
      <c r="A834" s="4"/>
      <c r="B834" s="4"/>
    </row>
    <row r="835" spans="1:2">
      <c r="A835" s="4"/>
      <c r="B835" s="4"/>
    </row>
    <row r="836" spans="1:2">
      <c r="A836" s="4"/>
      <c r="B836" s="4"/>
    </row>
    <row r="837" spans="1:2">
      <c r="A837" s="4"/>
      <c r="B837" s="4"/>
    </row>
    <row r="838" spans="1:2">
      <c r="A838" s="4"/>
      <c r="B838" s="4"/>
    </row>
    <row r="839" spans="1:2">
      <c r="A839" s="4"/>
      <c r="B839" s="4"/>
    </row>
    <row r="840" spans="1:2">
      <c r="A840" s="4"/>
      <c r="B840" s="4"/>
    </row>
    <row r="841" spans="1:2">
      <c r="A841" s="4"/>
      <c r="B841" s="4"/>
    </row>
    <row r="842" spans="1:2">
      <c r="A842" s="4"/>
      <c r="B842" s="4"/>
    </row>
    <row r="843" spans="1:2">
      <c r="A843" s="4"/>
      <c r="B843" s="4"/>
    </row>
    <row r="844" spans="1:2">
      <c r="A844" s="4"/>
      <c r="B844" s="4"/>
    </row>
    <row r="845" spans="1:2">
      <c r="A845" s="4"/>
      <c r="B845" s="4"/>
    </row>
    <row r="846" spans="1:2">
      <c r="A846" s="4"/>
      <c r="B846" s="4"/>
    </row>
    <row r="847" spans="1:2">
      <c r="A847" s="4"/>
      <c r="B847" s="4"/>
    </row>
    <row r="848" spans="1:2">
      <c r="A848" s="4"/>
      <c r="B848" s="4"/>
    </row>
    <row r="849" spans="1:2">
      <c r="A849" s="4"/>
      <c r="B849" s="4"/>
    </row>
    <row r="850" spans="1:2">
      <c r="A850" s="4"/>
      <c r="B850" s="4"/>
    </row>
    <row r="851" spans="1:2">
      <c r="A851" s="4"/>
      <c r="B851" s="4"/>
    </row>
    <row r="852" spans="1:2">
      <c r="A852" s="4"/>
      <c r="B852" s="4"/>
    </row>
    <row r="853" spans="1:2">
      <c r="A853" s="4"/>
      <c r="B853" s="4"/>
    </row>
    <row r="854" spans="1:2">
      <c r="A854" s="4"/>
      <c r="B854" s="4"/>
    </row>
    <row r="855" spans="1:2">
      <c r="A855" s="4"/>
      <c r="B855" s="4"/>
    </row>
    <row r="856" spans="1:2">
      <c r="A856" s="4"/>
      <c r="B856" s="4"/>
    </row>
    <row r="857" spans="1:2">
      <c r="A857" s="4"/>
      <c r="B857" s="4"/>
    </row>
    <row r="858" spans="1:2">
      <c r="A858" s="4"/>
      <c r="B858" s="4"/>
    </row>
    <row r="859" spans="1:2">
      <c r="A859" s="4"/>
      <c r="B859" s="4"/>
    </row>
    <row r="860" spans="1:2">
      <c r="A860" s="4"/>
      <c r="B860" s="4"/>
    </row>
    <row r="861" spans="1:2">
      <c r="A861" s="4"/>
      <c r="B861" s="4"/>
    </row>
    <row r="862" spans="1:2">
      <c r="A862" s="4"/>
      <c r="B862" s="4"/>
    </row>
    <row r="863" spans="1:2">
      <c r="A863" s="4"/>
      <c r="B863" s="4"/>
    </row>
    <row r="864" spans="1:2">
      <c r="A864" s="4"/>
      <c r="B864" s="4"/>
    </row>
    <row r="865" spans="1:2">
      <c r="A865" s="4"/>
      <c r="B865" s="4"/>
    </row>
    <row r="866" spans="1:2">
      <c r="A866" s="4"/>
      <c r="B866" s="4"/>
    </row>
    <row r="867" spans="1:2">
      <c r="A867" s="4"/>
      <c r="B867" s="4"/>
    </row>
    <row r="868" spans="1:2">
      <c r="A868" s="4"/>
      <c r="B868" s="4"/>
    </row>
    <row r="869" spans="1:2">
      <c r="A869" s="4"/>
      <c r="B869" s="4"/>
    </row>
    <row r="870" spans="1:2">
      <c r="A870" s="4"/>
      <c r="B870" s="4"/>
    </row>
    <row r="871" spans="1:2">
      <c r="A871" s="4"/>
      <c r="B871" s="4"/>
    </row>
    <row r="872" spans="1:2">
      <c r="A872" s="4"/>
      <c r="B872" s="4"/>
    </row>
    <row r="873" spans="1:2">
      <c r="A873" s="4"/>
      <c r="B873" s="4"/>
    </row>
    <row r="874" spans="1:2">
      <c r="A874" s="4"/>
      <c r="B874" s="4"/>
    </row>
    <row r="875" spans="1:2">
      <c r="A875" s="4"/>
      <c r="B875" s="4"/>
    </row>
    <row r="876" spans="1:2">
      <c r="A876" s="4"/>
      <c r="B876" s="4"/>
    </row>
    <row r="877" spans="1:2">
      <c r="A877" s="4"/>
      <c r="B877" s="4"/>
    </row>
    <row r="878" spans="1:2">
      <c r="A878" s="4"/>
      <c r="B878" s="4"/>
    </row>
    <row r="879" spans="1:2">
      <c r="A879" s="4"/>
      <c r="B879" s="4"/>
    </row>
    <row r="880" spans="1:2">
      <c r="A880" s="4"/>
      <c r="B880" s="4"/>
    </row>
    <row r="881" spans="1:2">
      <c r="A881" s="4"/>
      <c r="B881" s="4"/>
    </row>
    <row r="882" spans="1:2">
      <c r="A882" s="4"/>
      <c r="B882" s="4"/>
    </row>
    <row r="883" spans="1:2">
      <c r="A883" s="4"/>
      <c r="B883" s="4"/>
    </row>
    <row r="884" spans="1:2">
      <c r="A884" s="4"/>
      <c r="B884" s="4"/>
    </row>
    <row r="885" spans="1:2">
      <c r="A885" s="4"/>
      <c r="B885" s="4"/>
    </row>
    <row r="886" spans="1:2">
      <c r="A886" s="4"/>
      <c r="B886" s="4"/>
    </row>
    <row r="887" spans="1:2">
      <c r="A887" s="4"/>
      <c r="B887" s="4"/>
    </row>
    <row r="888" spans="1:2">
      <c r="A888" s="4"/>
      <c r="B888" s="4"/>
    </row>
    <row r="889" spans="1:2">
      <c r="A889" s="4"/>
      <c r="B889" s="4"/>
    </row>
    <row r="890" spans="1:2">
      <c r="A890" s="4"/>
      <c r="B890" s="4"/>
    </row>
    <row r="891" spans="1:2">
      <c r="A891" s="4"/>
      <c r="B891" s="4"/>
    </row>
    <row r="892" spans="1:2">
      <c r="A892" s="4"/>
      <c r="B892" s="4"/>
    </row>
    <row r="893" spans="1:2">
      <c r="A893" s="4"/>
      <c r="B893" s="4"/>
    </row>
    <row r="894" spans="1:2">
      <c r="A894" s="4"/>
      <c r="B894" s="4"/>
    </row>
    <row r="895" spans="1:2">
      <c r="A895" s="4"/>
      <c r="B895" s="4"/>
    </row>
    <row r="896" spans="1:2">
      <c r="A896" s="4"/>
      <c r="B896" s="4"/>
    </row>
    <row r="897" spans="1:2">
      <c r="A897" s="4"/>
      <c r="B897" s="4"/>
    </row>
    <row r="898" spans="1:2">
      <c r="A898" s="4"/>
      <c r="B898" s="4"/>
    </row>
    <row r="899" spans="1:2">
      <c r="A899" s="4"/>
      <c r="B899" s="4"/>
    </row>
    <row r="900" spans="1:2">
      <c r="A900" s="4"/>
      <c r="B900" s="4"/>
    </row>
    <row r="901" spans="1:2">
      <c r="A901" s="4"/>
      <c r="B901" s="4"/>
    </row>
    <row r="902" spans="1:2">
      <c r="A902" s="4"/>
      <c r="B902" s="4"/>
    </row>
    <row r="903" spans="1:2">
      <c r="A903" s="4"/>
      <c r="B903" s="4"/>
    </row>
    <row r="904" spans="1:2">
      <c r="A904" s="4"/>
      <c r="B904" s="4"/>
    </row>
    <row r="905" spans="1:2">
      <c r="A905" s="4"/>
      <c r="B905" s="4"/>
    </row>
    <row r="906" spans="1:2">
      <c r="A906" s="4"/>
      <c r="B906" s="4"/>
    </row>
    <row r="907" spans="1:2">
      <c r="A907" s="4"/>
      <c r="B907" s="4"/>
    </row>
    <row r="908" spans="1:2">
      <c r="A908" s="4"/>
      <c r="B908" s="4"/>
    </row>
    <row r="909" spans="1:2">
      <c r="A909" s="4"/>
      <c r="B909" s="4"/>
    </row>
    <row r="910" spans="1:2">
      <c r="A910" s="4"/>
      <c r="B910" s="4"/>
    </row>
    <row r="911" spans="1:2">
      <c r="A911" s="4"/>
      <c r="B911" s="4"/>
    </row>
    <row r="912" spans="1:2">
      <c r="A912" s="4"/>
      <c r="B912" s="4"/>
    </row>
    <row r="913" spans="1:2">
      <c r="A913" s="4"/>
      <c r="B913" s="4"/>
    </row>
    <row r="914" spans="1:2">
      <c r="A914" s="4"/>
      <c r="B914" s="4"/>
    </row>
    <row r="915" spans="1:2">
      <c r="A915" s="4"/>
      <c r="B915" s="4"/>
    </row>
    <row r="916" spans="1:2">
      <c r="A916" s="4"/>
      <c r="B916" s="4"/>
    </row>
    <row r="917" spans="1:2">
      <c r="A917" s="4"/>
      <c r="B917" s="4"/>
    </row>
    <row r="918" spans="1:2">
      <c r="A918" s="4"/>
      <c r="B918" s="4"/>
    </row>
    <row r="919" spans="1:2">
      <c r="A919" s="4"/>
      <c r="B919" s="4"/>
    </row>
    <row r="920" spans="1:2">
      <c r="A920" s="4"/>
      <c r="B920" s="4"/>
    </row>
    <row r="921" spans="1:2">
      <c r="A921" s="4"/>
      <c r="B921" s="4"/>
    </row>
    <row r="922" spans="1:2">
      <c r="A922" s="4"/>
      <c r="B922" s="4"/>
    </row>
    <row r="923" spans="1:2">
      <c r="A923" s="4"/>
      <c r="B923" s="4"/>
    </row>
    <row r="924" spans="1:2">
      <c r="A924" s="4"/>
      <c r="B924" s="4"/>
    </row>
    <row r="925" spans="1:2">
      <c r="A925" s="4"/>
      <c r="B925" s="4"/>
    </row>
    <row r="926" spans="1:2">
      <c r="A926" s="4"/>
      <c r="B926" s="4"/>
    </row>
    <row r="927" spans="1:2">
      <c r="A927" s="4"/>
      <c r="B927" s="4"/>
    </row>
    <row r="928" spans="1:2">
      <c r="A928" s="4"/>
      <c r="B928" s="4"/>
    </row>
    <row r="929" spans="1:2">
      <c r="A929" s="4"/>
      <c r="B929" s="4"/>
    </row>
    <row r="930" spans="1:2">
      <c r="A930" s="4"/>
      <c r="B930" s="4"/>
    </row>
    <row r="931" spans="1:2">
      <c r="A931" s="4"/>
      <c r="B931" s="4"/>
    </row>
    <row r="932" spans="1:2">
      <c r="A932" s="4"/>
      <c r="B932" s="4"/>
    </row>
    <row r="933" spans="1:2">
      <c r="A933" s="4"/>
      <c r="B933" s="4"/>
    </row>
    <row r="934" spans="1:2">
      <c r="A934" s="4"/>
      <c r="B934" s="4"/>
    </row>
    <row r="935" spans="1:2">
      <c r="A935" s="4"/>
      <c r="B935" s="4"/>
    </row>
    <row r="936" spans="1:2">
      <c r="A936" s="4"/>
      <c r="B936" s="4"/>
    </row>
    <row r="937" spans="1:2">
      <c r="A937" s="4"/>
      <c r="B937" s="4"/>
    </row>
    <row r="938" spans="1:2">
      <c r="A938" s="4"/>
      <c r="B938" s="4"/>
    </row>
    <row r="939" spans="1:2">
      <c r="A939" s="4"/>
      <c r="B939" s="4"/>
    </row>
    <row r="940" spans="1:2">
      <c r="A940" s="4"/>
      <c r="B940" s="4"/>
    </row>
    <row r="941" spans="1:2">
      <c r="A941" s="4"/>
      <c r="B941" s="4"/>
    </row>
    <row r="942" spans="1:2">
      <c r="A942" s="4"/>
      <c r="B942" s="4"/>
    </row>
    <row r="943" spans="1:2">
      <c r="A943" s="4"/>
      <c r="B943" s="4"/>
    </row>
    <row r="944" spans="1:2">
      <c r="A944" s="4"/>
      <c r="B944" s="4"/>
    </row>
    <row r="945" spans="1:2">
      <c r="A945" s="4"/>
      <c r="B945" s="4"/>
    </row>
    <row r="946" spans="1:2">
      <c r="A946" s="4"/>
      <c r="B946" s="4"/>
    </row>
    <row r="947" spans="1:2">
      <c r="A947" s="4"/>
      <c r="B947" s="4"/>
    </row>
    <row r="948" spans="1:2">
      <c r="A948" s="4"/>
      <c r="B948" s="4"/>
    </row>
    <row r="949" spans="1:2">
      <c r="A949" s="4"/>
      <c r="B949" s="4"/>
    </row>
    <row r="950" spans="1:2">
      <c r="A950" s="4"/>
      <c r="B950" s="4"/>
    </row>
    <row r="951" spans="1:2">
      <c r="A951" s="4"/>
      <c r="B951" s="4"/>
    </row>
    <row r="952" spans="1:2">
      <c r="A952" s="4"/>
      <c r="B952" s="4"/>
    </row>
    <row r="953" spans="1:2">
      <c r="A953" s="4"/>
      <c r="B953" s="4"/>
    </row>
    <row r="954" spans="1:2">
      <c r="A954" s="4"/>
      <c r="B954" s="4"/>
    </row>
    <row r="955" spans="1:2">
      <c r="A955" s="4"/>
      <c r="B955" s="4"/>
    </row>
    <row r="956" spans="1:2">
      <c r="A956" s="4"/>
      <c r="B956" s="4"/>
    </row>
    <row r="957" spans="1:2">
      <c r="A957" s="4"/>
      <c r="B957" s="4"/>
    </row>
    <row r="958" spans="1:2">
      <c r="A958" s="4"/>
      <c r="B958" s="4"/>
    </row>
    <row r="959" spans="1:2">
      <c r="A959" s="4"/>
      <c r="B9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Ingredientes</vt:lpstr>
      <vt:lpstr>UNIVERSO PRODUCTOS</vt:lpstr>
      <vt:lpstr>principal</vt:lpstr>
      <vt:lpstr>cocina</vt:lpstr>
      <vt:lpstr>servicio</vt:lpstr>
      <vt:lpstr>PATRON</vt:lpstr>
      <vt:lpstr>panaderia</vt:lpstr>
      <vt:lpstr>pasteleria</vt:lpstr>
      <vt:lpstr>TOTAL</vt:lpstr>
      <vt:lpstr>CONSOLIDADO-PEDIDO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Tomas</dc:creator>
  <cp:lastModifiedBy>Oficina La Brioche</cp:lastModifiedBy>
  <dcterms:created xsi:type="dcterms:W3CDTF">2025-11-27T18:28:55Z</dcterms:created>
  <dcterms:modified xsi:type="dcterms:W3CDTF">2026-10-13T13:36:12Z</dcterms:modified>
</cp:coreProperties>
</file>